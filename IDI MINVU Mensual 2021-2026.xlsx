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do Manuel Herrera\Downloads\Ejecucion presupuestaria imversion\"/>
    </mc:Choice>
  </mc:AlternateContent>
  <xr:revisionPtr revIDLastSave="0" documentId="8_{E165A3E8-E590-44D4-AAA1-5C725853FB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3" r:id="rId1"/>
    <sheet name="MINVU_Mes_Corrien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3" l="1"/>
  <c r="G39" i="3"/>
  <c r="F39" i="3"/>
  <c r="E39" i="3"/>
  <c r="I39" i="3" s="1"/>
  <c r="K39" i="3" s="1"/>
  <c r="D39" i="3"/>
  <c r="J39" i="3" s="1"/>
  <c r="L39" i="3" s="1"/>
  <c r="C39" i="3"/>
  <c r="H38" i="3"/>
  <c r="G38" i="3"/>
  <c r="F38" i="3"/>
  <c r="E38" i="3"/>
  <c r="D38" i="3"/>
  <c r="C38" i="3"/>
  <c r="I38" i="3" s="1"/>
  <c r="H37" i="3"/>
  <c r="G37" i="3"/>
  <c r="F37" i="3"/>
  <c r="E37" i="3"/>
  <c r="D37" i="3"/>
  <c r="C37" i="3"/>
  <c r="H36" i="3"/>
  <c r="G36" i="3"/>
  <c r="F36" i="3"/>
  <c r="E36" i="3"/>
  <c r="D36" i="3"/>
  <c r="J36" i="3" s="1"/>
  <c r="C36" i="3"/>
  <c r="H35" i="3"/>
  <c r="G35" i="3"/>
  <c r="I35" i="3" s="1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I32" i="3" s="1"/>
  <c r="H31" i="3"/>
  <c r="G31" i="3"/>
  <c r="F31" i="3"/>
  <c r="E31" i="3"/>
  <c r="D31" i="3"/>
  <c r="C31" i="3"/>
  <c r="H30" i="3"/>
  <c r="G30" i="3"/>
  <c r="F30" i="3"/>
  <c r="E30" i="3"/>
  <c r="D30" i="3"/>
  <c r="C30" i="3"/>
  <c r="I30" i="3" s="1"/>
  <c r="H29" i="3"/>
  <c r="G29" i="3"/>
  <c r="F29" i="3"/>
  <c r="E29" i="3"/>
  <c r="D29" i="3"/>
  <c r="C29" i="3"/>
  <c r="H28" i="3"/>
  <c r="G28" i="3"/>
  <c r="F28" i="3"/>
  <c r="E28" i="3"/>
  <c r="D28" i="3"/>
  <c r="J28" i="3" s="1"/>
  <c r="C28" i="3"/>
  <c r="I28" i="3" s="1"/>
  <c r="J27" i="3"/>
  <c r="H27" i="3"/>
  <c r="G27" i="3"/>
  <c r="F27" i="3"/>
  <c r="E27" i="3"/>
  <c r="D27" i="3"/>
  <c r="C27" i="3"/>
  <c r="I27" i="3" s="1"/>
  <c r="K27" i="3" s="1"/>
  <c r="H26" i="3"/>
  <c r="G26" i="3"/>
  <c r="F26" i="3"/>
  <c r="E26" i="3"/>
  <c r="I26" i="3" s="1"/>
  <c r="D26" i="3"/>
  <c r="C26" i="3"/>
  <c r="H25" i="3"/>
  <c r="G25" i="3"/>
  <c r="F25" i="3"/>
  <c r="E25" i="3"/>
  <c r="D25" i="3"/>
  <c r="C25" i="3"/>
  <c r="H24" i="3"/>
  <c r="G24" i="3"/>
  <c r="I24" i="3" s="1"/>
  <c r="F24" i="3"/>
  <c r="J24" i="3" s="1"/>
  <c r="E24" i="3"/>
  <c r="D24" i="3"/>
  <c r="C24" i="3"/>
  <c r="H23" i="3"/>
  <c r="G23" i="3"/>
  <c r="F23" i="3"/>
  <c r="E23" i="3"/>
  <c r="D23" i="3"/>
  <c r="C23" i="3"/>
  <c r="I23" i="3" s="1"/>
  <c r="H22" i="3"/>
  <c r="H40" i="3" s="1"/>
  <c r="G22" i="3"/>
  <c r="F22" i="3"/>
  <c r="E22" i="3"/>
  <c r="D22" i="3"/>
  <c r="C22" i="3"/>
  <c r="F14" i="3"/>
  <c r="CB208" i="2"/>
  <c r="E58" i="3" s="1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O208" i="2"/>
  <c r="E57" i="3" s="1"/>
  <c r="I58" i="3" s="1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O47" i="3" s="1"/>
  <c r="BA208" i="2"/>
  <c r="N47" i="3" s="1"/>
  <c r="AZ208" i="2"/>
  <c r="M47" i="3" s="1"/>
  <c r="AY208" i="2"/>
  <c r="L47" i="3" s="1"/>
  <c r="AX208" i="2"/>
  <c r="K47" i="3" s="1"/>
  <c r="AW208" i="2"/>
  <c r="J47" i="3" s="1"/>
  <c r="AV208" i="2"/>
  <c r="I47" i="3" s="1"/>
  <c r="AU208" i="2"/>
  <c r="H47" i="3" s="1"/>
  <c r="AT208" i="2"/>
  <c r="G47" i="3" s="1"/>
  <c r="AS208" i="2"/>
  <c r="F47" i="3" s="1"/>
  <c r="AR208" i="2"/>
  <c r="E47" i="3" s="1"/>
  <c r="AQ208" i="2"/>
  <c r="D47" i="3" s="1"/>
  <c r="AP208" i="2"/>
  <c r="C47" i="3" s="1"/>
  <c r="AO208" i="2"/>
  <c r="E55" i="3" s="1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E54" i="3" s="1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E53" i="3" s="1"/>
  <c r="N208" i="2"/>
  <c r="M208" i="2"/>
  <c r="L208" i="2"/>
  <c r="K208" i="2"/>
  <c r="J208" i="2"/>
  <c r="I208" i="2"/>
  <c r="H208" i="2"/>
  <c r="G208" i="2"/>
  <c r="F208" i="2"/>
  <c r="E208" i="2"/>
  <c r="D208" i="2"/>
  <c r="C208" i="2"/>
  <c r="CB186" i="2"/>
  <c r="D58" i="3" s="1"/>
  <c r="G58" i="3" s="1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D57" i="3" s="1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O46" i="3" s="1"/>
  <c r="O48" i="3" s="1"/>
  <c r="BA186" i="2"/>
  <c r="N46" i="3" s="1"/>
  <c r="N48" i="3" s="1"/>
  <c r="AZ186" i="2"/>
  <c r="M46" i="3" s="1"/>
  <c r="AY186" i="2"/>
  <c r="L46" i="3" s="1"/>
  <c r="AX186" i="2"/>
  <c r="K46" i="3" s="1"/>
  <c r="AW186" i="2"/>
  <c r="J46" i="3" s="1"/>
  <c r="AV186" i="2"/>
  <c r="I46" i="3" s="1"/>
  <c r="AU186" i="2"/>
  <c r="H46" i="3" s="1"/>
  <c r="AT186" i="2"/>
  <c r="G46" i="3" s="1"/>
  <c r="G48" i="3" s="1"/>
  <c r="AS186" i="2"/>
  <c r="F46" i="3" s="1"/>
  <c r="F48" i="3" s="1"/>
  <c r="AR186" i="2"/>
  <c r="E46" i="3" s="1"/>
  <c r="E48" i="3" s="1"/>
  <c r="AQ186" i="2"/>
  <c r="D46" i="3" s="1"/>
  <c r="D48" i="3" s="1"/>
  <c r="AP186" i="2"/>
  <c r="C46" i="3" s="1"/>
  <c r="C48" i="3" s="1"/>
  <c r="AO186" i="2"/>
  <c r="D55" i="3" s="1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D54" i="3" s="1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D53" i="3" s="1"/>
  <c r="N186" i="2"/>
  <c r="M186" i="2"/>
  <c r="L186" i="2"/>
  <c r="K186" i="2"/>
  <c r="J186" i="2"/>
  <c r="I186" i="2"/>
  <c r="H186" i="2"/>
  <c r="G186" i="2"/>
  <c r="F186" i="2"/>
  <c r="E186" i="2"/>
  <c r="D186" i="2"/>
  <c r="C186" i="2"/>
  <c r="CB164" i="2"/>
  <c r="C58" i="3" s="1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C57" i="3" s="1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D14" i="3" s="1"/>
  <c r="BA164" i="2"/>
  <c r="N45" i="3" s="1"/>
  <c r="AZ164" i="2"/>
  <c r="M45" i="3" s="1"/>
  <c r="AY164" i="2"/>
  <c r="L45" i="3" s="1"/>
  <c r="AX164" i="2"/>
  <c r="K45" i="3" s="1"/>
  <c r="AW164" i="2"/>
  <c r="J45" i="3" s="1"/>
  <c r="AV164" i="2"/>
  <c r="I45" i="3" s="1"/>
  <c r="AU164" i="2"/>
  <c r="H45" i="3" s="1"/>
  <c r="AT164" i="2"/>
  <c r="G45" i="3" s="1"/>
  <c r="AS164" i="2"/>
  <c r="F45" i="3" s="1"/>
  <c r="AR164" i="2"/>
  <c r="E45" i="3" s="1"/>
  <c r="AQ164" i="2"/>
  <c r="D45" i="3" s="1"/>
  <c r="AP164" i="2"/>
  <c r="C45" i="3" s="1"/>
  <c r="AO164" i="2"/>
  <c r="C55" i="3" s="1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C54" i="3" s="1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C53" i="3" s="1"/>
  <c r="N164" i="2"/>
  <c r="M164" i="2"/>
  <c r="L164" i="2"/>
  <c r="K164" i="2"/>
  <c r="J164" i="2"/>
  <c r="I164" i="2"/>
  <c r="H164" i="2"/>
  <c r="G164" i="2"/>
  <c r="F164" i="2"/>
  <c r="E164" i="2"/>
  <c r="D164" i="2"/>
  <c r="C164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F16" i="3" s="1"/>
  <c r="H16" i="3" s="1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E16" i="3" s="1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D16" i="3" s="1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F15" i="3" s="1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E15" i="3" s="1"/>
  <c r="H15" i="3" s="1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D15" i="3" s="1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F55" i="3" l="1"/>
  <c r="G55" i="3"/>
  <c r="H48" i="3"/>
  <c r="I48" i="3"/>
  <c r="I54" i="3"/>
  <c r="J48" i="3"/>
  <c r="G16" i="3"/>
  <c r="K48" i="3"/>
  <c r="F53" i="3"/>
  <c r="G53" i="3"/>
  <c r="L48" i="3"/>
  <c r="H58" i="3"/>
  <c r="F57" i="3"/>
  <c r="D17" i="3"/>
  <c r="B7" i="3" s="1"/>
  <c r="H54" i="3"/>
  <c r="H55" i="3"/>
  <c r="M48" i="3"/>
  <c r="E14" i="3"/>
  <c r="E17" i="3" s="1"/>
  <c r="D7" i="3" s="1"/>
  <c r="G40" i="3"/>
  <c r="L27" i="3"/>
  <c r="F17" i="3"/>
  <c r="F7" i="3" s="1"/>
  <c r="C56" i="3"/>
  <c r="I37" i="3"/>
  <c r="D56" i="3"/>
  <c r="J26" i="3"/>
  <c r="J30" i="3"/>
  <c r="K30" i="3" s="1"/>
  <c r="J32" i="3"/>
  <c r="L32" i="3" s="1"/>
  <c r="J34" i="3"/>
  <c r="J37" i="3"/>
  <c r="K37" i="3" s="1"/>
  <c r="E56" i="3"/>
  <c r="I57" i="3" s="1"/>
  <c r="I34" i="3"/>
  <c r="L34" i="3" s="1"/>
  <c r="J23" i="3"/>
  <c r="K23" i="3" s="1"/>
  <c r="I36" i="3"/>
  <c r="L36" i="3" s="1"/>
  <c r="O45" i="3"/>
  <c r="C40" i="3"/>
  <c r="I25" i="3"/>
  <c r="I29" i="3"/>
  <c r="L29" i="3" s="1"/>
  <c r="I31" i="3"/>
  <c r="L31" i="3" s="1"/>
  <c r="I33" i="3"/>
  <c r="D40" i="3"/>
  <c r="J25" i="3"/>
  <c r="K25" i="3" s="1"/>
  <c r="J29" i="3"/>
  <c r="J31" i="3"/>
  <c r="K31" i="3" s="1"/>
  <c r="J33" i="3"/>
  <c r="L33" i="3" s="1"/>
  <c r="J38" i="3"/>
  <c r="L38" i="3" s="1"/>
  <c r="E40" i="3"/>
  <c r="F40" i="3"/>
  <c r="J35" i="3"/>
  <c r="L35" i="3" s="1"/>
  <c r="L24" i="3"/>
  <c r="K24" i="3"/>
  <c r="L28" i="3"/>
  <c r="K28" i="3"/>
  <c r="L26" i="3"/>
  <c r="L23" i="3"/>
  <c r="L25" i="3"/>
  <c r="I55" i="3"/>
  <c r="G57" i="3"/>
  <c r="F54" i="3"/>
  <c r="I22" i="3"/>
  <c r="G54" i="3"/>
  <c r="J22" i="3"/>
  <c r="K35" i="3"/>
  <c r="F56" i="3"/>
  <c r="K26" i="3"/>
  <c r="G15" i="3"/>
  <c r="H56" i="3"/>
  <c r="F58" i="3"/>
  <c r="K34" i="3" l="1"/>
  <c r="H14" i="3"/>
  <c r="G17" i="3"/>
  <c r="J7" i="3" s="1"/>
  <c r="H17" i="3"/>
  <c r="H7" i="3" s="1"/>
  <c r="K33" i="3"/>
  <c r="L37" i="3"/>
  <c r="I56" i="3"/>
  <c r="K36" i="3"/>
  <c r="K32" i="3"/>
  <c r="L30" i="3"/>
  <c r="K38" i="3"/>
  <c r="J40" i="3"/>
  <c r="I15" i="3"/>
  <c r="I14" i="3"/>
  <c r="K29" i="3"/>
  <c r="G56" i="3"/>
  <c r="H57" i="3"/>
  <c r="G14" i="3"/>
  <c r="I16" i="3"/>
  <c r="I40" i="3"/>
  <c r="L22" i="3"/>
  <c r="K22" i="3"/>
  <c r="K40" i="3" s="1"/>
  <c r="I17" i="3"/>
  <c r="M32" i="3" l="1"/>
  <c r="M33" i="3"/>
  <c r="M28" i="3"/>
  <c r="M34" i="3"/>
  <c r="M22" i="3"/>
  <c r="M35" i="3"/>
  <c r="M23" i="3"/>
  <c r="M36" i="3"/>
  <c r="M24" i="3"/>
  <c r="M37" i="3"/>
  <c r="M25" i="3"/>
  <c r="M27" i="3"/>
  <c r="M38" i="3"/>
  <c r="M26" i="3"/>
  <c r="M39" i="3"/>
  <c r="L40" i="3"/>
  <c r="M29" i="3"/>
  <c r="M31" i="3"/>
  <c r="M30" i="3"/>
  <c r="M40" i="3" l="1"/>
</calcChain>
</file>

<file path=xl/sharedStrings.xml><?xml version="1.0" encoding="utf-8"?>
<sst xmlns="http://schemas.openxmlformats.org/spreadsheetml/2006/main" count="1046" uniqueCount="122">
  <si>
    <t>MINISTERIO DE VIVIENDA Y URBANISMO — DASHBOARD DE INVERSIÓN Y EJECUCIÓN PRESUPUESTARIA</t>
  </si>
  <si>
    <t>Visualizador Analítico Interactivo Tabla a Tabla | Subtítulos 33 (Subsidios/Capital), 31 (Inversión Directa), 29 (Activos) y Consolidado | Cifras en miles de pesos ($)</t>
  </si>
  <si>
    <t>AÑO SELECCIONADO:</t>
  </si>
  <si>
    <t>COBERTURA TEMPORAL:</t>
  </si>
  <si>
    <t>2021 - 2026 (Ene - Dic)</t>
  </si>
  <si>
    <t>UNIDAD MONETARIA:</t>
  </si>
  <si>
    <t>Miles de $ Corrientes (DIPRES)</t>
  </si>
  <si>
    <t>PRESUPUESTO LEY (INICIAL)</t>
  </si>
  <si>
    <t>PRESUPUESTO VIGENTE</t>
  </si>
  <si>
    <t>EJECUCIÓN ACUMULADA</t>
  </si>
  <si>
    <t>% CUMPLIMIENTO PRESUPUESTARIO</t>
  </si>
  <si>
    <t>SALDO POR EJECUTAR</t>
  </si>
  <si>
    <t>Aprobado Ley de Presupuesto</t>
  </si>
  <si>
    <t>Presupuesto anual actualizado</t>
  </si>
  <si>
    <t>Total devengado en el ejercicio</t>
  </si>
  <si>
    <t>Ejecución devengada / Presupuesto vigente</t>
  </si>
  <si>
    <t>Monto disponible no devengado</t>
  </si>
  <si>
    <t>TABLA 1: RESUMEN CONSOLIDADO POR SUBTÍTULO PRESUPUESTARIO</t>
  </si>
  <si>
    <t>Subtítulo Presupuestario</t>
  </si>
  <si>
    <t>Cód.</t>
  </si>
  <si>
    <t>Presupuesto Ley</t>
  </si>
  <si>
    <t>Presupuesto Vigente</t>
  </si>
  <si>
    <t>Ejecución Acumulada</t>
  </si>
  <si>
    <t>Saldo por Ejecutar</t>
  </si>
  <si>
    <t>% Ejecución</t>
  </si>
  <si>
    <t>% Participación</t>
  </si>
  <si>
    <t>Subtítulo 33 – Transferencias de Capital (Subsidios)</t>
  </si>
  <si>
    <t>33</t>
  </si>
  <si>
    <t>Subtítulo 31 – Iniciativas de Inversión</t>
  </si>
  <si>
    <t>31</t>
  </si>
  <si>
    <t>Subtítulo 29 – Activos No Financieros</t>
  </si>
  <si>
    <t>29</t>
  </si>
  <si>
    <t>TOTAL INVERSIÓN MINVU (33 + 31 + 29)</t>
  </si>
  <si>
    <t>TOTAL</t>
  </si>
  <si>
    <t>TABLA 2: DESGLOSE COMPLETO POR ENTIDAD / PROGRAMA / SERVIU (AÑO SELECCIONADO)</t>
  </si>
  <si>
    <t>Entidad / SERVIU Regional</t>
  </si>
  <si>
    <t>Subt. 33 Vigente</t>
  </si>
  <si>
    <t>Subt. 33 Ejecución</t>
  </si>
  <si>
    <t>Subt. 31 Vigente</t>
  </si>
  <si>
    <t>Subt. 31 Ejecución</t>
  </si>
  <si>
    <t>Subt. 29 Vigente</t>
  </si>
  <si>
    <t>Subt. 29 Ejecución</t>
  </si>
  <si>
    <t>Total Vigente</t>
  </si>
  <si>
    <t>Total Ejecución</t>
  </si>
  <si>
    <t>Saldo</t>
  </si>
  <si>
    <t>% Part. MINVU</t>
  </si>
  <si>
    <t>Subsecretaría y Programas Centrales</t>
  </si>
  <si>
    <t>Parque Metropolitano (PARQUEMET)</t>
  </si>
  <si>
    <t>SERVIU Arica y Parinacota</t>
  </si>
  <si>
    <t>SERVIU Tarapacá</t>
  </si>
  <si>
    <t>SERVIU Antofagasta</t>
  </si>
  <si>
    <t>SERVIU Atacama</t>
  </si>
  <si>
    <t>SERVIU Coquimbo</t>
  </si>
  <si>
    <t>SERVIU Valparaíso</t>
  </si>
  <si>
    <t>SERVIU Metropolitano</t>
  </si>
  <si>
    <t>SERVIU O'Higgins</t>
  </si>
  <si>
    <t>SERVIU Maule</t>
  </si>
  <si>
    <t>SERVIU Ñuble</t>
  </si>
  <si>
    <t>SERVIU Biobío</t>
  </si>
  <si>
    <t>SERVIU La Araucanía</t>
  </si>
  <si>
    <t>SERVIU Los Ríos</t>
  </si>
  <si>
    <t>SERVIU Los Lagos</t>
  </si>
  <si>
    <t>SERVIU Aysén</t>
  </si>
  <si>
    <t>SERVIU Magallanes</t>
  </si>
  <si>
    <t>TOTAL MINVU</t>
  </si>
  <si>
    <t>TABLA 3: EVOLUCIÓN MENSUAL DEL AÑO SELECCIONADO (ENERO A DICIEMBRE)</t>
  </si>
  <si>
    <t>Concepto /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</si>
  <si>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</si>
  <si>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</si>
  <si>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</si>
  <si>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</si>
  <si>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</si>
  <si>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</si>
  <si>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</si>
  <si>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</si>
  <si>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</si>
  <si>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</si>
  <si>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</si>
  <si>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</si>
  <si>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Cierre Total</t>
  </si>
  <si>
    <t>% Avance Ejecución</t>
  </si>
  <si>
    <t>TABLA 4: COMPARATIVA HISTÓRICA MULTIANUAL (2021 - 2026)</t>
  </si>
  <si>
    <t>Año</t>
  </si>
  <si>
    <t>Crec. Vigente (YoY)</t>
  </si>
  <si>
    <t>Crec. Ejecución (YoY)</t>
  </si>
  <si>
    <t>-</t>
  </si>
  <si>
    <t>Ministerio de Vivienda y Urbanismo — Partida 18</t>
  </si>
  <si>
    <t>Miles de pesos — moneda corriente — montos devengados</t>
  </si>
  <si>
    <t>SUBTÍTULO 31 – INICIATIVAS DE INVERSIÓN</t>
  </si>
  <si>
    <t>Presupuesto Ley (Subtítulo 31)</t>
  </si>
  <si>
    <t>2021</t>
  </si>
  <si>
    <t>2022</t>
  </si>
  <si>
    <t>2023</t>
  </si>
  <si>
    <t>2024</t>
  </si>
  <si>
    <t>2025</t>
  </si>
  <si>
    <t>2026</t>
  </si>
  <si>
    <t>Programa / Entidad</t>
  </si>
  <si>
    <t>Total 2021</t>
  </si>
  <si>
    <t>Total 2022</t>
  </si>
  <si>
    <t>Total 2023</t>
  </si>
  <si>
    <t>Total 2024</t>
  </si>
  <si>
    <t>Total 2025</t>
  </si>
  <si>
    <t>Total 2026</t>
  </si>
  <si>
    <t>Total Presupuesto Ley (Subtítulo 31)</t>
  </si>
  <si>
    <t>Presupuesto Vigente (Subtítulo 31)</t>
  </si>
  <si>
    <t>Total Presupuesto Vigente (Subtítulo 31)</t>
  </si>
  <si>
    <t>Ejecución Acumulada (Subtítulo 31)</t>
  </si>
  <si>
    <t>Total Ejecución Acumulada (Subtítulo 31)</t>
  </si>
  <si>
    <t>SUBTÍTULO 29 – ADQUISICIÓN DE ACTIVOS NO FINANCIEROS</t>
  </si>
  <si>
    <t>Presupuesto Ley (Subtítulo 29)</t>
  </si>
  <si>
    <t>Total Presupuesto Ley (Subtítulo 29)</t>
  </si>
  <si>
    <t>Presupuesto Vigente (Subtítulo 29)</t>
  </si>
  <si>
    <t>Total Presupuesto Vigente (Subtítulo 29)</t>
  </si>
  <si>
    <t>Ejecución Acumulada (Subtítulo 29)</t>
  </si>
  <si>
    <t>Total Ejecución Acumulada (Subtítulo 29)</t>
  </si>
  <si>
    <t>SUBTÍTULO 33 – TRANSFERENCIAS DE CAPITAL (SUBSIDIOS HABITACIONALES E INVERSIÓN)</t>
  </si>
  <si>
    <t>Presupuesto Ley (Subtítulo 33)</t>
  </si>
  <si>
    <t>Total Presupuesto Ley (Subtítulo 33)</t>
  </si>
  <si>
    <t>Presupuesto Vigente (Subtítulo 33)</t>
  </si>
  <si>
    <t>Total Presupuesto Vigente (Subtítulo 33)</t>
  </si>
  <si>
    <t>Ejecución Acumulada (Subtítulo 33)</t>
  </si>
  <si>
    <t>Total Ejecución Acumulada (Subtítulo 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</si>
</sst>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1B365D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B25900"/>
      <name val="Calibri"/>
    </font>
    <font>
      <b/>
      <sz val="9"/>
      <color rgb="FF595959"/>
      <name val="Calibri"/>
    </font>
    <font>
      <b/>
      <sz val="15"/>
      <color rgb="FF1B365D"/>
      <name val="Calibri"/>
    </font>
    <font>
      <i/>
      <sz val="8"/>
      <color rgb="FF7F7F7F"/>
      <name val="Calibri"/>
    </font>
    <font>
      <b/>
      <sz val="15"/>
      <color rgb="FF007A3D"/>
      <name val="Calibri"/>
    </font>
    <font>
      <b/>
      <sz val="16"/>
      <color rgb="FF007A3D"/>
      <name val="Calibri"/>
    </font>
    <font>
      <b/>
      <sz val="15"/>
      <color rgb="FFB259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8"/>
        <bgColor rgb="FFF2F4F8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/>
      <top style="medium">
        <color rgb="FF1B365D"/>
      </top>
      <bottom/>
      <diagonal/>
    </border>
    <border>
      <left/>
      <right style="thin">
        <color rgb="FFD9D9D9"/>
      </right>
      <top style="medium">
        <color rgb="FF1B365D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1B365D"/>
      </top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1" xfId="0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0" fontId="7" fillId="0" borderId="2" xfId="0" applyFont="1" applyBorder="1"/>
    <xf numFmtId="165" fontId="7" fillId="0" borderId="2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9" fillId="7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164" fontId="10" fillId="7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165" fontId="13" fillId="7" borderId="6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11" fillId="7" borderId="8" xfId="0" applyFont="1" applyFill="1" applyBorder="1" applyAlignment="1">
      <alignment horizontal="center" vertical="center"/>
    </xf>
    <xf numFmtId="0" fontId="0" fillId="0" borderId="9" xfId="0" applyBorder="1"/>
    <xf numFmtId="164" fontId="12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5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Presupuesto Vigente vs Ejecución Acumulada por Entidad / SERVIU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Vigente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Dashboard!$B$22:$B$39</c:f>
              <c:strCache>
                <c:ptCount val="18"/>
                <c:pt idx="0">
                  <c:v>Subsecretaría y Programas Centrales</c:v>
                </c:pt>
                <c:pt idx="1">
                  <c:v>Parque Metropolitano (PARQUEMET)</c:v>
                </c:pt>
                <c:pt idx="2">
                  <c:v>SERVIU Arica y Parinacota</c:v>
                </c:pt>
                <c:pt idx="3">
                  <c:v>SERVIU Tarapacá</c:v>
                </c:pt>
                <c:pt idx="4">
                  <c:v>SERVIU Antofagasta</c:v>
                </c:pt>
                <c:pt idx="5">
                  <c:v>SERVIU Atacama</c:v>
                </c:pt>
                <c:pt idx="6">
                  <c:v>SERVIU Coquimbo</c:v>
                </c:pt>
                <c:pt idx="7">
                  <c:v>SERVIU Valparaíso</c:v>
                </c:pt>
                <c:pt idx="8">
                  <c:v>SERVIU Metropolitano</c:v>
                </c:pt>
                <c:pt idx="9">
                  <c:v>SERVIU O'Higgins</c:v>
                </c:pt>
                <c:pt idx="10">
                  <c:v>SERVIU Maule</c:v>
                </c:pt>
                <c:pt idx="11">
                  <c:v>SERVIU Ñuble</c:v>
                </c:pt>
                <c:pt idx="12">
                  <c:v>SERVIU Biobío</c:v>
                </c:pt>
                <c:pt idx="13">
                  <c:v>SERVIU La Araucanía</c:v>
                </c:pt>
                <c:pt idx="14">
                  <c:v>SERVIU Los Ríos</c:v>
                </c:pt>
                <c:pt idx="15">
                  <c:v>SERVIU Los Lagos</c:v>
                </c:pt>
                <c:pt idx="16">
                  <c:v>SERVIU Aysén</c:v>
                </c:pt>
                <c:pt idx="17">
                  <c:v>SERVIU Magallanes</c:v>
                </c:pt>
              </c:strCache>
            </c:strRef>
          </c:cat>
          <c:val>
            <c:numRef>
              <c:f>Dashboard!$I$22:$I$39</c:f>
              <c:numCache>
                <c:formatCode>_-* #,##0_-;\-* #,##0_-;_-* "-"_-;_-@_-</c:formatCode>
                <c:ptCount val="18"/>
                <c:pt idx="0">
                  <c:v>258288263</c:v>
                </c:pt>
                <c:pt idx="1">
                  <c:v>28174336</c:v>
                </c:pt>
                <c:pt idx="2">
                  <c:v>87621377</c:v>
                </c:pt>
                <c:pt idx="3">
                  <c:v>90747728</c:v>
                </c:pt>
                <c:pt idx="4">
                  <c:v>88591371</c:v>
                </c:pt>
                <c:pt idx="5">
                  <c:v>58916647</c:v>
                </c:pt>
                <c:pt idx="6">
                  <c:v>131919472</c:v>
                </c:pt>
                <c:pt idx="7">
                  <c:v>263897547</c:v>
                </c:pt>
                <c:pt idx="8">
                  <c:v>622639877</c:v>
                </c:pt>
                <c:pt idx="9">
                  <c:v>178760312</c:v>
                </c:pt>
                <c:pt idx="10">
                  <c:v>233505462</c:v>
                </c:pt>
                <c:pt idx="11">
                  <c:v>173828633</c:v>
                </c:pt>
                <c:pt idx="12">
                  <c:v>356798144</c:v>
                </c:pt>
                <c:pt idx="13">
                  <c:v>303088191</c:v>
                </c:pt>
                <c:pt idx="14">
                  <c:v>87191904</c:v>
                </c:pt>
                <c:pt idx="15">
                  <c:v>235673354</c:v>
                </c:pt>
                <c:pt idx="16">
                  <c:v>48641680</c:v>
                </c:pt>
                <c:pt idx="17">
                  <c:v>84483885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5-4E98-BFD2-B2251298A351}"/>
            </c:ext>
          </c:extLst>
        </c:ser>
        <c:ser>
          <c:idx val="1"/>
          <c:order val="1"/>
          <c:tx>
            <c:v>Total Ejecución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Dashboard!$B$22:$B$39</c:f>
              <c:strCache>
                <c:ptCount val="18"/>
                <c:pt idx="0">
                  <c:v>Subsecretaría y Programas Centrales</c:v>
                </c:pt>
                <c:pt idx="1">
                  <c:v>Parque Metropolitano (PARQUEMET)</c:v>
                </c:pt>
                <c:pt idx="2">
                  <c:v>SERVIU Arica y Parinacota</c:v>
                </c:pt>
                <c:pt idx="3">
                  <c:v>SERVIU Tarapacá</c:v>
                </c:pt>
                <c:pt idx="4">
                  <c:v>SERVIU Antofagasta</c:v>
                </c:pt>
                <c:pt idx="5">
                  <c:v>SERVIU Atacama</c:v>
                </c:pt>
                <c:pt idx="6">
                  <c:v>SERVIU Coquimbo</c:v>
                </c:pt>
                <c:pt idx="7">
                  <c:v>SERVIU Valparaíso</c:v>
                </c:pt>
                <c:pt idx="8">
                  <c:v>SERVIU Metropolitano</c:v>
                </c:pt>
                <c:pt idx="9">
                  <c:v>SERVIU O'Higgins</c:v>
                </c:pt>
                <c:pt idx="10">
                  <c:v>SERVIU Maule</c:v>
                </c:pt>
                <c:pt idx="11">
                  <c:v>SERVIU Ñuble</c:v>
                </c:pt>
                <c:pt idx="12">
                  <c:v>SERVIU Biobío</c:v>
                </c:pt>
                <c:pt idx="13">
                  <c:v>SERVIU La Araucanía</c:v>
                </c:pt>
                <c:pt idx="14">
                  <c:v>SERVIU Los Ríos</c:v>
                </c:pt>
                <c:pt idx="15">
                  <c:v>SERVIU Los Lagos</c:v>
                </c:pt>
                <c:pt idx="16">
                  <c:v>SERVIU Aysén</c:v>
                </c:pt>
                <c:pt idx="17">
                  <c:v>SERVIU Magallanes</c:v>
                </c:pt>
              </c:strCache>
            </c:strRef>
          </c:cat>
          <c:val>
            <c:numRef>
              <c:f>Dashboard!$J$22:$J$39</c:f>
              <c:numCache>
                <c:formatCode>_-* #,##0_-;\-* #,##0_-;_-* "-"_-;_-@_-</c:formatCode>
                <c:ptCount val="18"/>
                <c:pt idx="0">
                  <c:v>254021289</c:v>
                </c:pt>
                <c:pt idx="1">
                  <c:v>28088125</c:v>
                </c:pt>
                <c:pt idx="2">
                  <c:v>87582709</c:v>
                </c:pt>
                <c:pt idx="3">
                  <c:v>90124357</c:v>
                </c:pt>
                <c:pt idx="4">
                  <c:v>87295789</c:v>
                </c:pt>
                <c:pt idx="5">
                  <c:v>58352659</c:v>
                </c:pt>
                <c:pt idx="6">
                  <c:v>131345040</c:v>
                </c:pt>
                <c:pt idx="7">
                  <c:v>261685179</c:v>
                </c:pt>
                <c:pt idx="8">
                  <c:v>620155634</c:v>
                </c:pt>
                <c:pt idx="9">
                  <c:v>178330583</c:v>
                </c:pt>
                <c:pt idx="10">
                  <c:v>232634063</c:v>
                </c:pt>
                <c:pt idx="11">
                  <c:v>172620832</c:v>
                </c:pt>
                <c:pt idx="12">
                  <c:v>355872518</c:v>
                </c:pt>
                <c:pt idx="13">
                  <c:v>302193259</c:v>
                </c:pt>
                <c:pt idx="14">
                  <c:v>84860506</c:v>
                </c:pt>
                <c:pt idx="15">
                  <c:v>234858090</c:v>
                </c:pt>
                <c:pt idx="16">
                  <c:v>48272275</c:v>
                </c:pt>
                <c:pt idx="17">
                  <c:v>84406133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5-4E98-BFD2-B2251298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12480"/>
        <c:axId val="606112896"/>
      </c:barChart>
      <c:catAx>
        <c:axId val="6061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1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6112896"/>
        <c:crosses val="autoZero"/>
        <c:auto val="1"/>
        <c:lblAlgn val="ctr"/>
        <c:lblOffset val="100"/>
        <c:noMultiLvlLbl val="0"/>
      </c:catAx>
      <c:valAx>
        <c:axId val="6061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61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Evolución Mensual de la Inversión MINVU (Enero a Diciembre)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Presupuesto Vigente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Dashboard!$C$46:$N$46</c:f>
              <c:numCache>
                <c:formatCode>_-* #,##0_-;\-* #,##0_-;_-* "-"_-;_-@_-</c:formatCode>
                <c:ptCount val="12"/>
                <c:pt idx="0">
                  <c:v>3320541734</c:v>
                </c:pt>
                <c:pt idx="1">
                  <c:v>3320541734</c:v>
                </c:pt>
                <c:pt idx="2">
                  <c:v>3320541734</c:v>
                </c:pt>
                <c:pt idx="3">
                  <c:v>3320541734</c:v>
                </c:pt>
                <c:pt idx="4">
                  <c:v>3320643534</c:v>
                </c:pt>
                <c:pt idx="5">
                  <c:v>3320643534</c:v>
                </c:pt>
                <c:pt idx="6">
                  <c:v>3329424159</c:v>
                </c:pt>
                <c:pt idx="7">
                  <c:v>3376717372</c:v>
                </c:pt>
                <c:pt idx="8">
                  <c:v>3421717372</c:v>
                </c:pt>
                <c:pt idx="9">
                  <c:v>3491232791</c:v>
                </c:pt>
                <c:pt idx="10">
                  <c:v>3488688633</c:v>
                </c:pt>
                <c:pt idx="11">
                  <c:v>3332768183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3-4E36-9FF1-E4A553CA147F}"/>
            </c:ext>
          </c:extLst>
        </c:ser>
        <c:ser>
          <c:idx val="1"/>
          <c:order val="1"/>
          <c:tx>
            <c:v>Ejecución Acumulada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Dashboard!$C$47:$N$47</c:f>
              <c:numCache>
                <c:formatCode>_-* #,##0_-;\-* #,##0_-;_-* "-"_-;_-@_-</c:formatCode>
                <c:ptCount val="12"/>
                <c:pt idx="0">
                  <c:v>144905537</c:v>
                </c:pt>
                <c:pt idx="1">
                  <c:v>392112901</c:v>
                </c:pt>
                <c:pt idx="2">
                  <c:v>734004289</c:v>
                </c:pt>
                <c:pt idx="3">
                  <c:v>1004471755</c:v>
                </c:pt>
                <c:pt idx="4">
                  <c:v>1303821878</c:v>
                </c:pt>
                <c:pt idx="5">
                  <c:v>1551877586</c:v>
                </c:pt>
                <c:pt idx="6">
                  <c:v>1800513314</c:v>
                </c:pt>
                <c:pt idx="7">
                  <c:v>2056646958</c:v>
                </c:pt>
                <c:pt idx="8">
                  <c:v>2287303377</c:v>
                </c:pt>
                <c:pt idx="9">
                  <c:v>2541084845</c:v>
                </c:pt>
                <c:pt idx="10">
                  <c:v>2810519043</c:v>
                </c:pt>
                <c:pt idx="11">
                  <c:v>3312699040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B3-4E36-9FF1-E4A553CA1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8120272"/>
        <c:axId val="608119024"/>
      </c:lineChart>
      <c:catAx>
        <c:axId val="60812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8119024"/>
        <c:crosses val="autoZero"/>
        <c:auto val="1"/>
        <c:lblAlgn val="ctr"/>
        <c:lblOffset val="100"/>
        <c:noMultiLvlLbl val="0"/>
      </c:catAx>
      <c:valAx>
        <c:axId val="6081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81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la Inversión Vigente por Subtítulo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Presupuesto Vigente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Dashboard!$B$14:$B$16</c:f>
              <c:strCache>
                <c:ptCount val="3"/>
                <c:pt idx="0">
                  <c:v>Subtítulo 33 – Transferencias de Capital (Subsidios)</c:v>
                </c:pt>
                <c:pt idx="1">
                  <c:v>Subtítulo 31 – Iniciativas de Inversión</c:v>
                </c:pt>
                <c:pt idx="2">
                  <c:v>Subtítulo 29 – Activos No Financieros</c:v>
                </c:pt>
              </c:strCache>
            </c:strRef>
          </c:cat>
          <c:val>
            <c:numRef>
              <c:f>Dashboard!$E$14:$E$16</c:f>
              <c:numCache>
                <c:formatCode>_-* #,##0_-;\-* #,##0_-;_-* "-"_-;_-@_-</c:formatCode>
                <c:ptCount val="3"/>
                <c:pt idx="0">
                  <c:v>2913408485</c:v>
                </c:pt>
                <c:pt idx="1">
                  <c:v>400142072</c:v>
                </c:pt>
                <c:pt idx="2">
                  <c:v>19217626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A-47AA-9D3D-538EEE3C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10</xdr:row>
      <xdr:rowOff>0</xdr:rowOff>
    </xdr:from>
    <xdr:to>
      <xdr:col>26</xdr:col>
      <xdr:colOff>330200</xdr:colOff>
      <xdr:row>27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3138FC-55A3-44DF-8FE4-8209D2637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29</xdr:row>
      <xdr:rowOff>127000</xdr:rowOff>
    </xdr:from>
    <xdr:to>
      <xdr:col>26</xdr:col>
      <xdr:colOff>330200</xdr:colOff>
      <xdr:row>46</xdr:row>
      <xdr:rowOff>58420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AFC378-CECA-44EE-9ED0-941C28A91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47</xdr:row>
      <xdr:rowOff>7620</xdr:rowOff>
    </xdr:from>
    <xdr:to>
      <xdr:col>23</xdr:col>
      <xdr:colOff>307340</xdr:colOff>
      <xdr:row>62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D2139E-8B50-4F53-AEA0-054B0D73C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B5F3-5CEA-48BE-87CD-1AC0B5E49AE2}">
  <sheetPr>
    <tabColor rgb="FF1B365D"/>
  </sheetPr>
  <dimension ref="B2:O58"/>
  <sheetViews>
    <sheetView tabSelected="1" workbookViewId="0"/>
  </sheetViews>
  <sheetFormatPr baseColWidth="10" defaultColWidth="8.88671875" defaultRowHeight="14.4" x14ac:dyDescent="0.3"/>
  <cols>
    <col min="1" max="1" width="3" customWidth="1"/>
    <col min="2" max="2" width="36" customWidth="1"/>
    <col min="3" max="13" width="16" customWidth="1"/>
    <col min="14" max="15" width="18" customWidth="1"/>
    <col min="16" max="16" width="4" customWidth="1"/>
    <col min="17" max="33" width="11" customWidth="1"/>
  </cols>
  <sheetData>
    <row r="2" spans="2:12" ht="21" x14ac:dyDescent="0.4">
      <c r="B2" s="1" t="s">
        <v>0</v>
      </c>
    </row>
    <row r="3" spans="2:12" ht="15" thickBot="1" x14ac:dyDescent="0.35">
      <c r="B3" s="2" t="s">
        <v>1</v>
      </c>
    </row>
    <row r="4" spans="2:12" ht="18" thickBot="1" x14ac:dyDescent="0.35">
      <c r="B4" s="3" t="s">
        <v>2</v>
      </c>
      <c r="C4" s="4">
        <v>2024</v>
      </c>
      <c r="D4" s="42" t="s">
        <v>3</v>
      </c>
      <c r="E4" s="33"/>
      <c r="F4" s="32" t="s">
        <v>4</v>
      </c>
      <c r="G4" s="33"/>
      <c r="H4" s="42" t="s">
        <v>5</v>
      </c>
      <c r="I4" s="33"/>
      <c r="J4" s="41" t="s">
        <v>6</v>
      </c>
      <c r="K4" s="33"/>
      <c r="L4" s="33"/>
    </row>
    <row r="6" spans="2:12" x14ac:dyDescent="0.3">
      <c r="B6" s="34" t="s">
        <v>7</v>
      </c>
      <c r="C6" s="36"/>
      <c r="D6" s="34" t="s">
        <v>8</v>
      </c>
      <c r="E6" s="36"/>
      <c r="F6" s="34" t="s">
        <v>9</v>
      </c>
      <c r="G6" s="36"/>
      <c r="H6" s="34" t="s">
        <v>10</v>
      </c>
      <c r="I6" s="36"/>
      <c r="J6" s="34" t="s">
        <v>11</v>
      </c>
      <c r="K6" s="35"/>
      <c r="L6" s="36"/>
    </row>
    <row r="7" spans="2:12" x14ac:dyDescent="0.3">
      <c r="B7" s="37">
        <f>D17</f>
        <v>3320541734</v>
      </c>
      <c r="C7" s="38"/>
      <c r="D7" s="37">
        <f>E17</f>
        <v>3332768183</v>
      </c>
      <c r="E7" s="38"/>
      <c r="F7" s="45">
        <f>F17</f>
        <v>3312699040</v>
      </c>
      <c r="G7" s="38"/>
      <c r="H7" s="40">
        <f>H17</f>
        <v>0.99397823613944414</v>
      </c>
      <c r="I7" s="38"/>
      <c r="J7" s="46">
        <f>G17</f>
        <v>20069143</v>
      </c>
      <c r="K7" s="47"/>
      <c r="L7" s="38"/>
    </row>
    <row r="8" spans="2:12" x14ac:dyDescent="0.3">
      <c r="B8" s="39"/>
      <c r="C8" s="38"/>
      <c r="D8" s="39"/>
      <c r="E8" s="38"/>
      <c r="F8" s="39"/>
      <c r="G8" s="38"/>
      <c r="H8" s="39"/>
      <c r="I8" s="38"/>
      <c r="J8" s="39"/>
      <c r="K8" s="47"/>
      <c r="L8" s="38"/>
    </row>
    <row r="9" spans="2:12" x14ac:dyDescent="0.3">
      <c r="B9" s="43" t="s">
        <v>12</v>
      </c>
      <c r="C9" s="44"/>
      <c r="D9" s="43" t="s">
        <v>13</v>
      </c>
      <c r="E9" s="44"/>
      <c r="F9" s="43" t="s">
        <v>14</v>
      </c>
      <c r="G9" s="44"/>
      <c r="H9" s="43" t="s">
        <v>15</v>
      </c>
      <c r="I9" s="44"/>
      <c r="J9" s="43" t="s">
        <v>16</v>
      </c>
      <c r="K9" s="48"/>
      <c r="L9" s="44"/>
    </row>
    <row r="11" spans="2:12" x14ac:dyDescent="0.3">
      <c r="B11" s="5" t="s">
        <v>17</v>
      </c>
    </row>
    <row r="13" spans="2:12" ht="27.6" x14ac:dyDescent="0.3"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</row>
    <row r="14" spans="2:12" x14ac:dyDescent="0.3">
      <c r="B14" s="7" t="s">
        <v>26</v>
      </c>
      <c r="C14" s="8" t="s">
        <v>27</v>
      </c>
      <c r="D14" s="9">
        <f>INDEX(MINVU_Mes_Corriente!$1:$300, 164, 3 + ($C$4 - 2021)*13 + 12)</f>
        <v>2729162964</v>
      </c>
      <c r="E14" s="9">
        <f>INDEX(MINVU_Mes_Corriente!$1:$300, 186, 3 + ($C$4 - 2021)*13 + 12)</f>
        <v>2913408485</v>
      </c>
      <c r="F14" s="9">
        <f>INDEX(MINVU_Mes_Corriente!$1:$300, 208, 3 + ($C$4 - 2021)*13 + 12)</f>
        <v>2904924599</v>
      </c>
      <c r="G14" s="9">
        <f>E14 - F14</f>
        <v>8483886</v>
      </c>
      <c r="H14" s="10">
        <f>IF(E14&gt;0, F14/E14, 0)</f>
        <v>0.99708798610161253</v>
      </c>
      <c r="I14" s="10">
        <f>IF($E$17&gt;0, E14/$E$17, 0)</f>
        <v>0.8741707568683903</v>
      </c>
    </row>
    <row r="15" spans="2:12" x14ac:dyDescent="0.3">
      <c r="B15" s="7" t="s">
        <v>28</v>
      </c>
      <c r="C15" s="8" t="s">
        <v>29</v>
      </c>
      <c r="D15" s="9">
        <f>INDEX(MINVU_Mes_Corriente!$1:$300, 26, 3 + ($C$4 - 2021)*13 + 12)</f>
        <v>560704016</v>
      </c>
      <c r="E15" s="9">
        <f>INDEX(MINVU_Mes_Corriente!$1:$300, 48, 3 + ($C$4 - 2021)*13 + 12)</f>
        <v>400142072</v>
      </c>
      <c r="F15" s="9">
        <f>INDEX(MINVU_Mes_Corriente!$1:$300, 70, 3 + ($C$4 - 2021)*13 + 12)</f>
        <v>388712182</v>
      </c>
      <c r="G15" s="9">
        <f>E15 - F15</f>
        <v>11429890</v>
      </c>
      <c r="H15" s="10">
        <f>IF(E15&gt;0, F15/E15, 0)</f>
        <v>0.9714354205673229</v>
      </c>
      <c r="I15" s="10">
        <f>IF($E$17&gt;0, E15/$E$17, 0)</f>
        <v>0.12006297768955868</v>
      </c>
    </row>
    <row r="16" spans="2:12" x14ac:dyDescent="0.3">
      <c r="B16" s="7" t="s">
        <v>30</v>
      </c>
      <c r="C16" s="8" t="s">
        <v>31</v>
      </c>
      <c r="D16" s="9">
        <f>INDEX(MINVU_Mes_Corriente!$1:$300, 95, 3 + ($C$4 - 2021)*13 + 12)</f>
        <v>30674754</v>
      </c>
      <c r="E16" s="9">
        <f>INDEX(MINVU_Mes_Corriente!$1:$300, 117, 3 + ($C$4 - 2021)*13 + 12)</f>
        <v>19217626</v>
      </c>
      <c r="F16" s="9">
        <f>INDEX(MINVU_Mes_Corriente!$1:$300, 139, 3 + ($C$4 - 2021)*13 + 12)</f>
        <v>19062259</v>
      </c>
      <c r="G16" s="9">
        <f>E16 - F16</f>
        <v>155367</v>
      </c>
      <c r="H16" s="10">
        <f>IF(E16&gt;0, F16/E16, 0)</f>
        <v>0.99191539058986788</v>
      </c>
      <c r="I16" s="10">
        <f>IF($E$17&gt;0, E16/$E$17, 0)</f>
        <v>5.7662654420509987E-3</v>
      </c>
    </row>
    <row r="17" spans="2:13" ht="15" thickBot="1" x14ac:dyDescent="0.35">
      <c r="B17" s="11" t="s">
        <v>32</v>
      </c>
      <c r="C17" s="12" t="s">
        <v>33</v>
      </c>
      <c r="D17" s="13">
        <f>SUM(D14:D16)</f>
        <v>3320541734</v>
      </c>
      <c r="E17" s="13">
        <f>SUM(E14:E16)</f>
        <v>3332768183</v>
      </c>
      <c r="F17" s="13">
        <f>SUM(F14:F16)</f>
        <v>3312699040</v>
      </c>
      <c r="G17" s="13">
        <f>E17 - F17</f>
        <v>20069143</v>
      </c>
      <c r="H17" s="14">
        <f>IF(E17&gt;0, F17/E17, 0)</f>
        <v>0.99397823613944414</v>
      </c>
      <c r="I17" s="14">
        <f>SUM(I14:I16)</f>
        <v>0.99999999999999989</v>
      </c>
    </row>
    <row r="19" spans="2:13" x14ac:dyDescent="0.3">
      <c r="B19" s="5" t="s">
        <v>34</v>
      </c>
    </row>
    <row r="21" spans="2:13" x14ac:dyDescent="0.3">
      <c r="B21" s="15" t="s">
        <v>35</v>
      </c>
      <c r="C21" s="15" t="s">
        <v>36</v>
      </c>
      <c r="D21" s="15" t="s">
        <v>37</v>
      </c>
      <c r="E21" s="15" t="s">
        <v>38</v>
      </c>
      <c r="F21" s="15" t="s">
        <v>39</v>
      </c>
      <c r="G21" s="15" t="s">
        <v>40</v>
      </c>
      <c r="H21" s="15" t="s">
        <v>41</v>
      </c>
      <c r="I21" s="15" t="s">
        <v>42</v>
      </c>
      <c r="J21" s="15" t="s">
        <v>43</v>
      </c>
      <c r="K21" s="15" t="s">
        <v>44</v>
      </c>
      <c r="L21" s="15" t="s">
        <v>24</v>
      </c>
      <c r="M21" s="15" t="s">
        <v>45</v>
      </c>
    </row>
    <row r="22" spans="2:13" x14ac:dyDescent="0.3">
      <c r="B22" s="7" t="s">
        <v>46</v>
      </c>
      <c r="C22" s="9">
        <f>INDEX(MINVU_Mes_Corriente!$1:$300, 168, 3 + ($C$4 - 2021)*13 + 12)</f>
        <v>253260952</v>
      </c>
      <c r="D22" s="9">
        <f>INDEX(MINVU_Mes_Corriente!$1:$300, 190, 3 + ($C$4 - 2021)*13 + 12)</f>
        <v>249185192</v>
      </c>
      <c r="E22" s="9">
        <f>INDEX(MINVU_Mes_Corriente!$1:$300, 30, 3 + ($C$4 - 2021)*13 + 12)</f>
        <v>1858597</v>
      </c>
      <c r="F22" s="9">
        <f>INDEX(MINVU_Mes_Corriente!$1:$300, 52, 3 + ($C$4 - 2021)*13 + 12)</f>
        <v>1765056</v>
      </c>
      <c r="G22" s="9">
        <f>INDEX(MINVU_Mes_Corriente!$1:$300, 99, 3 + ($C$4 - 2021)*13 + 12)</f>
        <v>3168714</v>
      </c>
      <c r="H22" s="9">
        <f>INDEX(MINVU_Mes_Corriente!$1:$300, 121, 3 + ($C$4 - 2021)*13 + 12)</f>
        <v>3071041</v>
      </c>
      <c r="I22" s="9">
        <f t="shared" ref="I22:J39" si="0">C22 + E22 + G22</f>
        <v>258288263</v>
      </c>
      <c r="J22" s="9">
        <f t="shared" si="0"/>
        <v>254021289</v>
      </c>
      <c r="K22" s="9">
        <f t="shared" ref="K22:K39" si="1">I22 - J22</f>
        <v>4266974</v>
      </c>
      <c r="L22" s="10">
        <f t="shared" ref="L22:L40" si="2">IF(I22&gt;0, J22/I22, 0)</f>
        <v>0.98347979908014638</v>
      </c>
      <c r="M22" s="10">
        <f t="shared" ref="M22:M39" si="3">IF($I$40&gt;0, I22/$I$40, 0)</f>
        <v>7.7499618580582214E-2</v>
      </c>
    </row>
    <row r="23" spans="2:13" x14ac:dyDescent="0.3">
      <c r="B23" s="16" t="s">
        <v>47</v>
      </c>
      <c r="C23" s="17">
        <f>INDEX(MINVU_Mes_Corriente!$1:$300, 169, 3 + ($C$4 - 2021)*13 + 12)</f>
        <v>0</v>
      </c>
      <c r="D23" s="17">
        <f>INDEX(MINVU_Mes_Corriente!$1:$300, 191, 3 + ($C$4 - 2021)*13 + 12)</f>
        <v>0</v>
      </c>
      <c r="E23" s="17">
        <f>INDEX(MINVU_Mes_Corriente!$1:$300, 31, 3 + ($C$4 - 2021)*13 + 12)</f>
        <v>27933416</v>
      </c>
      <c r="F23" s="17">
        <f>INDEX(MINVU_Mes_Corriente!$1:$300, 53, 3 + ($C$4 - 2021)*13 + 12)</f>
        <v>27847917</v>
      </c>
      <c r="G23" s="17">
        <f>INDEX(MINVU_Mes_Corriente!$1:$300, 100, 3 + ($C$4 - 2021)*13 + 12)</f>
        <v>240920</v>
      </c>
      <c r="H23" s="17">
        <f>INDEX(MINVU_Mes_Corriente!$1:$300, 122, 3 + ($C$4 - 2021)*13 + 12)</f>
        <v>240208</v>
      </c>
      <c r="I23" s="17">
        <f t="shared" si="0"/>
        <v>28174336</v>
      </c>
      <c r="J23" s="17">
        <f t="shared" si="0"/>
        <v>28088125</v>
      </c>
      <c r="K23" s="17">
        <f t="shared" si="1"/>
        <v>86211</v>
      </c>
      <c r="L23" s="18">
        <f t="shared" si="2"/>
        <v>0.99694008760312935</v>
      </c>
      <c r="M23" s="18">
        <f t="shared" si="3"/>
        <v>8.4537340891915249E-3</v>
      </c>
    </row>
    <row r="24" spans="2:13" x14ac:dyDescent="0.3">
      <c r="B24" s="7" t="s">
        <v>48</v>
      </c>
      <c r="C24" s="9">
        <f>INDEX(MINVU_Mes_Corriente!$1:$300, 170, 3 + ($C$4 - 2021)*13 + 12)</f>
        <v>83210671</v>
      </c>
      <c r="D24" s="9">
        <f>INDEX(MINVU_Mes_Corriente!$1:$300, 192, 3 + ($C$4 - 2021)*13 + 12)</f>
        <v>83196155</v>
      </c>
      <c r="E24" s="9">
        <f>INDEX(MINVU_Mes_Corriente!$1:$300, 32, 3 + ($C$4 - 2021)*13 + 12)</f>
        <v>4403210</v>
      </c>
      <c r="F24" s="9">
        <f>INDEX(MINVU_Mes_Corriente!$1:$300, 54, 3 + ($C$4 - 2021)*13 + 12)</f>
        <v>4379123</v>
      </c>
      <c r="G24" s="9">
        <f>INDEX(MINVU_Mes_Corriente!$1:$300, 101, 3 + ($C$4 - 2021)*13 + 12)</f>
        <v>7496</v>
      </c>
      <c r="H24" s="9">
        <f>INDEX(MINVU_Mes_Corriente!$1:$300, 123, 3 + ($C$4 - 2021)*13 + 12)</f>
        <v>7431</v>
      </c>
      <c r="I24" s="9">
        <f t="shared" si="0"/>
        <v>87621377</v>
      </c>
      <c r="J24" s="9">
        <f t="shared" si="0"/>
        <v>87582709</v>
      </c>
      <c r="K24" s="9">
        <f t="shared" si="1"/>
        <v>38668</v>
      </c>
      <c r="L24" s="10">
        <f t="shared" si="2"/>
        <v>0.99955869216709525</v>
      </c>
      <c r="M24" s="10">
        <f t="shared" si="3"/>
        <v>2.6290870588282979E-2</v>
      </c>
    </row>
    <row r="25" spans="2:13" x14ac:dyDescent="0.3">
      <c r="B25" s="16" t="s">
        <v>49</v>
      </c>
      <c r="C25" s="17">
        <f>INDEX(MINVU_Mes_Corriente!$1:$300, 171, 3 + ($C$4 - 2021)*13 + 12)</f>
        <v>81745804</v>
      </c>
      <c r="D25" s="17">
        <f>INDEX(MINVU_Mes_Corriente!$1:$300, 193, 3 + ($C$4 - 2021)*13 + 12)</f>
        <v>81667751</v>
      </c>
      <c r="E25" s="17">
        <f>INDEX(MINVU_Mes_Corriente!$1:$300, 33, 3 + ($C$4 - 2021)*13 + 12)</f>
        <v>8998445</v>
      </c>
      <c r="F25" s="17">
        <f>INDEX(MINVU_Mes_Corriente!$1:$300, 55, 3 + ($C$4 - 2021)*13 + 12)</f>
        <v>8453266</v>
      </c>
      <c r="G25" s="17">
        <f>INDEX(MINVU_Mes_Corriente!$1:$300, 102, 3 + ($C$4 - 2021)*13 + 12)</f>
        <v>3479</v>
      </c>
      <c r="H25" s="17">
        <f>INDEX(MINVU_Mes_Corriente!$1:$300, 124, 3 + ($C$4 - 2021)*13 + 12)</f>
        <v>3340</v>
      </c>
      <c r="I25" s="17">
        <f t="shared" si="0"/>
        <v>90747728</v>
      </c>
      <c r="J25" s="17">
        <f t="shared" si="0"/>
        <v>90124357</v>
      </c>
      <c r="K25" s="17">
        <f t="shared" si="1"/>
        <v>623371</v>
      </c>
      <c r="L25" s="18">
        <f t="shared" si="2"/>
        <v>0.99313072609377062</v>
      </c>
      <c r="M25" s="18">
        <f t="shared" si="3"/>
        <v>2.7228934932496025E-2</v>
      </c>
    </row>
    <row r="26" spans="2:13" x14ac:dyDescent="0.3">
      <c r="B26" s="7" t="s">
        <v>50</v>
      </c>
      <c r="C26" s="9">
        <f>INDEX(MINVU_Mes_Corriente!$1:$300, 172, 3 + ($C$4 - 2021)*13 + 12)</f>
        <v>73119497</v>
      </c>
      <c r="D26" s="9">
        <f>INDEX(MINVU_Mes_Corriente!$1:$300, 194, 3 + ($C$4 - 2021)*13 + 12)</f>
        <v>73069447</v>
      </c>
      <c r="E26" s="9">
        <f>INDEX(MINVU_Mes_Corriente!$1:$300, 34, 3 + ($C$4 - 2021)*13 + 12)</f>
        <v>15465604</v>
      </c>
      <c r="F26" s="9">
        <f>INDEX(MINVU_Mes_Corriente!$1:$300, 56, 3 + ($C$4 - 2021)*13 + 12)</f>
        <v>14221677</v>
      </c>
      <c r="G26" s="9">
        <f>INDEX(MINVU_Mes_Corriente!$1:$300, 103, 3 + ($C$4 - 2021)*13 + 12)</f>
        <v>6270</v>
      </c>
      <c r="H26" s="9">
        <f>INDEX(MINVU_Mes_Corriente!$1:$300, 125, 3 + ($C$4 - 2021)*13 + 12)</f>
        <v>4665</v>
      </c>
      <c r="I26" s="9">
        <f t="shared" si="0"/>
        <v>88591371</v>
      </c>
      <c r="J26" s="9">
        <f t="shared" si="0"/>
        <v>87295789</v>
      </c>
      <c r="K26" s="9">
        <f t="shared" si="1"/>
        <v>1295582</v>
      </c>
      <c r="L26" s="10">
        <f t="shared" si="2"/>
        <v>0.98537575403365185</v>
      </c>
      <c r="M26" s="10">
        <f t="shared" si="3"/>
        <v>2.6581918133968215E-2</v>
      </c>
    </row>
    <row r="27" spans="2:13" x14ac:dyDescent="0.3">
      <c r="B27" s="16" t="s">
        <v>51</v>
      </c>
      <c r="C27" s="17">
        <f>INDEX(MINVU_Mes_Corriente!$1:$300, 173, 3 + ($C$4 - 2021)*13 + 12)</f>
        <v>50339570</v>
      </c>
      <c r="D27" s="17">
        <f>INDEX(MINVU_Mes_Corriente!$1:$300, 195, 3 + ($C$4 - 2021)*13 + 12)</f>
        <v>50275024</v>
      </c>
      <c r="E27" s="17">
        <f>INDEX(MINVU_Mes_Corriente!$1:$300, 35, 3 + ($C$4 - 2021)*13 + 12)</f>
        <v>8570431</v>
      </c>
      <c r="F27" s="17">
        <f>INDEX(MINVU_Mes_Corriente!$1:$300, 57, 3 + ($C$4 - 2021)*13 + 12)</f>
        <v>8070989</v>
      </c>
      <c r="G27" s="17">
        <f>INDEX(MINVU_Mes_Corriente!$1:$300, 104, 3 + ($C$4 - 2021)*13 + 12)</f>
        <v>6646</v>
      </c>
      <c r="H27" s="17">
        <f>INDEX(MINVU_Mes_Corriente!$1:$300, 126, 3 + ($C$4 - 2021)*13 + 12)</f>
        <v>6646</v>
      </c>
      <c r="I27" s="17">
        <f t="shared" si="0"/>
        <v>58916647</v>
      </c>
      <c r="J27" s="17">
        <f t="shared" si="0"/>
        <v>58352659</v>
      </c>
      <c r="K27" s="17">
        <f t="shared" si="1"/>
        <v>563988</v>
      </c>
      <c r="L27" s="18">
        <f t="shared" si="2"/>
        <v>0.99042735748353095</v>
      </c>
      <c r="M27" s="18">
        <f t="shared" si="3"/>
        <v>1.7677991316805607E-2</v>
      </c>
    </row>
    <row r="28" spans="2:13" x14ac:dyDescent="0.3">
      <c r="B28" s="7" t="s">
        <v>52</v>
      </c>
      <c r="C28" s="9">
        <f>INDEX(MINVU_Mes_Corriente!$1:$300, 174, 3 + ($C$4 - 2021)*13 + 12)</f>
        <v>107360177</v>
      </c>
      <c r="D28" s="9">
        <f>INDEX(MINVU_Mes_Corriente!$1:$300, 196, 3 + ($C$4 - 2021)*13 + 12)</f>
        <v>106974951</v>
      </c>
      <c r="E28" s="9">
        <f>INDEX(MINVU_Mes_Corriente!$1:$300, 36, 3 + ($C$4 - 2021)*13 + 12)</f>
        <v>18466482</v>
      </c>
      <c r="F28" s="9">
        <f>INDEX(MINVU_Mes_Corriente!$1:$300, 58, 3 + ($C$4 - 2021)*13 + 12)</f>
        <v>18304746</v>
      </c>
      <c r="G28" s="9">
        <f>INDEX(MINVU_Mes_Corriente!$1:$300, 105, 3 + ($C$4 - 2021)*13 + 12)</f>
        <v>6092813</v>
      </c>
      <c r="H28" s="9">
        <f>INDEX(MINVU_Mes_Corriente!$1:$300, 127, 3 + ($C$4 - 2021)*13 + 12)</f>
        <v>6065343</v>
      </c>
      <c r="I28" s="9">
        <f t="shared" si="0"/>
        <v>131919472</v>
      </c>
      <c r="J28" s="9">
        <f t="shared" si="0"/>
        <v>131345040</v>
      </c>
      <c r="K28" s="9">
        <f t="shared" si="1"/>
        <v>574432</v>
      </c>
      <c r="L28" s="10">
        <f t="shared" si="2"/>
        <v>0.99564558596777886</v>
      </c>
      <c r="M28" s="10">
        <f t="shared" si="3"/>
        <v>3.9582552627843541E-2</v>
      </c>
    </row>
    <row r="29" spans="2:13" x14ac:dyDescent="0.3">
      <c r="B29" s="16" t="s">
        <v>53</v>
      </c>
      <c r="C29" s="17">
        <f>INDEX(MINVU_Mes_Corriente!$1:$300, 175, 3 + ($C$4 - 2021)*13 + 12)</f>
        <v>226125474</v>
      </c>
      <c r="D29" s="17">
        <f>INDEX(MINVU_Mes_Corriente!$1:$300, 197, 3 + ($C$4 - 2021)*13 + 12)</f>
        <v>225998740</v>
      </c>
      <c r="E29" s="17">
        <f>INDEX(MINVU_Mes_Corriente!$1:$300, 37, 3 + ($C$4 - 2021)*13 + 12)</f>
        <v>37750186</v>
      </c>
      <c r="F29" s="17">
        <f>INDEX(MINVU_Mes_Corriente!$1:$300, 59, 3 + ($C$4 - 2021)*13 + 12)</f>
        <v>35664606</v>
      </c>
      <c r="G29" s="17">
        <f>INDEX(MINVU_Mes_Corriente!$1:$300, 106, 3 + ($C$4 - 2021)*13 + 12)</f>
        <v>21887</v>
      </c>
      <c r="H29" s="17">
        <f>INDEX(MINVU_Mes_Corriente!$1:$300, 128, 3 + ($C$4 - 2021)*13 + 12)</f>
        <v>21833</v>
      </c>
      <c r="I29" s="17">
        <f t="shared" si="0"/>
        <v>263897547</v>
      </c>
      <c r="J29" s="17">
        <f t="shared" si="0"/>
        <v>261685179</v>
      </c>
      <c r="K29" s="17">
        <f t="shared" si="1"/>
        <v>2212368</v>
      </c>
      <c r="L29" s="18">
        <f t="shared" si="2"/>
        <v>0.99161656474207394</v>
      </c>
      <c r="M29" s="18">
        <f t="shared" si="3"/>
        <v>7.9182689136947995E-2</v>
      </c>
    </row>
    <row r="30" spans="2:13" x14ac:dyDescent="0.3">
      <c r="B30" s="7" t="s">
        <v>54</v>
      </c>
      <c r="C30" s="9">
        <f>INDEX(MINVU_Mes_Corriente!$1:$300, 176, 3 + ($C$4 - 2021)*13 + 12)</f>
        <v>536507887</v>
      </c>
      <c r="D30" s="9">
        <f>INDEX(MINVU_Mes_Corriente!$1:$300, 198, 3 + ($C$4 - 2021)*13 + 12)</f>
        <v>535781681</v>
      </c>
      <c r="E30" s="9">
        <f>INDEX(MINVU_Mes_Corriente!$1:$300, 38, 3 + ($C$4 - 2021)*13 + 12)</f>
        <v>86087430</v>
      </c>
      <c r="F30" s="9">
        <f>INDEX(MINVU_Mes_Corriente!$1:$300, 60, 3 + ($C$4 - 2021)*13 + 12)</f>
        <v>84329419</v>
      </c>
      <c r="G30" s="9">
        <f>INDEX(MINVU_Mes_Corriente!$1:$300, 107, 3 + ($C$4 - 2021)*13 + 12)</f>
        <v>44560</v>
      </c>
      <c r="H30" s="9">
        <f>INDEX(MINVU_Mes_Corriente!$1:$300, 129, 3 + ($C$4 - 2021)*13 + 12)</f>
        <v>44534</v>
      </c>
      <c r="I30" s="9">
        <f t="shared" si="0"/>
        <v>622639877</v>
      </c>
      <c r="J30" s="9">
        <f t="shared" si="0"/>
        <v>620155634</v>
      </c>
      <c r="K30" s="9">
        <f t="shared" si="1"/>
        <v>2484243</v>
      </c>
      <c r="L30" s="10">
        <f t="shared" si="2"/>
        <v>0.99601014472126392</v>
      </c>
      <c r="M30" s="10">
        <f t="shared" si="3"/>
        <v>0.18682363813240951</v>
      </c>
    </row>
    <row r="31" spans="2:13" x14ac:dyDescent="0.3">
      <c r="B31" s="16" t="s">
        <v>55</v>
      </c>
      <c r="C31" s="17">
        <f>INDEX(MINVU_Mes_Corriente!$1:$300, 177, 3 + ($C$4 - 2021)*13 + 12)</f>
        <v>172944682</v>
      </c>
      <c r="D31" s="17">
        <f>INDEX(MINVU_Mes_Corriente!$1:$300, 199, 3 + ($C$4 - 2021)*13 + 12)</f>
        <v>172843913</v>
      </c>
      <c r="E31" s="17">
        <f>INDEX(MINVU_Mes_Corriente!$1:$300, 39, 3 + ($C$4 - 2021)*13 + 12)</f>
        <v>5515173</v>
      </c>
      <c r="F31" s="17">
        <f>INDEX(MINVU_Mes_Corriente!$1:$300, 61, 3 + ($C$4 - 2021)*13 + 12)</f>
        <v>5186229</v>
      </c>
      <c r="G31" s="17">
        <f>INDEX(MINVU_Mes_Corriente!$1:$300, 108, 3 + ($C$4 - 2021)*13 + 12)</f>
        <v>300457</v>
      </c>
      <c r="H31" s="17">
        <f>INDEX(MINVU_Mes_Corriente!$1:$300, 130, 3 + ($C$4 - 2021)*13 + 12)</f>
        <v>300441</v>
      </c>
      <c r="I31" s="17">
        <f t="shared" si="0"/>
        <v>178760312</v>
      </c>
      <c r="J31" s="17">
        <f t="shared" si="0"/>
        <v>178330583</v>
      </c>
      <c r="K31" s="17">
        <f t="shared" si="1"/>
        <v>429729</v>
      </c>
      <c r="L31" s="18">
        <f t="shared" si="2"/>
        <v>0.9975960603604227</v>
      </c>
      <c r="M31" s="18">
        <f t="shared" si="3"/>
        <v>5.3637187522322188E-2</v>
      </c>
    </row>
    <row r="32" spans="2:13" x14ac:dyDescent="0.3">
      <c r="B32" s="7" t="s">
        <v>56</v>
      </c>
      <c r="C32" s="9">
        <f>INDEX(MINVU_Mes_Corriente!$1:$300, 178, 3 + ($C$4 - 2021)*13 + 12)</f>
        <v>213444748</v>
      </c>
      <c r="D32" s="9">
        <f>INDEX(MINVU_Mes_Corriente!$1:$300, 200, 3 + ($C$4 - 2021)*13 + 12)</f>
        <v>213325058</v>
      </c>
      <c r="E32" s="9">
        <f>INDEX(MINVU_Mes_Corriente!$1:$300, 40, 3 + ($C$4 - 2021)*13 + 12)</f>
        <v>20053849</v>
      </c>
      <c r="F32" s="9">
        <f>INDEX(MINVU_Mes_Corriente!$1:$300, 62, 3 + ($C$4 - 2021)*13 + 12)</f>
        <v>19302172</v>
      </c>
      <c r="G32" s="9">
        <f>INDEX(MINVU_Mes_Corriente!$1:$300, 109, 3 + ($C$4 - 2021)*13 + 12)</f>
        <v>6865</v>
      </c>
      <c r="H32" s="9">
        <f>INDEX(MINVU_Mes_Corriente!$1:$300, 131, 3 + ($C$4 - 2021)*13 + 12)</f>
        <v>6833</v>
      </c>
      <c r="I32" s="9">
        <f t="shared" si="0"/>
        <v>233505462</v>
      </c>
      <c r="J32" s="9">
        <f t="shared" si="0"/>
        <v>232634063</v>
      </c>
      <c r="K32" s="9">
        <f t="shared" si="1"/>
        <v>871399</v>
      </c>
      <c r="L32" s="10">
        <f t="shared" si="2"/>
        <v>0.99626818579515708</v>
      </c>
      <c r="M32" s="10">
        <f t="shared" si="3"/>
        <v>7.0063517526085306E-2</v>
      </c>
    </row>
    <row r="33" spans="2:15" x14ac:dyDescent="0.3">
      <c r="B33" s="16" t="s">
        <v>57</v>
      </c>
      <c r="C33" s="17">
        <f>INDEX(MINVU_Mes_Corriente!$1:$300, 179, 3 + ($C$4 - 2021)*13 + 12)</f>
        <v>154702362</v>
      </c>
      <c r="D33" s="17">
        <f>INDEX(MINVU_Mes_Corriente!$1:$300, 201, 3 + ($C$4 - 2021)*13 + 12)</f>
        <v>154664738</v>
      </c>
      <c r="E33" s="17">
        <f>INDEX(MINVU_Mes_Corriente!$1:$300, 41, 3 + ($C$4 - 2021)*13 + 12)</f>
        <v>19120001</v>
      </c>
      <c r="F33" s="17">
        <f>INDEX(MINVU_Mes_Corriente!$1:$300, 63, 3 + ($C$4 - 2021)*13 + 12)</f>
        <v>17950052</v>
      </c>
      <c r="G33" s="17">
        <f>INDEX(MINVU_Mes_Corriente!$1:$300, 110, 3 + ($C$4 - 2021)*13 + 12)</f>
        <v>6270</v>
      </c>
      <c r="H33" s="17">
        <f>INDEX(MINVU_Mes_Corriente!$1:$300, 132, 3 + ($C$4 - 2021)*13 + 12)</f>
        <v>6042</v>
      </c>
      <c r="I33" s="17">
        <f t="shared" si="0"/>
        <v>173828633</v>
      </c>
      <c r="J33" s="17">
        <f t="shared" si="0"/>
        <v>172620832</v>
      </c>
      <c r="K33" s="17">
        <f t="shared" si="1"/>
        <v>1207801</v>
      </c>
      <c r="L33" s="18">
        <f t="shared" si="2"/>
        <v>0.99305177185625104</v>
      </c>
      <c r="M33" s="18">
        <f t="shared" si="3"/>
        <v>5.2157432937183078E-2</v>
      </c>
    </row>
    <row r="34" spans="2:15" x14ac:dyDescent="0.3">
      <c r="B34" s="7" t="s">
        <v>58</v>
      </c>
      <c r="C34" s="9">
        <f>INDEX(MINVU_Mes_Corriente!$1:$300, 180, 3 + ($C$4 - 2021)*13 + 12)</f>
        <v>303934966</v>
      </c>
      <c r="D34" s="9">
        <f>INDEX(MINVU_Mes_Corriente!$1:$300, 202, 3 + ($C$4 - 2021)*13 + 12)</f>
        <v>303859023</v>
      </c>
      <c r="E34" s="9">
        <f>INDEX(MINVU_Mes_Corriente!$1:$300, 42, 3 + ($C$4 - 2021)*13 + 12)</f>
        <v>52850218</v>
      </c>
      <c r="F34" s="9">
        <f>INDEX(MINVU_Mes_Corriente!$1:$300, 64, 3 + ($C$4 - 2021)*13 + 12)</f>
        <v>52001305</v>
      </c>
      <c r="G34" s="9">
        <f>INDEX(MINVU_Mes_Corriente!$1:$300, 111, 3 + ($C$4 - 2021)*13 + 12)</f>
        <v>12960</v>
      </c>
      <c r="H34" s="9">
        <f>INDEX(MINVU_Mes_Corriente!$1:$300, 133, 3 + ($C$4 - 2021)*13 + 12)</f>
        <v>12190</v>
      </c>
      <c r="I34" s="9">
        <f t="shared" si="0"/>
        <v>356798144</v>
      </c>
      <c r="J34" s="9">
        <f t="shared" si="0"/>
        <v>355872518</v>
      </c>
      <c r="K34" s="9">
        <f t="shared" si="1"/>
        <v>925626</v>
      </c>
      <c r="L34" s="10">
        <f t="shared" si="2"/>
        <v>0.99740574323166886</v>
      </c>
      <c r="M34" s="10">
        <f t="shared" si="3"/>
        <v>0.10705759429052975</v>
      </c>
    </row>
    <row r="35" spans="2:15" x14ac:dyDescent="0.3">
      <c r="B35" s="16" t="s">
        <v>59</v>
      </c>
      <c r="C35" s="17">
        <f>INDEX(MINVU_Mes_Corriente!$1:$300, 181, 3 + ($C$4 - 2021)*13 + 12)</f>
        <v>266347073</v>
      </c>
      <c r="D35" s="17">
        <f>INDEX(MINVU_Mes_Corriente!$1:$300, 203, 3 + ($C$4 - 2021)*13 + 12)</f>
        <v>265754901</v>
      </c>
      <c r="E35" s="17">
        <f>INDEX(MINVU_Mes_Corriente!$1:$300, 43, 3 + ($C$4 - 2021)*13 + 12)</f>
        <v>36728957</v>
      </c>
      <c r="F35" s="17">
        <f>INDEX(MINVU_Mes_Corriente!$1:$300, 65, 3 + ($C$4 - 2021)*13 + 12)</f>
        <v>36426224</v>
      </c>
      <c r="G35" s="17">
        <f>INDEX(MINVU_Mes_Corriente!$1:$300, 112, 3 + ($C$4 - 2021)*13 + 12)</f>
        <v>12161</v>
      </c>
      <c r="H35" s="17">
        <f>INDEX(MINVU_Mes_Corriente!$1:$300, 134, 3 + ($C$4 - 2021)*13 + 12)</f>
        <v>12134</v>
      </c>
      <c r="I35" s="17">
        <f t="shared" si="0"/>
        <v>303088191</v>
      </c>
      <c r="J35" s="17">
        <f t="shared" si="0"/>
        <v>302193259</v>
      </c>
      <c r="K35" s="17">
        <f t="shared" si="1"/>
        <v>894932</v>
      </c>
      <c r="L35" s="18">
        <f t="shared" si="2"/>
        <v>0.99704728845737178</v>
      </c>
      <c r="M35" s="18">
        <f t="shared" si="3"/>
        <v>9.0941876049468989E-2</v>
      </c>
    </row>
    <row r="36" spans="2:15" x14ac:dyDescent="0.3">
      <c r="B36" s="7" t="s">
        <v>60</v>
      </c>
      <c r="C36" s="9">
        <f>INDEX(MINVU_Mes_Corriente!$1:$300, 182, 3 + ($C$4 - 2021)*13 + 12)</f>
        <v>73852164</v>
      </c>
      <c r="D36" s="9">
        <f>INDEX(MINVU_Mes_Corriente!$1:$300, 204, 3 + ($C$4 - 2021)*13 + 12)</f>
        <v>72195760</v>
      </c>
      <c r="E36" s="9">
        <f>INDEX(MINVU_Mes_Corriente!$1:$300, 44, 3 + ($C$4 - 2021)*13 + 12)</f>
        <v>13330524</v>
      </c>
      <c r="F36" s="9">
        <f>INDEX(MINVU_Mes_Corriente!$1:$300, 66, 3 + ($C$4 - 2021)*13 + 12)</f>
        <v>12655537</v>
      </c>
      <c r="G36" s="9">
        <f>INDEX(MINVU_Mes_Corriente!$1:$300, 113, 3 + ($C$4 - 2021)*13 + 12)</f>
        <v>9216</v>
      </c>
      <c r="H36" s="9">
        <f>INDEX(MINVU_Mes_Corriente!$1:$300, 135, 3 + ($C$4 - 2021)*13 + 12)</f>
        <v>9209</v>
      </c>
      <c r="I36" s="9">
        <f t="shared" si="0"/>
        <v>87191904</v>
      </c>
      <c r="J36" s="9">
        <f t="shared" si="0"/>
        <v>84860506</v>
      </c>
      <c r="K36" s="9">
        <f t="shared" si="1"/>
        <v>2331398</v>
      </c>
      <c r="L36" s="10">
        <f t="shared" si="2"/>
        <v>0.97326130187499982</v>
      </c>
      <c r="M36" s="10">
        <f t="shared" si="3"/>
        <v>2.61620068400659E-2</v>
      </c>
    </row>
    <row r="37" spans="2:15" x14ac:dyDescent="0.3">
      <c r="B37" s="16" t="s">
        <v>61</v>
      </c>
      <c r="C37" s="17">
        <f>INDEX(MINVU_Mes_Corriente!$1:$300, 183, 3 + ($C$4 - 2021)*13 + 12)</f>
        <v>209110935</v>
      </c>
      <c r="D37" s="17">
        <f>INDEX(MINVU_Mes_Corriente!$1:$300, 205, 3 + ($C$4 - 2021)*13 + 12)</f>
        <v>209043392</v>
      </c>
      <c r="E37" s="17">
        <f>INDEX(MINVU_Mes_Corriente!$1:$300, 45, 3 + ($C$4 - 2021)*13 + 12)</f>
        <v>17300120</v>
      </c>
      <c r="F37" s="17">
        <f>INDEX(MINVU_Mes_Corriente!$1:$300, 67, 3 + ($C$4 - 2021)*13 + 12)</f>
        <v>16578842</v>
      </c>
      <c r="G37" s="17">
        <f>INDEX(MINVU_Mes_Corriente!$1:$300, 114, 3 + ($C$4 - 2021)*13 + 12)</f>
        <v>9262299</v>
      </c>
      <c r="H37" s="17">
        <f>INDEX(MINVU_Mes_Corriente!$1:$300, 136, 3 + ($C$4 - 2021)*13 + 12)</f>
        <v>9235856</v>
      </c>
      <c r="I37" s="17">
        <f t="shared" si="0"/>
        <v>235673354</v>
      </c>
      <c r="J37" s="17">
        <f t="shared" si="0"/>
        <v>234858090</v>
      </c>
      <c r="K37" s="17">
        <f t="shared" si="1"/>
        <v>815264</v>
      </c>
      <c r="L37" s="18">
        <f t="shared" si="2"/>
        <v>0.9965407035366417</v>
      </c>
      <c r="M37" s="18">
        <f t="shared" si="3"/>
        <v>7.0713995411423425E-2</v>
      </c>
    </row>
    <row r="38" spans="2:15" x14ac:dyDescent="0.3">
      <c r="B38" s="7" t="s">
        <v>62</v>
      </c>
      <c r="C38" s="9">
        <f>INDEX(MINVU_Mes_Corriente!$1:$300, 184, 3 + ($C$4 - 2021)*13 + 12)</f>
        <v>40911462</v>
      </c>
      <c r="D38" s="9">
        <f>INDEX(MINVU_Mes_Corriente!$1:$300, 206, 3 + ($C$4 - 2021)*13 + 12)</f>
        <v>40629172</v>
      </c>
      <c r="E38" s="9">
        <f>INDEX(MINVU_Mes_Corriente!$1:$300, 46, 3 + ($C$4 - 2021)*13 + 12)</f>
        <v>7723948</v>
      </c>
      <c r="F38" s="9">
        <f>INDEX(MINVU_Mes_Corriente!$1:$300, 68, 3 + ($C$4 - 2021)*13 + 12)</f>
        <v>7636879</v>
      </c>
      <c r="G38" s="9">
        <f>INDEX(MINVU_Mes_Corriente!$1:$300, 115, 3 + ($C$4 - 2021)*13 + 12)</f>
        <v>6270</v>
      </c>
      <c r="H38" s="9">
        <f>INDEX(MINVU_Mes_Corriente!$1:$300, 137, 3 + ($C$4 - 2021)*13 + 12)</f>
        <v>6224</v>
      </c>
      <c r="I38" s="9">
        <f t="shared" si="0"/>
        <v>48641680</v>
      </c>
      <c r="J38" s="9">
        <f t="shared" si="0"/>
        <v>48272275</v>
      </c>
      <c r="K38" s="9">
        <f t="shared" si="1"/>
        <v>369405</v>
      </c>
      <c r="L38" s="10">
        <f t="shared" si="2"/>
        <v>0.99240558714254934</v>
      </c>
      <c r="M38" s="10">
        <f t="shared" si="3"/>
        <v>1.4594978507090482E-2</v>
      </c>
    </row>
    <row r="39" spans="2:15" x14ac:dyDescent="0.3">
      <c r="B39" s="16" t="s">
        <v>63</v>
      </c>
      <c r="C39" s="17">
        <f>INDEX(MINVU_Mes_Corriente!$1:$300, 185, 3 + ($C$4 - 2021)*13 + 12)</f>
        <v>66490061</v>
      </c>
      <c r="D39" s="17">
        <f>INDEX(MINVU_Mes_Corriente!$1:$300, 207, 3 + ($C$4 - 2021)*13 + 12)</f>
        <v>66459701</v>
      </c>
      <c r="E39" s="17">
        <f>INDEX(MINVU_Mes_Corriente!$1:$300, 47, 3 + ($C$4 - 2021)*13 + 12)</f>
        <v>17985481</v>
      </c>
      <c r="F39" s="17">
        <f>INDEX(MINVU_Mes_Corriente!$1:$300, 69, 3 + ($C$4 - 2021)*13 + 12)</f>
        <v>17938143</v>
      </c>
      <c r="G39" s="17">
        <f>INDEX(MINVU_Mes_Corriente!$1:$300, 116, 3 + ($C$4 - 2021)*13 + 12)</f>
        <v>8343</v>
      </c>
      <c r="H39" s="17">
        <f>INDEX(MINVU_Mes_Corriente!$1:$300, 138, 3 + ($C$4 - 2021)*13 + 12)</f>
        <v>8289</v>
      </c>
      <c r="I39" s="17">
        <f t="shared" si="0"/>
        <v>84483885</v>
      </c>
      <c r="J39" s="17">
        <f t="shared" si="0"/>
        <v>84406133</v>
      </c>
      <c r="K39" s="17">
        <f t="shared" si="1"/>
        <v>77752</v>
      </c>
      <c r="L39" s="18">
        <f t="shared" si="2"/>
        <v>0.99907968247435586</v>
      </c>
      <c r="M39" s="18">
        <f t="shared" si="3"/>
        <v>2.534946337730325E-2</v>
      </c>
    </row>
    <row r="40" spans="2:15" ht="15" thickBot="1" x14ac:dyDescent="0.35">
      <c r="B40" s="11" t="s">
        <v>64</v>
      </c>
      <c r="C40" s="13">
        <f t="shared" ref="C40:K40" si="4">SUM(C22:C39)</f>
        <v>2913408485</v>
      </c>
      <c r="D40" s="13">
        <f t="shared" si="4"/>
        <v>2904924599</v>
      </c>
      <c r="E40" s="13">
        <f t="shared" si="4"/>
        <v>400142072</v>
      </c>
      <c r="F40" s="13">
        <f t="shared" si="4"/>
        <v>388712182</v>
      </c>
      <c r="G40" s="13">
        <f t="shared" si="4"/>
        <v>19217626</v>
      </c>
      <c r="H40" s="13">
        <f t="shared" si="4"/>
        <v>19062259</v>
      </c>
      <c r="I40" s="13">
        <f t="shared" si="4"/>
        <v>3332768183</v>
      </c>
      <c r="J40" s="13">
        <f t="shared" si="4"/>
        <v>3312699040</v>
      </c>
      <c r="K40" s="13">
        <f t="shared" si="4"/>
        <v>20069143</v>
      </c>
      <c r="L40" s="14">
        <f t="shared" si="2"/>
        <v>0.99397823613944414</v>
      </c>
      <c r="M40" s="14">
        <f>SUM(M22:M39)</f>
        <v>1</v>
      </c>
    </row>
    <row r="42" spans="2:15" x14ac:dyDescent="0.3">
      <c r="B42" s="5" t="s">
        <v>65</v>
      </c>
    </row>
    <row r="44" spans="2:15" x14ac:dyDescent="0.3">
      <c r="B44" s="19" t="s">
        <v>66</v>
      </c>
      <c r="C44" s="19" t="s">
        <v>67</v>
      </c>
      <c r="D44" s="19" t="s">
        <v>68</v>
      </c>
      <c r="E44" s="19" t="s">
        <v>69</v>
      </c>
      <c r="F44" s="19" t="s">
        <v>70</v>
      </c>
      <c r="G44" s="19" t="s">
        <v>71</v>
      </c>
      <c r="H44" s="19" t="s">
        <v>72</v>
      </c>
      <c r="I44" s="19" t="s">
        <v>73</v>
      </c>
      <c r="J44" s="19" t="s">
        <v>74</v>
      </c>
      <c r="K44" s="19" t="s">
        <v>75</v>
      </c>
      <c r="L44" s="19" t="s">
        <v>76</v>
      </c>
      <c r="M44" s="19" t="s">
        <v>77</v>
      </c>
      <c r="N44" s="19" t="s">
        <v>78</v>
      </c>
      <c r="O44" s="19" t="s">
        <v>79</v>
      </c>
    </row>
    <row r="45" spans="2:15" x14ac:dyDescent="0.3">
      <c r="B45" s="7" t="s">
        <v>20</v>
      </c>
      <c r="C45" s="9">
        <f>INDEX(MINVU_Mes_Corriente!$1:$300, 164, 3 + ($C$4 - 2021)*13 + 0) + INDEX(MINVU_Mes_Corriente!$1:$300, 26, 3 + ($C$4 - 2021)*13 + 0) + INDEX(MINVU_Mes_Corriente!$1:$300, 95, 3 + ($C$4 - 2021)*13 + 0)</f>
        <v>3320541734</v>
      </c>
      <c r="D45" s="9">
        <f>INDEX(MINVU_Mes_Corriente!$1:$300, 164, 3 + ($C$4 - 2021)*13 + 1) + INDEX(MINVU_Mes_Corriente!$1:$300, 26, 3 + ($C$4 - 2021)*13 + 1) + INDEX(MINVU_Mes_Corriente!$1:$300, 95, 3 + ($C$4 - 2021)*13 + 1)</f>
        <v>3320541734</v>
      </c>
      <c r="E45" s="9">
        <f>INDEX(MINVU_Mes_Corriente!$1:$300, 164, 3 + ($C$4 - 2021)*13 + 2) + INDEX(MINVU_Mes_Corriente!$1:$300, 26, 3 + ($C$4 - 2021)*13 + 2) + INDEX(MINVU_Mes_Corriente!$1:$300, 95, 3 + ($C$4 - 2021)*13 + 2)</f>
        <v>3320541734</v>
      </c>
      <c r="F45" s="9">
        <f>INDEX(MINVU_Mes_Corriente!$1:$300, 164, 3 + ($C$4 - 2021)*13 + 3) + INDEX(MINVU_Mes_Corriente!$1:$300, 26, 3 + ($C$4 - 2021)*13 + 3) + INDEX(MINVU_Mes_Corriente!$1:$300, 95, 3 + ($C$4 - 2021)*13 + 3)</f>
        <v>3320541734</v>
      </c>
      <c r="G45" s="9">
        <f>INDEX(MINVU_Mes_Corriente!$1:$300, 164, 3 + ($C$4 - 2021)*13 + 4) + INDEX(MINVU_Mes_Corriente!$1:$300, 26, 3 + ($C$4 - 2021)*13 + 4) + INDEX(MINVU_Mes_Corriente!$1:$300, 95, 3 + ($C$4 - 2021)*13 + 4)</f>
        <v>3320541734</v>
      </c>
      <c r="H45" s="9">
        <f>INDEX(MINVU_Mes_Corriente!$1:$300, 164, 3 + ($C$4 - 2021)*13 + 5) + INDEX(MINVU_Mes_Corriente!$1:$300, 26, 3 + ($C$4 - 2021)*13 + 5) + INDEX(MINVU_Mes_Corriente!$1:$300, 95, 3 + ($C$4 - 2021)*13 + 5)</f>
        <v>3320541734</v>
      </c>
      <c r="I45" s="9">
        <f>INDEX(MINVU_Mes_Corriente!$1:$300, 164, 3 + ($C$4 - 2021)*13 + 6) + INDEX(MINVU_Mes_Corriente!$1:$300, 26, 3 + ($C$4 - 2021)*13 + 6) + INDEX(MINVU_Mes_Corriente!$1:$300, 95, 3 + ($C$4 - 2021)*13 + 6)</f>
        <v>3320541734</v>
      </c>
      <c r="J45" s="9">
        <f>INDEX(MINVU_Mes_Corriente!$1:$300, 164, 3 + ($C$4 - 2021)*13 + 7) + INDEX(MINVU_Mes_Corriente!$1:$300, 26, 3 + ($C$4 - 2021)*13 + 7) + INDEX(MINVU_Mes_Corriente!$1:$300, 95, 3 + ($C$4 - 2021)*13 + 7)</f>
        <v>3320541734</v>
      </c>
      <c r="K45" s="9">
        <f>INDEX(MINVU_Mes_Corriente!$1:$300, 164, 3 + ($C$4 - 2021)*13 + 8) + INDEX(MINVU_Mes_Corriente!$1:$300, 26, 3 + ($C$4 - 2021)*13 + 8) + INDEX(MINVU_Mes_Corriente!$1:$300, 95, 3 + ($C$4 - 2021)*13 + 8)</f>
        <v>3320541734</v>
      </c>
      <c r="L45" s="9">
        <f>INDEX(MINVU_Mes_Corriente!$1:$300, 164, 3 + ($C$4 - 2021)*13 + 9) + INDEX(MINVU_Mes_Corriente!$1:$300, 26, 3 + ($C$4 - 2021)*13 + 9) + INDEX(MINVU_Mes_Corriente!$1:$300, 95, 3 + ($C$4 - 2021)*13 + 9)</f>
        <v>3320541734</v>
      </c>
      <c r="M45" s="9">
        <f>INDEX(MINVU_Mes_Corriente!$1:$300, 164, 3 + ($C$4 - 2021)*13 + 10) + INDEX(MINVU_Mes_Corriente!$1:$300, 26, 3 + ($C$4 - 2021)*13 + 10) + INDEX(MINVU_Mes_Corriente!$1:$300, 95, 3 + ($C$4 - 2021)*13 + 10)</f>
        <v>3320541734</v>
      </c>
      <c r="N45" s="9">
        <f>INDEX(MINVU_Mes_Corriente!$1:$300, 164, 3 + ($C$4 - 2021)*13 + 11) + INDEX(MINVU_Mes_Corriente!$1:$300, 26, 3 + ($C$4 - 2021)*13 + 11) + INDEX(MINVU_Mes_Corriente!$1:$300, 95, 3 + ($C$4 - 2021)*13 + 11)</f>
        <v>3320541734</v>
      </c>
      <c r="O45" s="20">
        <f>INDEX(MINVU_Mes_Corriente!$1:$300, 164, 3 + ($C$4 - 2021)*13 + 12) + INDEX(MINVU_Mes_Corriente!$1:$300, 26, 3 + ($C$4 - 2021)*13 + 12) + INDEX(MINVU_Mes_Corriente!$1:$300, 95, 3 + ($C$4 - 2021)*13 + 12)</f>
        <v>3320541734</v>
      </c>
    </row>
    <row r="46" spans="2:15" x14ac:dyDescent="0.3">
      <c r="B46" s="7" t="s">
        <v>21</v>
      </c>
      <c r="C46" s="9">
        <f>INDEX(MINVU_Mes_Corriente!$1:$300, 186, 3 + ($C$4 - 2021)*13 + 0) + INDEX(MINVU_Mes_Corriente!$1:$300, 48, 3 + ($C$4 - 2021)*13 + 0) + INDEX(MINVU_Mes_Corriente!$1:$300, 117, 3 + ($C$4 - 2021)*13 + 0)</f>
        <v>3320541734</v>
      </c>
      <c r="D46" s="9">
        <f>INDEX(MINVU_Mes_Corriente!$1:$300, 186, 3 + ($C$4 - 2021)*13 + 1) + INDEX(MINVU_Mes_Corriente!$1:$300, 48, 3 + ($C$4 - 2021)*13 + 1) + INDEX(MINVU_Mes_Corriente!$1:$300, 117, 3 + ($C$4 - 2021)*13 + 1)</f>
        <v>3320541734</v>
      </c>
      <c r="E46" s="9">
        <f>INDEX(MINVU_Mes_Corriente!$1:$300, 186, 3 + ($C$4 - 2021)*13 + 2) + INDEX(MINVU_Mes_Corriente!$1:$300, 48, 3 + ($C$4 - 2021)*13 + 2) + INDEX(MINVU_Mes_Corriente!$1:$300, 117, 3 + ($C$4 - 2021)*13 + 2)</f>
        <v>3320541734</v>
      </c>
      <c r="F46" s="9">
        <f>INDEX(MINVU_Mes_Corriente!$1:$300, 186, 3 + ($C$4 - 2021)*13 + 3) + INDEX(MINVU_Mes_Corriente!$1:$300, 48, 3 + ($C$4 - 2021)*13 + 3) + INDEX(MINVU_Mes_Corriente!$1:$300, 117, 3 + ($C$4 - 2021)*13 + 3)</f>
        <v>3320541734</v>
      </c>
      <c r="G46" s="9">
        <f>INDEX(MINVU_Mes_Corriente!$1:$300, 186, 3 + ($C$4 - 2021)*13 + 4) + INDEX(MINVU_Mes_Corriente!$1:$300, 48, 3 + ($C$4 - 2021)*13 + 4) + INDEX(MINVU_Mes_Corriente!$1:$300, 117, 3 + ($C$4 - 2021)*13 + 4)</f>
        <v>3320643534</v>
      </c>
      <c r="H46" s="9">
        <f>INDEX(MINVU_Mes_Corriente!$1:$300, 186, 3 + ($C$4 - 2021)*13 + 5) + INDEX(MINVU_Mes_Corriente!$1:$300, 48, 3 + ($C$4 - 2021)*13 + 5) + INDEX(MINVU_Mes_Corriente!$1:$300, 117, 3 + ($C$4 - 2021)*13 + 5)</f>
        <v>3320643534</v>
      </c>
      <c r="I46" s="9">
        <f>INDEX(MINVU_Mes_Corriente!$1:$300, 186, 3 + ($C$4 - 2021)*13 + 6) + INDEX(MINVU_Mes_Corriente!$1:$300, 48, 3 + ($C$4 - 2021)*13 + 6) + INDEX(MINVU_Mes_Corriente!$1:$300, 117, 3 + ($C$4 - 2021)*13 + 6)</f>
        <v>3329424159</v>
      </c>
      <c r="J46" s="9">
        <f>INDEX(MINVU_Mes_Corriente!$1:$300, 186, 3 + ($C$4 - 2021)*13 + 7) + INDEX(MINVU_Mes_Corriente!$1:$300, 48, 3 + ($C$4 - 2021)*13 + 7) + INDEX(MINVU_Mes_Corriente!$1:$300, 117, 3 + ($C$4 - 2021)*13 + 7)</f>
        <v>3376717372</v>
      </c>
      <c r="K46" s="9">
        <f>INDEX(MINVU_Mes_Corriente!$1:$300, 186, 3 + ($C$4 - 2021)*13 + 8) + INDEX(MINVU_Mes_Corriente!$1:$300, 48, 3 + ($C$4 - 2021)*13 + 8) + INDEX(MINVU_Mes_Corriente!$1:$300, 117, 3 + ($C$4 - 2021)*13 + 8)</f>
        <v>3421717372</v>
      </c>
      <c r="L46" s="9">
        <f>INDEX(MINVU_Mes_Corriente!$1:$300, 186, 3 + ($C$4 - 2021)*13 + 9) + INDEX(MINVU_Mes_Corriente!$1:$300, 48, 3 + ($C$4 - 2021)*13 + 9) + INDEX(MINVU_Mes_Corriente!$1:$300, 117, 3 + ($C$4 - 2021)*13 + 9)</f>
        <v>3491232791</v>
      </c>
      <c r="M46" s="9">
        <f>INDEX(MINVU_Mes_Corriente!$1:$300, 186, 3 + ($C$4 - 2021)*13 + 10) + INDEX(MINVU_Mes_Corriente!$1:$300, 48, 3 + ($C$4 - 2021)*13 + 10) + INDEX(MINVU_Mes_Corriente!$1:$300, 117, 3 + ($C$4 - 2021)*13 + 10)</f>
        <v>3488688633</v>
      </c>
      <c r="N46" s="9">
        <f>INDEX(MINVU_Mes_Corriente!$1:$300, 186, 3 + ($C$4 - 2021)*13 + 11) + INDEX(MINVU_Mes_Corriente!$1:$300, 48, 3 + ($C$4 - 2021)*13 + 11) + INDEX(MINVU_Mes_Corriente!$1:$300, 117, 3 + ($C$4 - 2021)*13 + 11)</f>
        <v>3332768183</v>
      </c>
      <c r="O46" s="20">
        <f>INDEX(MINVU_Mes_Corriente!$1:$300, 186, 3 + ($C$4 - 2021)*13 + 12) + INDEX(MINVU_Mes_Corriente!$1:$300, 48, 3 + ($C$4 - 2021)*13 + 12) + INDEX(MINVU_Mes_Corriente!$1:$300, 117, 3 + ($C$4 - 2021)*13 + 12)</f>
        <v>3332768183</v>
      </c>
    </row>
    <row r="47" spans="2:15" x14ac:dyDescent="0.3">
      <c r="B47" s="21" t="s">
        <v>22</v>
      </c>
      <c r="C47" s="22">
        <f>INDEX(MINVU_Mes_Corriente!$1:$300, 208, 3 + ($C$4 - 2021)*13 + 0) + INDEX(MINVU_Mes_Corriente!$1:$300, 70, 3 + ($C$4 - 2021)*13 + 0) + INDEX(MINVU_Mes_Corriente!$1:$300, 139, 3 + ($C$4 - 2021)*13 + 0)</f>
        <v>144905537</v>
      </c>
      <c r="D47" s="22">
        <f>INDEX(MINVU_Mes_Corriente!$1:$300, 208, 3 + ($C$4 - 2021)*13 + 1) + INDEX(MINVU_Mes_Corriente!$1:$300, 70, 3 + ($C$4 - 2021)*13 + 1) + INDEX(MINVU_Mes_Corriente!$1:$300, 139, 3 + ($C$4 - 2021)*13 + 1)</f>
        <v>392112901</v>
      </c>
      <c r="E47" s="22">
        <f>INDEX(MINVU_Mes_Corriente!$1:$300, 208, 3 + ($C$4 - 2021)*13 + 2) + INDEX(MINVU_Mes_Corriente!$1:$300, 70, 3 + ($C$4 - 2021)*13 + 2) + INDEX(MINVU_Mes_Corriente!$1:$300, 139, 3 + ($C$4 - 2021)*13 + 2)</f>
        <v>734004289</v>
      </c>
      <c r="F47" s="22">
        <f>INDEX(MINVU_Mes_Corriente!$1:$300, 208, 3 + ($C$4 - 2021)*13 + 3) + INDEX(MINVU_Mes_Corriente!$1:$300, 70, 3 + ($C$4 - 2021)*13 + 3) + INDEX(MINVU_Mes_Corriente!$1:$300, 139, 3 + ($C$4 - 2021)*13 + 3)</f>
        <v>1004471755</v>
      </c>
      <c r="G47" s="22">
        <f>INDEX(MINVU_Mes_Corriente!$1:$300, 208, 3 + ($C$4 - 2021)*13 + 4) + INDEX(MINVU_Mes_Corriente!$1:$300, 70, 3 + ($C$4 - 2021)*13 + 4) + INDEX(MINVU_Mes_Corriente!$1:$300, 139, 3 + ($C$4 - 2021)*13 + 4)</f>
        <v>1303821878</v>
      </c>
      <c r="H47" s="22">
        <f>INDEX(MINVU_Mes_Corriente!$1:$300, 208, 3 + ($C$4 - 2021)*13 + 5) + INDEX(MINVU_Mes_Corriente!$1:$300, 70, 3 + ($C$4 - 2021)*13 + 5) + INDEX(MINVU_Mes_Corriente!$1:$300, 139, 3 + ($C$4 - 2021)*13 + 5)</f>
        <v>1551877586</v>
      </c>
      <c r="I47" s="22">
        <f>INDEX(MINVU_Mes_Corriente!$1:$300, 208, 3 + ($C$4 - 2021)*13 + 6) + INDEX(MINVU_Mes_Corriente!$1:$300, 70, 3 + ($C$4 - 2021)*13 + 6) + INDEX(MINVU_Mes_Corriente!$1:$300, 139, 3 + ($C$4 - 2021)*13 + 6)</f>
        <v>1800513314</v>
      </c>
      <c r="J47" s="22">
        <f>INDEX(MINVU_Mes_Corriente!$1:$300, 208, 3 + ($C$4 - 2021)*13 + 7) + INDEX(MINVU_Mes_Corriente!$1:$300, 70, 3 + ($C$4 - 2021)*13 + 7) + INDEX(MINVU_Mes_Corriente!$1:$300, 139, 3 + ($C$4 - 2021)*13 + 7)</f>
        <v>2056646958</v>
      </c>
      <c r="K47" s="22">
        <f>INDEX(MINVU_Mes_Corriente!$1:$300, 208, 3 + ($C$4 - 2021)*13 + 8) + INDEX(MINVU_Mes_Corriente!$1:$300, 70, 3 + ($C$4 - 2021)*13 + 8) + INDEX(MINVU_Mes_Corriente!$1:$300, 139, 3 + ($C$4 - 2021)*13 + 8)</f>
        <v>2287303377</v>
      </c>
      <c r="L47" s="22">
        <f>INDEX(MINVU_Mes_Corriente!$1:$300, 208, 3 + ($C$4 - 2021)*13 + 9) + INDEX(MINVU_Mes_Corriente!$1:$300, 70, 3 + ($C$4 - 2021)*13 + 9) + INDEX(MINVU_Mes_Corriente!$1:$300, 139, 3 + ($C$4 - 2021)*13 + 9)</f>
        <v>2541084845</v>
      </c>
      <c r="M47" s="22">
        <f>INDEX(MINVU_Mes_Corriente!$1:$300, 208, 3 + ($C$4 - 2021)*13 + 10) + INDEX(MINVU_Mes_Corriente!$1:$300, 70, 3 + ($C$4 - 2021)*13 + 10) + INDEX(MINVU_Mes_Corriente!$1:$300, 139, 3 + ($C$4 - 2021)*13 + 10)</f>
        <v>2810519043</v>
      </c>
      <c r="N47" s="22">
        <f>INDEX(MINVU_Mes_Corriente!$1:$300, 208, 3 + ($C$4 - 2021)*13 + 11) + INDEX(MINVU_Mes_Corriente!$1:$300, 70, 3 + ($C$4 - 2021)*13 + 11) + INDEX(MINVU_Mes_Corriente!$1:$300, 139, 3 + ($C$4 - 2021)*13 + 11)</f>
        <v>3312699040</v>
      </c>
      <c r="O47" s="23">
        <f>INDEX(MINVU_Mes_Corriente!$1:$300, 208, 3 + ($C$4 - 2021)*13 + 12) + INDEX(MINVU_Mes_Corriente!$1:$300, 70, 3 + ($C$4 - 2021)*13 + 12) + INDEX(MINVU_Mes_Corriente!$1:$300, 139, 3 + ($C$4 - 2021)*13 + 12)</f>
        <v>3312699040</v>
      </c>
    </row>
    <row r="48" spans="2:15" ht="15" thickBot="1" x14ac:dyDescent="0.35">
      <c r="B48" s="24" t="s">
        <v>80</v>
      </c>
      <c r="C48" s="25">
        <f t="shared" ref="C48:O48" si="5">IF(C46&gt;0, C47/C46, 0)</f>
        <v>4.36391253620666E-2</v>
      </c>
      <c r="D48" s="25">
        <f t="shared" si="5"/>
        <v>0.1180870268802952</v>
      </c>
      <c r="E48" s="25">
        <f t="shared" si="5"/>
        <v>0.2210495599209957</v>
      </c>
      <c r="F48" s="25">
        <f t="shared" si="5"/>
        <v>0.30250237324678658</v>
      </c>
      <c r="G48" s="25">
        <f t="shared" si="5"/>
        <v>0.39264132528836504</v>
      </c>
      <c r="H48" s="25">
        <f t="shared" si="5"/>
        <v>0.46734242025991579</v>
      </c>
      <c r="I48" s="25">
        <f t="shared" si="5"/>
        <v>0.54078820481100498</v>
      </c>
      <c r="J48" s="25">
        <f t="shared" si="5"/>
        <v>0.60906695213933948</v>
      </c>
      <c r="K48" s="25">
        <f t="shared" si="5"/>
        <v>0.6684664828594733</v>
      </c>
      <c r="L48" s="25">
        <f t="shared" si="5"/>
        <v>0.72784743874731783</v>
      </c>
      <c r="M48" s="25">
        <f t="shared" si="5"/>
        <v>0.80560902352101649</v>
      </c>
      <c r="N48" s="25">
        <f t="shared" si="5"/>
        <v>0.99397823613944414</v>
      </c>
      <c r="O48" s="14">
        <f t="shared" si="5"/>
        <v>0.99397823613944414</v>
      </c>
    </row>
    <row r="50" spans="2:9" x14ac:dyDescent="0.3">
      <c r="B50" s="5" t="s">
        <v>81</v>
      </c>
    </row>
    <row r="52" spans="2:9" ht="27.6" x14ac:dyDescent="0.3">
      <c r="B52" s="6" t="s">
        <v>82</v>
      </c>
      <c r="C52" s="6" t="s">
        <v>20</v>
      </c>
      <c r="D52" s="6" t="s">
        <v>21</v>
      </c>
      <c r="E52" s="6" t="s">
        <v>22</v>
      </c>
      <c r="F52" s="6" t="s">
        <v>23</v>
      </c>
      <c r="G52" s="6" t="s">
        <v>24</v>
      </c>
      <c r="H52" s="6" t="s">
        <v>83</v>
      </c>
      <c r="I52" s="6" t="s">
        <v>84</v>
      </c>
    </row>
    <row r="53" spans="2:9" x14ac:dyDescent="0.3">
      <c r="B53" s="26">
        <v>2021</v>
      </c>
      <c r="C53" s="17">
        <f>MINVU_Mes_Corriente!O164 + MINVU_Mes_Corriente!O26 + MINVU_Mes_Corriente!O95</f>
        <v>2165166433</v>
      </c>
      <c r="D53" s="17">
        <f>MINVU_Mes_Corriente!O186 + MINVU_Mes_Corriente!O48 + MINVU_Mes_Corriente!O117</f>
        <v>2390342927</v>
      </c>
      <c r="E53" s="17">
        <f>MINVU_Mes_Corriente!O208 + MINVU_Mes_Corriente!O70 + MINVU_Mes_Corriente!O139</f>
        <v>2353204514</v>
      </c>
      <c r="F53" s="17">
        <f t="shared" ref="F53:F58" si="6">D53 - E53</f>
        <v>37138413</v>
      </c>
      <c r="G53" s="18">
        <f t="shared" ref="G53:G58" si="7">IF(D53&gt;0, E53/D53, 0)</f>
        <v>0.98446314435451709</v>
      </c>
      <c r="H53" s="27" t="s">
        <v>85</v>
      </c>
      <c r="I53" s="27" t="s">
        <v>85</v>
      </c>
    </row>
    <row r="54" spans="2:9" x14ac:dyDescent="0.3">
      <c r="B54" s="28">
        <v>2022</v>
      </c>
      <c r="C54" s="9">
        <f>MINVU_Mes_Corriente!AB164 + MINVU_Mes_Corriente!AB26 + MINVU_Mes_Corriente!AB95</f>
        <v>2517555200</v>
      </c>
      <c r="D54" s="9">
        <f>MINVU_Mes_Corriente!AB186 + MINVU_Mes_Corriente!AB48 + MINVU_Mes_Corriente!AB117</f>
        <v>2807365504</v>
      </c>
      <c r="E54" s="9">
        <f>MINVU_Mes_Corriente!AB208 + MINVU_Mes_Corriente!AB70 + MINVU_Mes_Corriente!AB139</f>
        <v>2782762948</v>
      </c>
      <c r="F54" s="9">
        <f t="shared" si="6"/>
        <v>24602556</v>
      </c>
      <c r="G54" s="10">
        <f t="shared" si="7"/>
        <v>0.99123642576467308</v>
      </c>
      <c r="H54" s="10">
        <f t="shared" ref="H54:I58" si="8">IF(D53&gt;0, (D54-D53)/D53, 0)</f>
        <v>0.17446140145396802</v>
      </c>
      <c r="I54" s="10">
        <f t="shared" si="8"/>
        <v>0.18254190464297232</v>
      </c>
    </row>
    <row r="55" spans="2:9" x14ac:dyDescent="0.3">
      <c r="B55" s="26">
        <v>2023</v>
      </c>
      <c r="C55" s="17">
        <f>MINVU_Mes_Corriente!AO164 + MINVU_Mes_Corriente!AO26 + MINVU_Mes_Corriente!AO95</f>
        <v>2940348026</v>
      </c>
      <c r="D55" s="17">
        <f>MINVU_Mes_Corriente!AO186 + MINVU_Mes_Corriente!AO48 + MINVU_Mes_Corriente!AO117</f>
        <v>2931817014</v>
      </c>
      <c r="E55" s="17">
        <f>MINVU_Mes_Corriente!AO208 + MINVU_Mes_Corriente!AO70 + MINVU_Mes_Corriente!AO139</f>
        <v>2900163375</v>
      </c>
      <c r="F55" s="17">
        <f t="shared" si="6"/>
        <v>31653639</v>
      </c>
      <c r="G55" s="18">
        <f t="shared" si="7"/>
        <v>0.98920340565292864</v>
      </c>
      <c r="H55" s="18">
        <f t="shared" si="8"/>
        <v>4.4330355211203737E-2</v>
      </c>
      <c r="I55" s="18">
        <f t="shared" si="8"/>
        <v>4.218843976069786E-2</v>
      </c>
    </row>
    <row r="56" spans="2:9" x14ac:dyDescent="0.3">
      <c r="B56" s="28">
        <v>2024</v>
      </c>
      <c r="C56" s="9">
        <f>MINVU_Mes_Corriente!BB164 + MINVU_Mes_Corriente!BB26 + MINVU_Mes_Corriente!BB95</f>
        <v>3320541734</v>
      </c>
      <c r="D56" s="9">
        <f>MINVU_Mes_Corriente!BB186 + MINVU_Mes_Corriente!BB48 + MINVU_Mes_Corriente!BB117</f>
        <v>3332768183</v>
      </c>
      <c r="E56" s="9">
        <f>MINVU_Mes_Corriente!BB208 + MINVU_Mes_Corriente!BB70 + MINVU_Mes_Corriente!BB139</f>
        <v>3312699040</v>
      </c>
      <c r="F56" s="9">
        <f t="shared" si="6"/>
        <v>20069143</v>
      </c>
      <c r="G56" s="10">
        <f t="shared" si="7"/>
        <v>0.99397823613944414</v>
      </c>
      <c r="H56" s="10">
        <f t="shared" si="8"/>
        <v>0.13675859273801186</v>
      </c>
      <c r="I56" s="10">
        <f t="shared" si="8"/>
        <v>0.14224566400504937</v>
      </c>
    </row>
    <row r="57" spans="2:9" x14ac:dyDescent="0.3">
      <c r="B57" s="26">
        <v>2025</v>
      </c>
      <c r="C57" s="17">
        <f>MINVU_Mes_Corriente!BO164 + MINVU_Mes_Corriente!BO26 + MINVU_Mes_Corriente!BO95</f>
        <v>3720328808</v>
      </c>
      <c r="D57" s="17">
        <f>MINVU_Mes_Corriente!BO186 + MINVU_Mes_Corriente!BO48 + MINVU_Mes_Corriente!BO117</f>
        <v>3742940536</v>
      </c>
      <c r="E57" s="17">
        <f>MINVU_Mes_Corriente!BO208 + MINVU_Mes_Corriente!BO70 + MINVU_Mes_Corriente!BO139</f>
        <v>3692492363</v>
      </c>
      <c r="F57" s="17">
        <f t="shared" si="6"/>
        <v>50448173</v>
      </c>
      <c r="G57" s="18">
        <f t="shared" si="7"/>
        <v>0.98652178079913799</v>
      </c>
      <c r="H57" s="18">
        <f t="shared" si="8"/>
        <v>0.12307257225156965</v>
      </c>
      <c r="I57" s="18">
        <f t="shared" si="8"/>
        <v>0.11464769917643952</v>
      </c>
    </row>
    <row r="58" spans="2:9" x14ac:dyDescent="0.3">
      <c r="B58" s="28">
        <v>2026</v>
      </c>
      <c r="C58" s="9">
        <f>MINVU_Mes_Corriente!CB164 + MINVU_Mes_Corriente!CB26 + MINVU_Mes_Corriente!CB95</f>
        <v>4149679420</v>
      </c>
      <c r="D58" s="9">
        <f>MINVU_Mes_Corriente!CB186 + MINVU_Mes_Corriente!CB48 + MINVU_Mes_Corriente!CB117</f>
        <v>4153039902</v>
      </c>
      <c r="E58" s="9">
        <f>MINVU_Mes_Corriente!CB208 + MINVU_Mes_Corriente!CB70 + MINVU_Mes_Corriente!CB139</f>
        <v>2142379287</v>
      </c>
      <c r="F58" s="9">
        <f t="shared" si="6"/>
        <v>2010660615</v>
      </c>
      <c r="G58" s="10">
        <f t="shared" si="7"/>
        <v>0.51585810335419213</v>
      </c>
      <c r="H58" s="10">
        <f t="shared" si="8"/>
        <v>0.10956609170132967</v>
      </c>
      <c r="I58" s="10">
        <f t="shared" si="8"/>
        <v>-0.41980129506363995</v>
      </c>
    </row>
  </sheetData>
  <mergeCells count="19">
    <mergeCell ref="B7:C8"/>
    <mergeCell ref="D7:E8"/>
    <mergeCell ref="F7:G8"/>
    <mergeCell ref="H7:I8"/>
    <mergeCell ref="J7:L8"/>
    <mergeCell ref="B9:C9"/>
    <mergeCell ref="D9:E9"/>
    <mergeCell ref="F9:G9"/>
    <mergeCell ref="H9:I9"/>
    <mergeCell ref="J9:L9"/>
    <mergeCell ref="D4:E4"/>
    <mergeCell ref="F4:G4"/>
    <mergeCell ref="H4:I4"/>
    <mergeCell ref="J4:L4"/>
    <mergeCell ref="B6:C6"/>
    <mergeCell ref="D6:E6"/>
    <mergeCell ref="F6:G6"/>
    <mergeCell ref="H6:I6"/>
    <mergeCell ref="J6:L6"/>
  </mergeCells>
  <dataValidations count="1">
    <dataValidation type="list" sqref="C4" xr:uid="{8F7876AE-9B70-4083-81B8-BAAA88DC3B04}">
      <formula1>"2021,2022,2023,2024,2025,2026"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B1:CB208"/>
  <sheetViews>
    <sheetView workbookViewId="0"/>
  </sheetViews>
  <sheetFormatPr baseColWidth="10" defaultColWidth="8.88671875" defaultRowHeight="14.4" x14ac:dyDescent="0.3"/>
  <cols>
    <col min="1" max="1" width="3" customWidth="1"/>
    <col min="2" max="2" width="38" customWidth="1"/>
    <col min="3" max="80" width="15" customWidth="1"/>
  </cols>
  <sheetData>
    <row r="1" spans="2:80" ht="21" x14ac:dyDescent="0.4">
      <c r="B1" s="1" t="s">
        <v>86</v>
      </c>
    </row>
    <row r="2" spans="2:80" x14ac:dyDescent="0.3">
      <c r="B2" s="2" t="s">
        <v>87</v>
      </c>
    </row>
    <row r="4" spans="2:80" ht="17.399999999999999" x14ac:dyDescent="0.35">
      <c r="B4" s="29" t="s">
        <v>88</v>
      </c>
    </row>
    <row r="5" spans="2:80" x14ac:dyDescent="0.3">
      <c r="B5" s="5" t="s">
        <v>89</v>
      </c>
    </row>
    <row r="6" spans="2:80" x14ac:dyDescent="0.3">
      <c r="C6" s="49" t="s">
        <v>90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49" t="s">
        <v>91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49" t="s">
        <v>92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49" t="s">
        <v>93</v>
      </c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49" t="s">
        <v>94</v>
      </c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49" t="s">
        <v>95</v>
      </c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</row>
    <row r="7" spans="2:80" x14ac:dyDescent="0.3">
      <c r="B7" s="19" t="s">
        <v>96</v>
      </c>
      <c r="C7" s="30" t="s">
        <v>67</v>
      </c>
      <c r="D7" s="30" t="s">
        <v>68</v>
      </c>
      <c r="E7" s="30" t="s">
        <v>69</v>
      </c>
      <c r="F7" s="30" t="s">
        <v>70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75</v>
      </c>
      <c r="L7" s="30" t="s">
        <v>76</v>
      </c>
      <c r="M7" s="30" t="s">
        <v>77</v>
      </c>
      <c r="N7" s="30" t="s">
        <v>78</v>
      </c>
      <c r="O7" s="30" t="s">
        <v>97</v>
      </c>
      <c r="P7" s="30" t="s">
        <v>67</v>
      </c>
      <c r="Q7" s="30" t="s">
        <v>68</v>
      </c>
      <c r="R7" s="30" t="s">
        <v>69</v>
      </c>
      <c r="S7" s="30" t="s">
        <v>70</v>
      </c>
      <c r="T7" s="30" t="s">
        <v>71</v>
      </c>
      <c r="U7" s="30" t="s">
        <v>72</v>
      </c>
      <c r="V7" s="30" t="s">
        <v>73</v>
      </c>
      <c r="W7" s="30" t="s">
        <v>74</v>
      </c>
      <c r="X7" s="30" t="s">
        <v>75</v>
      </c>
      <c r="Y7" s="30" t="s">
        <v>76</v>
      </c>
      <c r="Z7" s="30" t="s">
        <v>77</v>
      </c>
      <c r="AA7" s="30" t="s">
        <v>78</v>
      </c>
      <c r="AB7" s="30" t="s">
        <v>98</v>
      </c>
      <c r="AC7" s="30" t="s">
        <v>67</v>
      </c>
      <c r="AD7" s="30" t="s">
        <v>68</v>
      </c>
      <c r="AE7" s="30" t="s">
        <v>69</v>
      </c>
      <c r="AF7" s="30" t="s">
        <v>70</v>
      </c>
      <c r="AG7" s="30" t="s">
        <v>71</v>
      </c>
      <c r="AH7" s="30" t="s">
        <v>72</v>
      </c>
      <c r="AI7" s="30" t="s">
        <v>73</v>
      </c>
      <c r="AJ7" s="30" t="s">
        <v>74</v>
      </c>
      <c r="AK7" s="30" t="s">
        <v>75</v>
      </c>
      <c r="AL7" s="30" t="s">
        <v>76</v>
      </c>
      <c r="AM7" s="30" t="s">
        <v>77</v>
      </c>
      <c r="AN7" s="30" t="s">
        <v>78</v>
      </c>
      <c r="AO7" s="30" t="s">
        <v>99</v>
      </c>
      <c r="AP7" s="30" t="s">
        <v>67</v>
      </c>
      <c r="AQ7" s="30" t="s">
        <v>68</v>
      </c>
      <c r="AR7" s="30" t="s">
        <v>69</v>
      </c>
      <c r="AS7" s="30" t="s">
        <v>70</v>
      </c>
      <c r="AT7" s="30" t="s">
        <v>71</v>
      </c>
      <c r="AU7" s="30" t="s">
        <v>72</v>
      </c>
      <c r="AV7" s="30" t="s">
        <v>73</v>
      </c>
      <c r="AW7" s="30" t="s">
        <v>74</v>
      </c>
      <c r="AX7" s="30" t="s">
        <v>75</v>
      </c>
      <c r="AY7" s="30" t="s">
        <v>76</v>
      </c>
      <c r="AZ7" s="30" t="s">
        <v>77</v>
      </c>
      <c r="BA7" s="30" t="s">
        <v>78</v>
      </c>
      <c r="BB7" s="30" t="s">
        <v>100</v>
      </c>
      <c r="BC7" s="30" t="s">
        <v>67</v>
      </c>
      <c r="BD7" s="30" t="s">
        <v>68</v>
      </c>
      <c r="BE7" s="30" t="s">
        <v>69</v>
      </c>
      <c r="BF7" s="30" t="s">
        <v>70</v>
      </c>
      <c r="BG7" s="30" t="s">
        <v>71</v>
      </c>
      <c r="BH7" s="30" t="s">
        <v>72</v>
      </c>
      <c r="BI7" s="30" t="s">
        <v>73</v>
      </c>
      <c r="BJ7" s="30" t="s">
        <v>74</v>
      </c>
      <c r="BK7" s="30" t="s">
        <v>75</v>
      </c>
      <c r="BL7" s="30" t="s">
        <v>76</v>
      </c>
      <c r="BM7" s="30" t="s">
        <v>77</v>
      </c>
      <c r="BN7" s="30" t="s">
        <v>78</v>
      </c>
      <c r="BO7" s="30" t="s">
        <v>101</v>
      </c>
      <c r="BP7" s="30" t="s">
        <v>67</v>
      </c>
      <c r="BQ7" s="30" t="s">
        <v>68</v>
      </c>
      <c r="BR7" s="30" t="s">
        <v>69</v>
      </c>
      <c r="BS7" s="30" t="s">
        <v>70</v>
      </c>
      <c r="BT7" s="30" t="s">
        <v>71</v>
      </c>
      <c r="BU7" s="30" t="s">
        <v>72</v>
      </c>
      <c r="BV7" s="30" t="s">
        <v>73</v>
      </c>
      <c r="BW7" s="30" t="s">
        <v>74</v>
      </c>
      <c r="BX7" s="30" t="s">
        <v>75</v>
      </c>
      <c r="BY7" s="30" t="s">
        <v>76</v>
      </c>
      <c r="BZ7" s="30" t="s">
        <v>77</v>
      </c>
      <c r="CA7" s="30" t="s">
        <v>78</v>
      </c>
      <c r="CB7" s="30" t="s">
        <v>102</v>
      </c>
    </row>
    <row r="8" spans="2:80" x14ac:dyDescent="0.3">
      <c r="B8" s="7" t="s">
        <v>46</v>
      </c>
      <c r="C8" s="9">
        <v>35339308</v>
      </c>
      <c r="D8" s="9">
        <v>35339308</v>
      </c>
      <c r="E8" s="9">
        <v>35339308</v>
      </c>
      <c r="F8" s="9">
        <v>35339308</v>
      </c>
      <c r="G8" s="9">
        <v>35339308</v>
      </c>
      <c r="H8" s="9">
        <v>35339308</v>
      </c>
      <c r="I8" s="9">
        <v>35339308</v>
      </c>
      <c r="J8" s="9">
        <v>35339308</v>
      </c>
      <c r="K8" s="9">
        <v>35339308</v>
      </c>
      <c r="L8" s="9">
        <v>35339308</v>
      </c>
      <c r="M8" s="9">
        <v>35339308</v>
      </c>
      <c r="N8" s="9">
        <v>35339308</v>
      </c>
      <c r="O8" s="31">
        <v>35339308</v>
      </c>
      <c r="P8" s="9">
        <v>22751821</v>
      </c>
      <c r="Q8" s="9">
        <v>22751821</v>
      </c>
      <c r="R8" s="9">
        <v>22751821</v>
      </c>
      <c r="S8" s="9">
        <v>22751821</v>
      </c>
      <c r="T8" s="9">
        <v>22751821</v>
      </c>
      <c r="U8" s="9">
        <v>22751821</v>
      </c>
      <c r="V8" s="9">
        <v>22751821</v>
      </c>
      <c r="W8" s="9">
        <v>22751821</v>
      </c>
      <c r="X8" s="9">
        <v>22751821</v>
      </c>
      <c r="Y8" s="9">
        <v>22751821</v>
      </c>
      <c r="Z8" s="9">
        <v>22751821</v>
      </c>
      <c r="AA8" s="9">
        <v>22751821</v>
      </c>
      <c r="AB8" s="31">
        <v>22751821</v>
      </c>
      <c r="AC8" s="9">
        <v>22326757</v>
      </c>
      <c r="AD8" s="9">
        <v>22326757</v>
      </c>
      <c r="AE8" s="9">
        <v>22326757</v>
      </c>
      <c r="AF8" s="9">
        <v>22326757</v>
      </c>
      <c r="AG8" s="9">
        <v>22326757</v>
      </c>
      <c r="AH8" s="9">
        <v>22326757</v>
      </c>
      <c r="AI8" s="9">
        <v>22326757</v>
      </c>
      <c r="AJ8" s="9">
        <v>22326757</v>
      </c>
      <c r="AK8" s="9">
        <v>22326757</v>
      </c>
      <c r="AL8" s="9">
        <v>22326757</v>
      </c>
      <c r="AM8" s="9">
        <v>22326757</v>
      </c>
      <c r="AN8" s="9">
        <v>22326757</v>
      </c>
      <c r="AO8" s="31">
        <v>22326757</v>
      </c>
      <c r="AP8" s="9">
        <v>65885700</v>
      </c>
      <c r="AQ8" s="9">
        <v>65885700</v>
      </c>
      <c r="AR8" s="9">
        <v>65885700</v>
      </c>
      <c r="AS8" s="9">
        <v>65885700</v>
      </c>
      <c r="AT8" s="9">
        <v>65885700</v>
      </c>
      <c r="AU8" s="9">
        <v>65885700</v>
      </c>
      <c r="AV8" s="9">
        <v>65885700</v>
      </c>
      <c r="AW8" s="9">
        <v>65885700</v>
      </c>
      <c r="AX8" s="9">
        <v>65885700</v>
      </c>
      <c r="AY8" s="9">
        <v>65885700</v>
      </c>
      <c r="AZ8" s="9">
        <v>65885700</v>
      </c>
      <c r="BA8" s="9">
        <v>65885700</v>
      </c>
      <c r="BB8" s="31">
        <v>65885700</v>
      </c>
      <c r="BC8" s="9">
        <v>31496963</v>
      </c>
      <c r="BD8" s="9">
        <v>31496963</v>
      </c>
      <c r="BE8" s="9">
        <v>31496963</v>
      </c>
      <c r="BF8" s="9">
        <v>31496963</v>
      </c>
      <c r="BG8" s="9">
        <v>31496963</v>
      </c>
      <c r="BH8" s="9">
        <v>31496963</v>
      </c>
      <c r="BI8" s="9">
        <v>31496963</v>
      </c>
      <c r="BJ8" s="9">
        <v>31496963</v>
      </c>
      <c r="BK8" s="9">
        <v>31496963</v>
      </c>
      <c r="BL8" s="9">
        <v>31496963</v>
      </c>
      <c r="BM8" s="9">
        <v>31496963</v>
      </c>
      <c r="BN8" s="9">
        <v>31496963</v>
      </c>
      <c r="BO8" s="31">
        <v>31496963</v>
      </c>
      <c r="BP8" s="9">
        <v>15772873</v>
      </c>
      <c r="BQ8" s="9">
        <v>15772873</v>
      </c>
      <c r="BR8" s="9">
        <v>15772873</v>
      </c>
      <c r="BS8" s="9">
        <v>15772873</v>
      </c>
      <c r="BT8" s="9">
        <v>15772873</v>
      </c>
      <c r="BU8" s="9">
        <v>15772873</v>
      </c>
      <c r="BV8" s="9">
        <v>15772873</v>
      </c>
      <c r="BW8" s="9">
        <v>15772873</v>
      </c>
      <c r="BX8" s="9">
        <v>15772873</v>
      </c>
      <c r="BY8" s="9">
        <v>15772873</v>
      </c>
      <c r="BZ8" s="9">
        <v>15772873</v>
      </c>
      <c r="CA8" s="9">
        <v>15772873</v>
      </c>
      <c r="CB8" s="31">
        <v>15772873</v>
      </c>
    </row>
    <row r="9" spans="2:80" x14ac:dyDescent="0.3">
      <c r="B9" s="7" t="s">
        <v>47</v>
      </c>
      <c r="C9" s="9">
        <v>28313204</v>
      </c>
      <c r="D9" s="9">
        <v>28313204</v>
      </c>
      <c r="E9" s="9">
        <v>28313204</v>
      </c>
      <c r="F9" s="9">
        <v>28313204</v>
      </c>
      <c r="G9" s="9">
        <v>28313204</v>
      </c>
      <c r="H9" s="9">
        <v>28313204</v>
      </c>
      <c r="I9" s="9">
        <v>28313204</v>
      </c>
      <c r="J9" s="9">
        <v>28313204</v>
      </c>
      <c r="K9" s="9">
        <v>28313204</v>
      </c>
      <c r="L9" s="9">
        <v>28313204</v>
      </c>
      <c r="M9" s="9">
        <v>28313204</v>
      </c>
      <c r="N9" s="9">
        <v>28313204</v>
      </c>
      <c r="O9" s="31">
        <v>28313204</v>
      </c>
      <c r="P9" s="9">
        <v>26279513</v>
      </c>
      <c r="Q9" s="9">
        <v>26279513</v>
      </c>
      <c r="R9" s="9">
        <v>26279513</v>
      </c>
      <c r="S9" s="9">
        <v>26279513</v>
      </c>
      <c r="T9" s="9">
        <v>26279513</v>
      </c>
      <c r="U9" s="9">
        <v>26279513</v>
      </c>
      <c r="V9" s="9">
        <v>26279513</v>
      </c>
      <c r="W9" s="9">
        <v>26279513</v>
      </c>
      <c r="X9" s="9">
        <v>26279513</v>
      </c>
      <c r="Y9" s="9">
        <v>26279513</v>
      </c>
      <c r="Z9" s="9">
        <v>26279513</v>
      </c>
      <c r="AA9" s="9">
        <v>26279513</v>
      </c>
      <c r="AB9" s="31">
        <v>26279513</v>
      </c>
      <c r="AC9" s="9">
        <v>23921092</v>
      </c>
      <c r="AD9" s="9">
        <v>23921092</v>
      </c>
      <c r="AE9" s="9">
        <v>23921092</v>
      </c>
      <c r="AF9" s="9">
        <v>23921092</v>
      </c>
      <c r="AG9" s="9">
        <v>23921092</v>
      </c>
      <c r="AH9" s="9">
        <v>23921092</v>
      </c>
      <c r="AI9" s="9">
        <v>23921092</v>
      </c>
      <c r="AJ9" s="9">
        <v>23921092</v>
      </c>
      <c r="AK9" s="9">
        <v>23921092</v>
      </c>
      <c r="AL9" s="9">
        <v>23921092</v>
      </c>
      <c r="AM9" s="9">
        <v>23921092</v>
      </c>
      <c r="AN9" s="9">
        <v>23921092</v>
      </c>
      <c r="AO9" s="31">
        <v>23921092</v>
      </c>
      <c r="AP9" s="9">
        <v>32623118</v>
      </c>
      <c r="AQ9" s="9">
        <v>32623118</v>
      </c>
      <c r="AR9" s="9">
        <v>32623118</v>
      </c>
      <c r="AS9" s="9">
        <v>32623118</v>
      </c>
      <c r="AT9" s="9">
        <v>32623118</v>
      </c>
      <c r="AU9" s="9">
        <v>32623118</v>
      </c>
      <c r="AV9" s="9">
        <v>32623118</v>
      </c>
      <c r="AW9" s="9">
        <v>32623118</v>
      </c>
      <c r="AX9" s="9">
        <v>32623118</v>
      </c>
      <c r="AY9" s="9">
        <v>32623118</v>
      </c>
      <c r="AZ9" s="9">
        <v>32623118</v>
      </c>
      <c r="BA9" s="9">
        <v>32623118</v>
      </c>
      <c r="BB9" s="31">
        <v>32623118</v>
      </c>
      <c r="BC9" s="9">
        <v>31388552</v>
      </c>
      <c r="BD9" s="9">
        <v>31388552</v>
      </c>
      <c r="BE9" s="9">
        <v>31388552</v>
      </c>
      <c r="BF9" s="9">
        <v>31388552</v>
      </c>
      <c r="BG9" s="9">
        <v>31388552</v>
      </c>
      <c r="BH9" s="9">
        <v>31388552</v>
      </c>
      <c r="BI9" s="9">
        <v>31388552</v>
      </c>
      <c r="BJ9" s="9">
        <v>31388552</v>
      </c>
      <c r="BK9" s="9">
        <v>31388552</v>
      </c>
      <c r="BL9" s="9">
        <v>31388552</v>
      </c>
      <c r="BM9" s="9">
        <v>31388552</v>
      </c>
      <c r="BN9" s="9">
        <v>31388552</v>
      </c>
      <c r="BO9" s="31">
        <v>31388552</v>
      </c>
      <c r="BP9" s="9">
        <v>32099544</v>
      </c>
      <c r="BQ9" s="9">
        <v>32099544</v>
      </c>
      <c r="BR9" s="9">
        <v>32099544</v>
      </c>
      <c r="BS9" s="9">
        <v>32099544</v>
      </c>
      <c r="BT9" s="9">
        <v>32099544</v>
      </c>
      <c r="BU9" s="9">
        <v>32099544</v>
      </c>
      <c r="BV9" s="9">
        <v>32099544</v>
      </c>
      <c r="BW9" s="9">
        <v>32099544</v>
      </c>
      <c r="BX9" s="9">
        <v>32099544</v>
      </c>
      <c r="BY9" s="9">
        <v>32099544</v>
      </c>
      <c r="BZ9" s="9">
        <v>32099544</v>
      </c>
      <c r="CA9" s="9">
        <v>32099544</v>
      </c>
      <c r="CB9" s="31">
        <v>32099544</v>
      </c>
    </row>
    <row r="10" spans="2:80" x14ac:dyDescent="0.3">
      <c r="B10" s="7" t="s">
        <v>48</v>
      </c>
      <c r="C10" s="9">
        <v>9734344</v>
      </c>
      <c r="D10" s="9">
        <v>9734344</v>
      </c>
      <c r="E10" s="9">
        <v>9734344</v>
      </c>
      <c r="F10" s="9">
        <v>9734344</v>
      </c>
      <c r="G10" s="9">
        <v>9734344</v>
      </c>
      <c r="H10" s="9">
        <v>9734344</v>
      </c>
      <c r="I10" s="9">
        <v>9734344</v>
      </c>
      <c r="J10" s="9">
        <v>9734344</v>
      </c>
      <c r="K10" s="9">
        <v>9734344</v>
      </c>
      <c r="L10" s="9">
        <v>9734344</v>
      </c>
      <c r="M10" s="9">
        <v>9734344</v>
      </c>
      <c r="N10" s="9">
        <v>9734344</v>
      </c>
      <c r="O10" s="31">
        <v>9734344</v>
      </c>
      <c r="P10" s="9">
        <v>8027524</v>
      </c>
      <c r="Q10" s="9">
        <v>8027524</v>
      </c>
      <c r="R10" s="9">
        <v>8027524</v>
      </c>
      <c r="S10" s="9">
        <v>8027524</v>
      </c>
      <c r="T10" s="9">
        <v>8027524</v>
      </c>
      <c r="U10" s="9">
        <v>8027524</v>
      </c>
      <c r="V10" s="9">
        <v>8027524</v>
      </c>
      <c r="W10" s="9">
        <v>8027524</v>
      </c>
      <c r="X10" s="9">
        <v>8027524</v>
      </c>
      <c r="Y10" s="9">
        <v>8027524</v>
      </c>
      <c r="Z10" s="9">
        <v>8027524</v>
      </c>
      <c r="AA10" s="9">
        <v>8027524</v>
      </c>
      <c r="AB10" s="31">
        <v>8027524</v>
      </c>
      <c r="AC10" s="9">
        <v>9623696</v>
      </c>
      <c r="AD10" s="9">
        <v>9623696</v>
      </c>
      <c r="AE10" s="9">
        <v>9623696</v>
      </c>
      <c r="AF10" s="9">
        <v>9623696</v>
      </c>
      <c r="AG10" s="9">
        <v>9623696</v>
      </c>
      <c r="AH10" s="9">
        <v>9623696</v>
      </c>
      <c r="AI10" s="9">
        <v>9623696</v>
      </c>
      <c r="AJ10" s="9">
        <v>9623696</v>
      </c>
      <c r="AK10" s="9">
        <v>9623696</v>
      </c>
      <c r="AL10" s="9">
        <v>9623696</v>
      </c>
      <c r="AM10" s="9">
        <v>9623696</v>
      </c>
      <c r="AN10" s="9">
        <v>9623696</v>
      </c>
      <c r="AO10" s="31">
        <v>9623696</v>
      </c>
      <c r="AP10" s="9">
        <v>7002032</v>
      </c>
      <c r="AQ10" s="9">
        <v>7002032</v>
      </c>
      <c r="AR10" s="9">
        <v>7002032</v>
      </c>
      <c r="AS10" s="9">
        <v>7002032</v>
      </c>
      <c r="AT10" s="9">
        <v>7002032</v>
      </c>
      <c r="AU10" s="9">
        <v>7002032</v>
      </c>
      <c r="AV10" s="9">
        <v>7002032</v>
      </c>
      <c r="AW10" s="9">
        <v>7002032</v>
      </c>
      <c r="AX10" s="9">
        <v>7002032</v>
      </c>
      <c r="AY10" s="9">
        <v>7002032</v>
      </c>
      <c r="AZ10" s="9">
        <v>7002032</v>
      </c>
      <c r="BA10" s="9">
        <v>7002032</v>
      </c>
      <c r="BB10" s="31">
        <v>7002032</v>
      </c>
      <c r="BC10" s="9">
        <v>7819491</v>
      </c>
      <c r="BD10" s="9">
        <v>7819491</v>
      </c>
      <c r="BE10" s="9">
        <v>7819491</v>
      </c>
      <c r="BF10" s="9">
        <v>7819491</v>
      </c>
      <c r="BG10" s="9">
        <v>7819491</v>
      </c>
      <c r="BH10" s="9">
        <v>7819491</v>
      </c>
      <c r="BI10" s="9">
        <v>7819491</v>
      </c>
      <c r="BJ10" s="9">
        <v>7819491</v>
      </c>
      <c r="BK10" s="9">
        <v>7819491</v>
      </c>
      <c r="BL10" s="9">
        <v>7819491</v>
      </c>
      <c r="BM10" s="9">
        <v>7819491</v>
      </c>
      <c r="BN10" s="9">
        <v>7819491</v>
      </c>
      <c r="BO10" s="31">
        <v>7819491</v>
      </c>
      <c r="BP10" s="9">
        <v>2323330</v>
      </c>
      <c r="BQ10" s="9">
        <v>2323330</v>
      </c>
      <c r="BR10" s="9">
        <v>2323330</v>
      </c>
      <c r="BS10" s="9">
        <v>2323330</v>
      </c>
      <c r="BT10" s="9">
        <v>2323330</v>
      </c>
      <c r="BU10" s="9">
        <v>2323330</v>
      </c>
      <c r="BV10" s="9">
        <v>2323330</v>
      </c>
      <c r="BW10" s="9">
        <v>2323330</v>
      </c>
      <c r="BX10" s="9">
        <v>2323330</v>
      </c>
      <c r="BY10" s="9">
        <v>2323330</v>
      </c>
      <c r="BZ10" s="9">
        <v>2323330</v>
      </c>
      <c r="CA10" s="9">
        <v>2323330</v>
      </c>
      <c r="CB10" s="31">
        <v>2323330</v>
      </c>
    </row>
    <row r="11" spans="2:80" x14ac:dyDescent="0.3">
      <c r="B11" s="7" t="s">
        <v>49</v>
      </c>
      <c r="C11" s="9">
        <v>7005376</v>
      </c>
      <c r="D11" s="9">
        <v>7005376</v>
      </c>
      <c r="E11" s="9">
        <v>7005376</v>
      </c>
      <c r="F11" s="9">
        <v>7005376</v>
      </c>
      <c r="G11" s="9">
        <v>7005376</v>
      </c>
      <c r="H11" s="9">
        <v>7005376</v>
      </c>
      <c r="I11" s="9">
        <v>7005376</v>
      </c>
      <c r="J11" s="9">
        <v>7005376</v>
      </c>
      <c r="K11" s="9">
        <v>7005376</v>
      </c>
      <c r="L11" s="9">
        <v>7005376</v>
      </c>
      <c r="M11" s="9">
        <v>7005376</v>
      </c>
      <c r="N11" s="9">
        <v>7005376</v>
      </c>
      <c r="O11" s="31">
        <v>7005376</v>
      </c>
      <c r="P11" s="9">
        <v>4659283</v>
      </c>
      <c r="Q11" s="9">
        <v>4659283</v>
      </c>
      <c r="R11" s="9">
        <v>4659283</v>
      </c>
      <c r="S11" s="9">
        <v>4659283</v>
      </c>
      <c r="T11" s="9">
        <v>4659283</v>
      </c>
      <c r="U11" s="9">
        <v>4659283</v>
      </c>
      <c r="V11" s="9">
        <v>4659283</v>
      </c>
      <c r="W11" s="9">
        <v>4659283</v>
      </c>
      <c r="X11" s="9">
        <v>4659283</v>
      </c>
      <c r="Y11" s="9">
        <v>4659283</v>
      </c>
      <c r="Z11" s="9">
        <v>4659283</v>
      </c>
      <c r="AA11" s="9">
        <v>4659283</v>
      </c>
      <c r="AB11" s="31">
        <v>4659283</v>
      </c>
      <c r="AC11" s="9">
        <v>9013306</v>
      </c>
      <c r="AD11" s="9">
        <v>9013306</v>
      </c>
      <c r="AE11" s="9">
        <v>9013306</v>
      </c>
      <c r="AF11" s="9">
        <v>9013306</v>
      </c>
      <c r="AG11" s="9">
        <v>9013306</v>
      </c>
      <c r="AH11" s="9">
        <v>9013306</v>
      </c>
      <c r="AI11" s="9">
        <v>9013306</v>
      </c>
      <c r="AJ11" s="9">
        <v>9013306</v>
      </c>
      <c r="AK11" s="9">
        <v>9013306</v>
      </c>
      <c r="AL11" s="9">
        <v>9013306</v>
      </c>
      <c r="AM11" s="9">
        <v>9013306</v>
      </c>
      <c r="AN11" s="9">
        <v>9013306</v>
      </c>
      <c r="AO11" s="31">
        <v>9013306</v>
      </c>
      <c r="AP11" s="9">
        <v>11846836</v>
      </c>
      <c r="AQ11" s="9">
        <v>11846836</v>
      </c>
      <c r="AR11" s="9">
        <v>11846836</v>
      </c>
      <c r="AS11" s="9">
        <v>11846836</v>
      </c>
      <c r="AT11" s="9">
        <v>11846836</v>
      </c>
      <c r="AU11" s="9">
        <v>11846836</v>
      </c>
      <c r="AV11" s="9">
        <v>11846836</v>
      </c>
      <c r="AW11" s="9">
        <v>11846836</v>
      </c>
      <c r="AX11" s="9">
        <v>11846836</v>
      </c>
      <c r="AY11" s="9">
        <v>11846836</v>
      </c>
      <c r="AZ11" s="9">
        <v>11846836</v>
      </c>
      <c r="BA11" s="9">
        <v>11846836</v>
      </c>
      <c r="BB11" s="31">
        <v>11846836</v>
      </c>
      <c r="BC11" s="9">
        <v>9956278</v>
      </c>
      <c r="BD11" s="9">
        <v>9956278</v>
      </c>
      <c r="BE11" s="9">
        <v>9956278</v>
      </c>
      <c r="BF11" s="9">
        <v>9956278</v>
      </c>
      <c r="BG11" s="9">
        <v>9956278</v>
      </c>
      <c r="BH11" s="9">
        <v>9956278</v>
      </c>
      <c r="BI11" s="9">
        <v>9956278</v>
      </c>
      <c r="BJ11" s="9">
        <v>9956278</v>
      </c>
      <c r="BK11" s="9">
        <v>9956278</v>
      </c>
      <c r="BL11" s="9">
        <v>9956278</v>
      </c>
      <c r="BM11" s="9">
        <v>9956278</v>
      </c>
      <c r="BN11" s="9">
        <v>9956278</v>
      </c>
      <c r="BO11" s="31">
        <v>9956278</v>
      </c>
      <c r="BP11" s="9">
        <v>8706346</v>
      </c>
      <c r="BQ11" s="9">
        <v>8706346</v>
      </c>
      <c r="BR11" s="9">
        <v>8706346</v>
      </c>
      <c r="BS11" s="9">
        <v>8706346</v>
      </c>
      <c r="BT11" s="9">
        <v>8706346</v>
      </c>
      <c r="BU11" s="9">
        <v>8706346</v>
      </c>
      <c r="BV11" s="9">
        <v>8706346</v>
      </c>
      <c r="BW11" s="9">
        <v>8706346</v>
      </c>
      <c r="BX11" s="9">
        <v>8706346</v>
      </c>
      <c r="BY11" s="9">
        <v>8706346</v>
      </c>
      <c r="BZ11" s="9">
        <v>8706346</v>
      </c>
      <c r="CA11" s="9">
        <v>8706346</v>
      </c>
      <c r="CB11" s="31">
        <v>8706346</v>
      </c>
    </row>
    <row r="12" spans="2:80" x14ac:dyDescent="0.3">
      <c r="B12" s="7" t="s">
        <v>50</v>
      </c>
      <c r="C12" s="9">
        <v>35181732</v>
      </c>
      <c r="D12" s="9">
        <v>35181732</v>
      </c>
      <c r="E12" s="9">
        <v>35181732</v>
      </c>
      <c r="F12" s="9">
        <v>35181732</v>
      </c>
      <c r="G12" s="9">
        <v>35181732</v>
      </c>
      <c r="H12" s="9">
        <v>35181732</v>
      </c>
      <c r="I12" s="9">
        <v>35181732</v>
      </c>
      <c r="J12" s="9">
        <v>35181732</v>
      </c>
      <c r="K12" s="9">
        <v>35181732</v>
      </c>
      <c r="L12" s="9">
        <v>35181732</v>
      </c>
      <c r="M12" s="9">
        <v>35181732</v>
      </c>
      <c r="N12" s="9">
        <v>35181732</v>
      </c>
      <c r="O12" s="31">
        <v>35181732</v>
      </c>
      <c r="P12" s="9">
        <v>35548395</v>
      </c>
      <c r="Q12" s="9">
        <v>35548395</v>
      </c>
      <c r="R12" s="9">
        <v>35548395</v>
      </c>
      <c r="S12" s="9">
        <v>35548395</v>
      </c>
      <c r="T12" s="9">
        <v>35548395</v>
      </c>
      <c r="U12" s="9">
        <v>35548395</v>
      </c>
      <c r="V12" s="9">
        <v>35548395</v>
      </c>
      <c r="W12" s="9">
        <v>35548395</v>
      </c>
      <c r="X12" s="9">
        <v>35548395</v>
      </c>
      <c r="Y12" s="9">
        <v>35548395</v>
      </c>
      <c r="Z12" s="9">
        <v>35548395</v>
      </c>
      <c r="AA12" s="9">
        <v>35548395</v>
      </c>
      <c r="AB12" s="31">
        <v>35548395</v>
      </c>
      <c r="AC12" s="9">
        <v>30263070</v>
      </c>
      <c r="AD12" s="9">
        <v>30263070</v>
      </c>
      <c r="AE12" s="9">
        <v>30263070</v>
      </c>
      <c r="AF12" s="9">
        <v>30263070</v>
      </c>
      <c r="AG12" s="9">
        <v>30263070</v>
      </c>
      <c r="AH12" s="9">
        <v>30263070</v>
      </c>
      <c r="AI12" s="9">
        <v>30263070</v>
      </c>
      <c r="AJ12" s="9">
        <v>30263070</v>
      </c>
      <c r="AK12" s="9">
        <v>30263070</v>
      </c>
      <c r="AL12" s="9">
        <v>30263070</v>
      </c>
      <c r="AM12" s="9">
        <v>30263070</v>
      </c>
      <c r="AN12" s="9">
        <v>30263070</v>
      </c>
      <c r="AO12" s="31">
        <v>30263070</v>
      </c>
      <c r="AP12" s="9">
        <v>10878804</v>
      </c>
      <c r="AQ12" s="9">
        <v>10878804</v>
      </c>
      <c r="AR12" s="9">
        <v>10878804</v>
      </c>
      <c r="AS12" s="9">
        <v>10878804</v>
      </c>
      <c r="AT12" s="9">
        <v>10878804</v>
      </c>
      <c r="AU12" s="9">
        <v>10878804</v>
      </c>
      <c r="AV12" s="9">
        <v>10878804</v>
      </c>
      <c r="AW12" s="9">
        <v>10878804</v>
      </c>
      <c r="AX12" s="9">
        <v>10878804</v>
      </c>
      <c r="AY12" s="9">
        <v>10878804</v>
      </c>
      <c r="AZ12" s="9">
        <v>10878804</v>
      </c>
      <c r="BA12" s="9">
        <v>10878804</v>
      </c>
      <c r="BB12" s="31">
        <v>10878804</v>
      </c>
      <c r="BC12" s="9">
        <v>13585888</v>
      </c>
      <c r="BD12" s="9">
        <v>13585888</v>
      </c>
      <c r="BE12" s="9">
        <v>13585888</v>
      </c>
      <c r="BF12" s="9">
        <v>13585888</v>
      </c>
      <c r="BG12" s="9">
        <v>13585888</v>
      </c>
      <c r="BH12" s="9">
        <v>13585888</v>
      </c>
      <c r="BI12" s="9">
        <v>13585888</v>
      </c>
      <c r="BJ12" s="9">
        <v>13585888</v>
      </c>
      <c r="BK12" s="9">
        <v>13585888</v>
      </c>
      <c r="BL12" s="9">
        <v>13585888</v>
      </c>
      <c r="BM12" s="9">
        <v>13585888</v>
      </c>
      <c r="BN12" s="9">
        <v>13585888</v>
      </c>
      <c r="BO12" s="31">
        <v>13585888</v>
      </c>
      <c r="BP12" s="9">
        <v>13197867</v>
      </c>
      <c r="BQ12" s="9">
        <v>13197867</v>
      </c>
      <c r="BR12" s="9">
        <v>13197867</v>
      </c>
      <c r="BS12" s="9">
        <v>13197867</v>
      </c>
      <c r="BT12" s="9">
        <v>13197867</v>
      </c>
      <c r="BU12" s="9">
        <v>13197867</v>
      </c>
      <c r="BV12" s="9">
        <v>13197867</v>
      </c>
      <c r="BW12" s="9">
        <v>13197867</v>
      </c>
      <c r="BX12" s="9">
        <v>13197867</v>
      </c>
      <c r="BY12" s="9">
        <v>13197867</v>
      </c>
      <c r="BZ12" s="9">
        <v>13197867</v>
      </c>
      <c r="CA12" s="9">
        <v>13197867</v>
      </c>
      <c r="CB12" s="31">
        <v>13197867</v>
      </c>
    </row>
    <row r="13" spans="2:80" x14ac:dyDescent="0.3">
      <c r="B13" s="7" t="s">
        <v>51</v>
      </c>
      <c r="C13" s="9">
        <v>18709251</v>
      </c>
      <c r="D13" s="9">
        <v>18709251</v>
      </c>
      <c r="E13" s="9">
        <v>18709251</v>
      </c>
      <c r="F13" s="9">
        <v>18709251</v>
      </c>
      <c r="G13" s="9">
        <v>18709251</v>
      </c>
      <c r="H13" s="9">
        <v>18709251</v>
      </c>
      <c r="I13" s="9">
        <v>18709251</v>
      </c>
      <c r="J13" s="9">
        <v>18709251</v>
      </c>
      <c r="K13" s="9">
        <v>18709251</v>
      </c>
      <c r="L13" s="9">
        <v>18709251</v>
      </c>
      <c r="M13" s="9">
        <v>18709251</v>
      </c>
      <c r="N13" s="9">
        <v>18709251</v>
      </c>
      <c r="O13" s="31">
        <v>18709251</v>
      </c>
      <c r="P13" s="9">
        <v>24875325</v>
      </c>
      <c r="Q13" s="9">
        <v>24875325</v>
      </c>
      <c r="R13" s="9">
        <v>24875325</v>
      </c>
      <c r="S13" s="9">
        <v>24875325</v>
      </c>
      <c r="T13" s="9">
        <v>24875325</v>
      </c>
      <c r="U13" s="9">
        <v>24875325</v>
      </c>
      <c r="V13" s="9">
        <v>24875325</v>
      </c>
      <c r="W13" s="9">
        <v>24875325</v>
      </c>
      <c r="X13" s="9">
        <v>24875325</v>
      </c>
      <c r="Y13" s="9">
        <v>24875325</v>
      </c>
      <c r="Z13" s="9">
        <v>24875325</v>
      </c>
      <c r="AA13" s="9">
        <v>24875325</v>
      </c>
      <c r="AB13" s="31">
        <v>24875325</v>
      </c>
      <c r="AC13" s="9">
        <v>21315123</v>
      </c>
      <c r="AD13" s="9">
        <v>21315123</v>
      </c>
      <c r="AE13" s="9">
        <v>21315123</v>
      </c>
      <c r="AF13" s="9">
        <v>21315123</v>
      </c>
      <c r="AG13" s="9">
        <v>21315123</v>
      </c>
      <c r="AH13" s="9">
        <v>21315123</v>
      </c>
      <c r="AI13" s="9">
        <v>21315123</v>
      </c>
      <c r="AJ13" s="9">
        <v>21315123</v>
      </c>
      <c r="AK13" s="9">
        <v>21315123</v>
      </c>
      <c r="AL13" s="9">
        <v>21315123</v>
      </c>
      <c r="AM13" s="9">
        <v>21315123</v>
      </c>
      <c r="AN13" s="9">
        <v>21315123</v>
      </c>
      <c r="AO13" s="31">
        <v>21315123</v>
      </c>
      <c r="AP13" s="9">
        <v>21518444</v>
      </c>
      <c r="AQ13" s="9">
        <v>21518444</v>
      </c>
      <c r="AR13" s="9">
        <v>21518444</v>
      </c>
      <c r="AS13" s="9">
        <v>21518444</v>
      </c>
      <c r="AT13" s="9">
        <v>21518444</v>
      </c>
      <c r="AU13" s="9">
        <v>21518444</v>
      </c>
      <c r="AV13" s="9">
        <v>21518444</v>
      </c>
      <c r="AW13" s="9">
        <v>21518444</v>
      </c>
      <c r="AX13" s="9">
        <v>21518444</v>
      </c>
      <c r="AY13" s="9">
        <v>21518444</v>
      </c>
      <c r="AZ13" s="9">
        <v>21518444</v>
      </c>
      <c r="BA13" s="9">
        <v>21518444</v>
      </c>
      <c r="BB13" s="31">
        <v>21518444</v>
      </c>
      <c r="BC13" s="9">
        <v>24183340</v>
      </c>
      <c r="BD13" s="9">
        <v>24183340</v>
      </c>
      <c r="BE13" s="9">
        <v>24183340</v>
      </c>
      <c r="BF13" s="9">
        <v>24183340</v>
      </c>
      <c r="BG13" s="9">
        <v>24183340</v>
      </c>
      <c r="BH13" s="9">
        <v>24183340</v>
      </c>
      <c r="BI13" s="9">
        <v>24183340</v>
      </c>
      <c r="BJ13" s="9">
        <v>24183340</v>
      </c>
      <c r="BK13" s="9">
        <v>24183340</v>
      </c>
      <c r="BL13" s="9">
        <v>24183340</v>
      </c>
      <c r="BM13" s="9">
        <v>24183340</v>
      </c>
      <c r="BN13" s="9">
        <v>24183340</v>
      </c>
      <c r="BO13" s="31">
        <v>24183340</v>
      </c>
      <c r="BP13" s="9">
        <v>9416801</v>
      </c>
      <c r="BQ13" s="9">
        <v>9416801</v>
      </c>
      <c r="BR13" s="9">
        <v>9416801</v>
      </c>
      <c r="BS13" s="9">
        <v>9416801</v>
      </c>
      <c r="BT13" s="9">
        <v>9416801</v>
      </c>
      <c r="BU13" s="9">
        <v>9416801</v>
      </c>
      <c r="BV13" s="9">
        <v>9416801</v>
      </c>
      <c r="BW13" s="9">
        <v>9416801</v>
      </c>
      <c r="BX13" s="9">
        <v>9416801</v>
      </c>
      <c r="BY13" s="9">
        <v>9416801</v>
      </c>
      <c r="BZ13" s="9">
        <v>9416801</v>
      </c>
      <c r="CA13" s="9">
        <v>9416801</v>
      </c>
      <c r="CB13" s="31">
        <v>9416801</v>
      </c>
    </row>
    <row r="14" spans="2:80" x14ac:dyDescent="0.3">
      <c r="B14" s="7" t="s">
        <v>52</v>
      </c>
      <c r="C14" s="9">
        <v>16689514</v>
      </c>
      <c r="D14" s="9">
        <v>16689514</v>
      </c>
      <c r="E14" s="9">
        <v>16689514</v>
      </c>
      <c r="F14" s="9">
        <v>16689514</v>
      </c>
      <c r="G14" s="9">
        <v>16689514</v>
      </c>
      <c r="H14" s="9">
        <v>16689514</v>
      </c>
      <c r="I14" s="9">
        <v>16689514</v>
      </c>
      <c r="J14" s="9">
        <v>16689514</v>
      </c>
      <c r="K14" s="9">
        <v>16689514</v>
      </c>
      <c r="L14" s="9">
        <v>16689514</v>
      </c>
      <c r="M14" s="9">
        <v>16689514</v>
      </c>
      <c r="N14" s="9">
        <v>16689514</v>
      </c>
      <c r="O14" s="31">
        <v>16689514</v>
      </c>
      <c r="P14" s="9">
        <v>29291800</v>
      </c>
      <c r="Q14" s="9">
        <v>29291800</v>
      </c>
      <c r="R14" s="9">
        <v>29291800</v>
      </c>
      <c r="S14" s="9">
        <v>29291800</v>
      </c>
      <c r="T14" s="9">
        <v>29291800</v>
      </c>
      <c r="U14" s="9">
        <v>29291800</v>
      </c>
      <c r="V14" s="9">
        <v>29291800</v>
      </c>
      <c r="W14" s="9">
        <v>29291800</v>
      </c>
      <c r="X14" s="9">
        <v>29291800</v>
      </c>
      <c r="Y14" s="9">
        <v>29291800</v>
      </c>
      <c r="Z14" s="9">
        <v>29291800</v>
      </c>
      <c r="AA14" s="9">
        <v>29291800</v>
      </c>
      <c r="AB14" s="31">
        <v>29291800</v>
      </c>
      <c r="AC14" s="9">
        <v>36352142</v>
      </c>
      <c r="AD14" s="9">
        <v>36352142</v>
      </c>
      <c r="AE14" s="9">
        <v>36352142</v>
      </c>
      <c r="AF14" s="9">
        <v>36352142</v>
      </c>
      <c r="AG14" s="9">
        <v>36352142</v>
      </c>
      <c r="AH14" s="9">
        <v>36352142</v>
      </c>
      <c r="AI14" s="9">
        <v>36352142</v>
      </c>
      <c r="AJ14" s="9">
        <v>36352142</v>
      </c>
      <c r="AK14" s="9">
        <v>36352142</v>
      </c>
      <c r="AL14" s="9">
        <v>36352142</v>
      </c>
      <c r="AM14" s="9">
        <v>36352142</v>
      </c>
      <c r="AN14" s="9">
        <v>36352142</v>
      </c>
      <c r="AO14" s="31">
        <v>36352142</v>
      </c>
      <c r="AP14" s="9">
        <v>38254690</v>
      </c>
      <c r="AQ14" s="9">
        <v>38254690</v>
      </c>
      <c r="AR14" s="9">
        <v>38254690</v>
      </c>
      <c r="AS14" s="9">
        <v>38254690</v>
      </c>
      <c r="AT14" s="9">
        <v>38254690</v>
      </c>
      <c r="AU14" s="9">
        <v>38254690</v>
      </c>
      <c r="AV14" s="9">
        <v>38254690</v>
      </c>
      <c r="AW14" s="9">
        <v>38254690</v>
      </c>
      <c r="AX14" s="9">
        <v>38254690</v>
      </c>
      <c r="AY14" s="9">
        <v>38254690</v>
      </c>
      <c r="AZ14" s="9">
        <v>38254690</v>
      </c>
      <c r="BA14" s="9">
        <v>38254690</v>
      </c>
      <c r="BB14" s="31">
        <v>38254690</v>
      </c>
      <c r="BC14" s="9">
        <v>27966487</v>
      </c>
      <c r="BD14" s="9">
        <v>27966487</v>
      </c>
      <c r="BE14" s="9">
        <v>27966487</v>
      </c>
      <c r="BF14" s="9">
        <v>27966487</v>
      </c>
      <c r="BG14" s="9">
        <v>27966487</v>
      </c>
      <c r="BH14" s="9">
        <v>27966487</v>
      </c>
      <c r="BI14" s="9">
        <v>27966487</v>
      </c>
      <c r="BJ14" s="9">
        <v>27966487</v>
      </c>
      <c r="BK14" s="9">
        <v>27966487</v>
      </c>
      <c r="BL14" s="9">
        <v>27966487</v>
      </c>
      <c r="BM14" s="9">
        <v>27966487</v>
      </c>
      <c r="BN14" s="9">
        <v>27966487</v>
      </c>
      <c r="BO14" s="31">
        <v>27966487</v>
      </c>
      <c r="BP14" s="9">
        <v>30615904</v>
      </c>
      <c r="BQ14" s="9">
        <v>30615904</v>
      </c>
      <c r="BR14" s="9">
        <v>30615904</v>
      </c>
      <c r="BS14" s="9">
        <v>30615904</v>
      </c>
      <c r="BT14" s="9">
        <v>30615904</v>
      </c>
      <c r="BU14" s="9">
        <v>30615904</v>
      </c>
      <c r="BV14" s="9">
        <v>30615904</v>
      </c>
      <c r="BW14" s="9">
        <v>30615904</v>
      </c>
      <c r="BX14" s="9">
        <v>30615904</v>
      </c>
      <c r="BY14" s="9">
        <v>30615904</v>
      </c>
      <c r="BZ14" s="9">
        <v>30615904</v>
      </c>
      <c r="CA14" s="9">
        <v>30615904</v>
      </c>
      <c r="CB14" s="31">
        <v>30615904</v>
      </c>
    </row>
    <row r="15" spans="2:80" x14ac:dyDescent="0.3">
      <c r="B15" s="7" t="s">
        <v>53</v>
      </c>
      <c r="C15" s="9">
        <v>53755591</v>
      </c>
      <c r="D15" s="9">
        <v>53755591</v>
      </c>
      <c r="E15" s="9">
        <v>53755591</v>
      </c>
      <c r="F15" s="9">
        <v>53755591</v>
      </c>
      <c r="G15" s="9">
        <v>53755591</v>
      </c>
      <c r="H15" s="9">
        <v>53755591</v>
      </c>
      <c r="I15" s="9">
        <v>53755591</v>
      </c>
      <c r="J15" s="9">
        <v>53755591</v>
      </c>
      <c r="K15" s="9">
        <v>53755591</v>
      </c>
      <c r="L15" s="9">
        <v>53755591</v>
      </c>
      <c r="M15" s="9">
        <v>53755591</v>
      </c>
      <c r="N15" s="9">
        <v>53755591</v>
      </c>
      <c r="O15" s="31">
        <v>53755591</v>
      </c>
      <c r="P15" s="9">
        <v>43170852</v>
      </c>
      <c r="Q15" s="9">
        <v>43170852</v>
      </c>
      <c r="R15" s="9">
        <v>43170852</v>
      </c>
      <c r="S15" s="9">
        <v>43170852</v>
      </c>
      <c r="T15" s="9">
        <v>43170852</v>
      </c>
      <c r="U15" s="9">
        <v>43170852</v>
      </c>
      <c r="V15" s="9">
        <v>43170852</v>
      </c>
      <c r="W15" s="9">
        <v>43170852</v>
      </c>
      <c r="X15" s="9">
        <v>43170852</v>
      </c>
      <c r="Y15" s="9">
        <v>43170852</v>
      </c>
      <c r="Z15" s="9">
        <v>43170852</v>
      </c>
      <c r="AA15" s="9">
        <v>43170852</v>
      </c>
      <c r="AB15" s="31">
        <v>43170852</v>
      </c>
      <c r="AC15" s="9">
        <v>40478579</v>
      </c>
      <c r="AD15" s="9">
        <v>40478579</v>
      </c>
      <c r="AE15" s="9">
        <v>40478579</v>
      </c>
      <c r="AF15" s="9">
        <v>40478579</v>
      </c>
      <c r="AG15" s="9">
        <v>40478579</v>
      </c>
      <c r="AH15" s="9">
        <v>40478579</v>
      </c>
      <c r="AI15" s="9">
        <v>40478579</v>
      </c>
      <c r="AJ15" s="9">
        <v>40478579</v>
      </c>
      <c r="AK15" s="9">
        <v>40478579</v>
      </c>
      <c r="AL15" s="9">
        <v>40478579</v>
      </c>
      <c r="AM15" s="9">
        <v>40478579</v>
      </c>
      <c r="AN15" s="9">
        <v>40478579</v>
      </c>
      <c r="AO15" s="31">
        <v>40478579</v>
      </c>
      <c r="AP15" s="9">
        <v>44262543</v>
      </c>
      <c r="AQ15" s="9">
        <v>44262543</v>
      </c>
      <c r="AR15" s="9">
        <v>44262543</v>
      </c>
      <c r="AS15" s="9">
        <v>44262543</v>
      </c>
      <c r="AT15" s="9">
        <v>44262543</v>
      </c>
      <c r="AU15" s="9">
        <v>44262543</v>
      </c>
      <c r="AV15" s="9">
        <v>44262543</v>
      </c>
      <c r="AW15" s="9">
        <v>44262543</v>
      </c>
      <c r="AX15" s="9">
        <v>44262543</v>
      </c>
      <c r="AY15" s="9">
        <v>44262543</v>
      </c>
      <c r="AZ15" s="9">
        <v>44262543</v>
      </c>
      <c r="BA15" s="9">
        <v>44262543</v>
      </c>
      <c r="BB15" s="31">
        <v>44262543</v>
      </c>
      <c r="BC15" s="9">
        <v>42009797</v>
      </c>
      <c r="BD15" s="9">
        <v>42009797</v>
      </c>
      <c r="BE15" s="9">
        <v>42009797</v>
      </c>
      <c r="BF15" s="9">
        <v>42009797</v>
      </c>
      <c r="BG15" s="9">
        <v>42009797</v>
      </c>
      <c r="BH15" s="9">
        <v>42009797</v>
      </c>
      <c r="BI15" s="9">
        <v>42009797</v>
      </c>
      <c r="BJ15" s="9">
        <v>42009797</v>
      </c>
      <c r="BK15" s="9">
        <v>42009797</v>
      </c>
      <c r="BL15" s="9">
        <v>42009797</v>
      </c>
      <c r="BM15" s="9">
        <v>42009797</v>
      </c>
      <c r="BN15" s="9">
        <v>42009797</v>
      </c>
      <c r="BO15" s="31">
        <v>42009797</v>
      </c>
      <c r="BP15" s="9">
        <v>36533880</v>
      </c>
      <c r="BQ15" s="9">
        <v>36533880</v>
      </c>
      <c r="BR15" s="9">
        <v>36533880</v>
      </c>
      <c r="BS15" s="9">
        <v>36533880</v>
      </c>
      <c r="BT15" s="9">
        <v>36533880</v>
      </c>
      <c r="BU15" s="9">
        <v>36533880</v>
      </c>
      <c r="BV15" s="9">
        <v>36533880</v>
      </c>
      <c r="BW15" s="9">
        <v>36533880</v>
      </c>
      <c r="BX15" s="9">
        <v>36533880</v>
      </c>
      <c r="BY15" s="9">
        <v>36533880</v>
      </c>
      <c r="BZ15" s="9">
        <v>36533880</v>
      </c>
      <c r="CA15" s="9">
        <v>36533880</v>
      </c>
      <c r="CB15" s="31">
        <v>36533880</v>
      </c>
    </row>
    <row r="16" spans="2:80" x14ac:dyDescent="0.3">
      <c r="B16" s="7" t="s">
        <v>54</v>
      </c>
      <c r="C16" s="9">
        <v>75469606</v>
      </c>
      <c r="D16" s="9">
        <v>75469606</v>
      </c>
      <c r="E16" s="9">
        <v>75469606</v>
      </c>
      <c r="F16" s="9">
        <v>75469606</v>
      </c>
      <c r="G16" s="9">
        <v>75469606</v>
      </c>
      <c r="H16" s="9">
        <v>75469606</v>
      </c>
      <c r="I16" s="9">
        <v>75469606</v>
      </c>
      <c r="J16" s="9">
        <v>75469606</v>
      </c>
      <c r="K16" s="9">
        <v>75469606</v>
      </c>
      <c r="L16" s="9">
        <v>75469606</v>
      </c>
      <c r="M16" s="9">
        <v>75469606</v>
      </c>
      <c r="N16" s="9">
        <v>75469606</v>
      </c>
      <c r="O16" s="31">
        <v>75469606</v>
      </c>
      <c r="P16" s="9">
        <v>100098472</v>
      </c>
      <c r="Q16" s="9">
        <v>100098472</v>
      </c>
      <c r="R16" s="9">
        <v>100098472</v>
      </c>
      <c r="S16" s="9">
        <v>100098472</v>
      </c>
      <c r="T16" s="9">
        <v>100098472</v>
      </c>
      <c r="U16" s="9">
        <v>100098472</v>
      </c>
      <c r="V16" s="9">
        <v>100098472</v>
      </c>
      <c r="W16" s="9">
        <v>100098472</v>
      </c>
      <c r="X16" s="9">
        <v>100098472</v>
      </c>
      <c r="Y16" s="9">
        <v>100098472</v>
      </c>
      <c r="Z16" s="9">
        <v>100098472</v>
      </c>
      <c r="AA16" s="9">
        <v>100098472</v>
      </c>
      <c r="AB16" s="31">
        <v>100098472</v>
      </c>
      <c r="AC16" s="9">
        <v>105488522</v>
      </c>
      <c r="AD16" s="9">
        <v>105488522</v>
      </c>
      <c r="AE16" s="9">
        <v>105488522</v>
      </c>
      <c r="AF16" s="9">
        <v>105488522</v>
      </c>
      <c r="AG16" s="9">
        <v>105488522</v>
      </c>
      <c r="AH16" s="9">
        <v>105488522</v>
      </c>
      <c r="AI16" s="9">
        <v>105488522</v>
      </c>
      <c r="AJ16" s="9">
        <v>105488522</v>
      </c>
      <c r="AK16" s="9">
        <v>105488522</v>
      </c>
      <c r="AL16" s="9">
        <v>105488522</v>
      </c>
      <c r="AM16" s="9">
        <v>105488522</v>
      </c>
      <c r="AN16" s="9">
        <v>105488522</v>
      </c>
      <c r="AO16" s="31">
        <v>105488522</v>
      </c>
      <c r="AP16" s="9">
        <v>87253576</v>
      </c>
      <c r="AQ16" s="9">
        <v>87253576</v>
      </c>
      <c r="AR16" s="9">
        <v>87253576</v>
      </c>
      <c r="AS16" s="9">
        <v>87253576</v>
      </c>
      <c r="AT16" s="9">
        <v>87253576</v>
      </c>
      <c r="AU16" s="9">
        <v>87253576</v>
      </c>
      <c r="AV16" s="9">
        <v>87253576</v>
      </c>
      <c r="AW16" s="9">
        <v>87253576</v>
      </c>
      <c r="AX16" s="9">
        <v>87253576</v>
      </c>
      <c r="AY16" s="9">
        <v>87253576</v>
      </c>
      <c r="AZ16" s="9">
        <v>87253576</v>
      </c>
      <c r="BA16" s="9">
        <v>87253576</v>
      </c>
      <c r="BB16" s="31">
        <v>87253576</v>
      </c>
      <c r="BC16" s="9">
        <v>74587862</v>
      </c>
      <c r="BD16" s="9">
        <v>74587862</v>
      </c>
      <c r="BE16" s="9">
        <v>74587862</v>
      </c>
      <c r="BF16" s="9">
        <v>74587862</v>
      </c>
      <c r="BG16" s="9">
        <v>74587862</v>
      </c>
      <c r="BH16" s="9">
        <v>74587862</v>
      </c>
      <c r="BI16" s="9">
        <v>74587862</v>
      </c>
      <c r="BJ16" s="9">
        <v>74587862</v>
      </c>
      <c r="BK16" s="9">
        <v>74587862</v>
      </c>
      <c r="BL16" s="9">
        <v>74587862</v>
      </c>
      <c r="BM16" s="9">
        <v>74587862</v>
      </c>
      <c r="BN16" s="9">
        <v>74587862</v>
      </c>
      <c r="BO16" s="31">
        <v>74587862</v>
      </c>
      <c r="BP16" s="9">
        <v>90590002</v>
      </c>
      <c r="BQ16" s="9">
        <v>90590002</v>
      </c>
      <c r="BR16" s="9">
        <v>90590002</v>
      </c>
      <c r="BS16" s="9">
        <v>90590002</v>
      </c>
      <c r="BT16" s="9">
        <v>90590002</v>
      </c>
      <c r="BU16" s="9">
        <v>90590002</v>
      </c>
      <c r="BV16" s="9">
        <v>90590002</v>
      </c>
      <c r="BW16" s="9">
        <v>90590002</v>
      </c>
      <c r="BX16" s="9">
        <v>90590002</v>
      </c>
      <c r="BY16" s="9">
        <v>90590002</v>
      </c>
      <c r="BZ16" s="9">
        <v>90590002</v>
      </c>
      <c r="CA16" s="9">
        <v>90590002</v>
      </c>
      <c r="CB16" s="31">
        <v>90590002</v>
      </c>
    </row>
    <row r="17" spans="2:80" x14ac:dyDescent="0.3">
      <c r="B17" s="7" t="s">
        <v>55</v>
      </c>
      <c r="C17" s="9">
        <v>9595472</v>
      </c>
      <c r="D17" s="9">
        <v>9595472</v>
      </c>
      <c r="E17" s="9">
        <v>9595472</v>
      </c>
      <c r="F17" s="9">
        <v>9595472</v>
      </c>
      <c r="G17" s="9">
        <v>9595472</v>
      </c>
      <c r="H17" s="9">
        <v>9595472</v>
      </c>
      <c r="I17" s="9">
        <v>9595472</v>
      </c>
      <c r="J17" s="9">
        <v>9595472</v>
      </c>
      <c r="K17" s="9">
        <v>9595472</v>
      </c>
      <c r="L17" s="9">
        <v>9595472</v>
      </c>
      <c r="M17" s="9">
        <v>9595472</v>
      </c>
      <c r="N17" s="9">
        <v>9595472</v>
      </c>
      <c r="O17" s="31">
        <v>9595472</v>
      </c>
      <c r="P17" s="9">
        <v>11870060</v>
      </c>
      <c r="Q17" s="9">
        <v>11870060</v>
      </c>
      <c r="R17" s="9">
        <v>11870060</v>
      </c>
      <c r="S17" s="9">
        <v>11870060</v>
      </c>
      <c r="T17" s="9">
        <v>11870060</v>
      </c>
      <c r="U17" s="9">
        <v>11870060</v>
      </c>
      <c r="V17" s="9">
        <v>11870060</v>
      </c>
      <c r="W17" s="9">
        <v>11870060</v>
      </c>
      <c r="X17" s="9">
        <v>11870060</v>
      </c>
      <c r="Y17" s="9">
        <v>11870060</v>
      </c>
      <c r="Z17" s="9">
        <v>11870060</v>
      </c>
      <c r="AA17" s="9">
        <v>11870060</v>
      </c>
      <c r="AB17" s="31">
        <v>11870060</v>
      </c>
      <c r="AC17" s="9">
        <v>16473882</v>
      </c>
      <c r="AD17" s="9">
        <v>16473882</v>
      </c>
      <c r="AE17" s="9">
        <v>16473882</v>
      </c>
      <c r="AF17" s="9">
        <v>16473882</v>
      </c>
      <c r="AG17" s="9">
        <v>16473882</v>
      </c>
      <c r="AH17" s="9">
        <v>16473882</v>
      </c>
      <c r="AI17" s="9">
        <v>16473882</v>
      </c>
      <c r="AJ17" s="9">
        <v>16473882</v>
      </c>
      <c r="AK17" s="9">
        <v>16473882</v>
      </c>
      <c r="AL17" s="9">
        <v>16473882</v>
      </c>
      <c r="AM17" s="9">
        <v>16473882</v>
      </c>
      <c r="AN17" s="9">
        <v>16473882</v>
      </c>
      <c r="AO17" s="31">
        <v>16473882</v>
      </c>
      <c r="AP17" s="9">
        <v>16690085</v>
      </c>
      <c r="AQ17" s="9">
        <v>16690085</v>
      </c>
      <c r="AR17" s="9">
        <v>16690085</v>
      </c>
      <c r="AS17" s="9">
        <v>16690085</v>
      </c>
      <c r="AT17" s="9">
        <v>16690085</v>
      </c>
      <c r="AU17" s="9">
        <v>16690085</v>
      </c>
      <c r="AV17" s="9">
        <v>16690085</v>
      </c>
      <c r="AW17" s="9">
        <v>16690085</v>
      </c>
      <c r="AX17" s="9">
        <v>16690085</v>
      </c>
      <c r="AY17" s="9">
        <v>16690085</v>
      </c>
      <c r="AZ17" s="9">
        <v>16690085</v>
      </c>
      <c r="BA17" s="9">
        <v>16690085</v>
      </c>
      <c r="BB17" s="31">
        <v>16690085</v>
      </c>
      <c r="BC17" s="9">
        <v>17865780</v>
      </c>
      <c r="BD17" s="9">
        <v>17865780</v>
      </c>
      <c r="BE17" s="9">
        <v>17865780</v>
      </c>
      <c r="BF17" s="9">
        <v>17865780</v>
      </c>
      <c r="BG17" s="9">
        <v>17865780</v>
      </c>
      <c r="BH17" s="9">
        <v>17865780</v>
      </c>
      <c r="BI17" s="9">
        <v>17865780</v>
      </c>
      <c r="BJ17" s="9">
        <v>17865780</v>
      </c>
      <c r="BK17" s="9">
        <v>17865780</v>
      </c>
      <c r="BL17" s="9">
        <v>17865780</v>
      </c>
      <c r="BM17" s="9">
        <v>17865780</v>
      </c>
      <c r="BN17" s="9">
        <v>17865780</v>
      </c>
      <c r="BO17" s="31">
        <v>17865780</v>
      </c>
      <c r="BP17" s="9">
        <v>14196992</v>
      </c>
      <c r="BQ17" s="9">
        <v>14196992</v>
      </c>
      <c r="BR17" s="9">
        <v>14196992</v>
      </c>
      <c r="BS17" s="9">
        <v>14196992</v>
      </c>
      <c r="BT17" s="9">
        <v>14196992</v>
      </c>
      <c r="BU17" s="9">
        <v>14196992</v>
      </c>
      <c r="BV17" s="9">
        <v>14196992</v>
      </c>
      <c r="BW17" s="9">
        <v>14196992</v>
      </c>
      <c r="BX17" s="9">
        <v>14196992</v>
      </c>
      <c r="BY17" s="9">
        <v>14196992</v>
      </c>
      <c r="BZ17" s="9">
        <v>14196992</v>
      </c>
      <c r="CA17" s="9">
        <v>14196992</v>
      </c>
      <c r="CB17" s="31">
        <v>14196992</v>
      </c>
    </row>
    <row r="18" spans="2:80" x14ac:dyDescent="0.3">
      <c r="B18" s="7" t="s">
        <v>56</v>
      </c>
      <c r="C18" s="9">
        <v>32317785</v>
      </c>
      <c r="D18" s="9">
        <v>32317785</v>
      </c>
      <c r="E18" s="9">
        <v>32317785</v>
      </c>
      <c r="F18" s="9">
        <v>32317785</v>
      </c>
      <c r="G18" s="9">
        <v>32317785</v>
      </c>
      <c r="H18" s="9">
        <v>32317785</v>
      </c>
      <c r="I18" s="9">
        <v>32317785</v>
      </c>
      <c r="J18" s="9">
        <v>32317785</v>
      </c>
      <c r="K18" s="9">
        <v>32317785</v>
      </c>
      <c r="L18" s="9">
        <v>32317785</v>
      </c>
      <c r="M18" s="9">
        <v>32317785</v>
      </c>
      <c r="N18" s="9">
        <v>32317785</v>
      </c>
      <c r="O18" s="31">
        <v>32317785</v>
      </c>
      <c r="P18" s="9">
        <v>41575245</v>
      </c>
      <c r="Q18" s="9">
        <v>41575245</v>
      </c>
      <c r="R18" s="9">
        <v>41575245</v>
      </c>
      <c r="S18" s="9">
        <v>41575245</v>
      </c>
      <c r="T18" s="9">
        <v>41575245</v>
      </c>
      <c r="U18" s="9">
        <v>41575245</v>
      </c>
      <c r="V18" s="9">
        <v>41575245</v>
      </c>
      <c r="W18" s="9">
        <v>41575245</v>
      </c>
      <c r="X18" s="9">
        <v>41575245</v>
      </c>
      <c r="Y18" s="9">
        <v>41575245</v>
      </c>
      <c r="Z18" s="9">
        <v>41575245</v>
      </c>
      <c r="AA18" s="9">
        <v>41575245</v>
      </c>
      <c r="AB18" s="31">
        <v>41575245</v>
      </c>
      <c r="AC18" s="9">
        <v>34076619</v>
      </c>
      <c r="AD18" s="9">
        <v>34076619</v>
      </c>
      <c r="AE18" s="9">
        <v>34076619</v>
      </c>
      <c r="AF18" s="9">
        <v>34076619</v>
      </c>
      <c r="AG18" s="9">
        <v>34076619</v>
      </c>
      <c r="AH18" s="9">
        <v>34076619</v>
      </c>
      <c r="AI18" s="9">
        <v>34076619</v>
      </c>
      <c r="AJ18" s="9">
        <v>34076619</v>
      </c>
      <c r="AK18" s="9">
        <v>34076619</v>
      </c>
      <c r="AL18" s="9">
        <v>34076619</v>
      </c>
      <c r="AM18" s="9">
        <v>34076619</v>
      </c>
      <c r="AN18" s="9">
        <v>34076619</v>
      </c>
      <c r="AO18" s="31">
        <v>34076619</v>
      </c>
      <c r="AP18" s="9">
        <v>28318956</v>
      </c>
      <c r="AQ18" s="9">
        <v>28318956</v>
      </c>
      <c r="AR18" s="9">
        <v>28318956</v>
      </c>
      <c r="AS18" s="9">
        <v>28318956</v>
      </c>
      <c r="AT18" s="9">
        <v>28318956</v>
      </c>
      <c r="AU18" s="9">
        <v>28318956</v>
      </c>
      <c r="AV18" s="9">
        <v>28318956</v>
      </c>
      <c r="AW18" s="9">
        <v>28318956</v>
      </c>
      <c r="AX18" s="9">
        <v>28318956</v>
      </c>
      <c r="AY18" s="9">
        <v>28318956</v>
      </c>
      <c r="AZ18" s="9">
        <v>28318956</v>
      </c>
      <c r="BA18" s="9">
        <v>28318956</v>
      </c>
      <c r="BB18" s="31">
        <v>28318956</v>
      </c>
      <c r="BC18" s="9">
        <v>30628977</v>
      </c>
      <c r="BD18" s="9">
        <v>30628977</v>
      </c>
      <c r="BE18" s="9">
        <v>30628977</v>
      </c>
      <c r="BF18" s="9">
        <v>30628977</v>
      </c>
      <c r="BG18" s="9">
        <v>30628977</v>
      </c>
      <c r="BH18" s="9">
        <v>30628977</v>
      </c>
      <c r="BI18" s="9">
        <v>30628977</v>
      </c>
      <c r="BJ18" s="9">
        <v>30628977</v>
      </c>
      <c r="BK18" s="9">
        <v>30628977</v>
      </c>
      <c r="BL18" s="9">
        <v>30628977</v>
      </c>
      <c r="BM18" s="9">
        <v>30628977</v>
      </c>
      <c r="BN18" s="9">
        <v>30628977</v>
      </c>
      <c r="BO18" s="31">
        <v>30628977</v>
      </c>
      <c r="BP18" s="9">
        <v>25030745</v>
      </c>
      <c r="BQ18" s="9">
        <v>25030745</v>
      </c>
      <c r="BR18" s="9">
        <v>25030745</v>
      </c>
      <c r="BS18" s="9">
        <v>25030745</v>
      </c>
      <c r="BT18" s="9">
        <v>25030745</v>
      </c>
      <c r="BU18" s="9">
        <v>25030745</v>
      </c>
      <c r="BV18" s="9">
        <v>25030745</v>
      </c>
      <c r="BW18" s="9">
        <v>25030745</v>
      </c>
      <c r="BX18" s="9">
        <v>25030745</v>
      </c>
      <c r="BY18" s="9">
        <v>25030745</v>
      </c>
      <c r="BZ18" s="9">
        <v>25030745</v>
      </c>
      <c r="CA18" s="9">
        <v>25030745</v>
      </c>
      <c r="CB18" s="31">
        <v>25030745</v>
      </c>
    </row>
    <row r="19" spans="2:80" x14ac:dyDescent="0.3">
      <c r="B19" s="7" t="s">
        <v>57</v>
      </c>
      <c r="C19" s="9">
        <v>17998490</v>
      </c>
      <c r="D19" s="9">
        <v>17998490</v>
      </c>
      <c r="E19" s="9">
        <v>17998490</v>
      </c>
      <c r="F19" s="9">
        <v>17998490</v>
      </c>
      <c r="G19" s="9">
        <v>17998490</v>
      </c>
      <c r="H19" s="9">
        <v>17998490</v>
      </c>
      <c r="I19" s="9">
        <v>17998490</v>
      </c>
      <c r="J19" s="9">
        <v>17998490</v>
      </c>
      <c r="K19" s="9">
        <v>17998490</v>
      </c>
      <c r="L19" s="9">
        <v>17998490</v>
      </c>
      <c r="M19" s="9">
        <v>17998490</v>
      </c>
      <c r="N19" s="9">
        <v>17998490</v>
      </c>
      <c r="O19" s="31">
        <v>17998490</v>
      </c>
      <c r="P19" s="9">
        <v>36920320</v>
      </c>
      <c r="Q19" s="9">
        <v>36920320</v>
      </c>
      <c r="R19" s="9">
        <v>36920320</v>
      </c>
      <c r="S19" s="9">
        <v>36920320</v>
      </c>
      <c r="T19" s="9">
        <v>36920320</v>
      </c>
      <c r="U19" s="9">
        <v>36920320</v>
      </c>
      <c r="V19" s="9">
        <v>36920320</v>
      </c>
      <c r="W19" s="9">
        <v>36920320</v>
      </c>
      <c r="X19" s="9">
        <v>36920320</v>
      </c>
      <c r="Y19" s="9">
        <v>36920320</v>
      </c>
      <c r="Z19" s="9">
        <v>36920320</v>
      </c>
      <c r="AA19" s="9">
        <v>36920320</v>
      </c>
      <c r="AB19" s="31">
        <v>36920320</v>
      </c>
      <c r="AC19" s="9">
        <v>23700733</v>
      </c>
      <c r="AD19" s="9">
        <v>23700733</v>
      </c>
      <c r="AE19" s="9">
        <v>23700733</v>
      </c>
      <c r="AF19" s="9">
        <v>23700733</v>
      </c>
      <c r="AG19" s="9">
        <v>23700733</v>
      </c>
      <c r="AH19" s="9">
        <v>23700733</v>
      </c>
      <c r="AI19" s="9">
        <v>23700733</v>
      </c>
      <c r="AJ19" s="9">
        <v>23700733</v>
      </c>
      <c r="AK19" s="9">
        <v>23700733</v>
      </c>
      <c r="AL19" s="9">
        <v>23700733</v>
      </c>
      <c r="AM19" s="9">
        <v>23700733</v>
      </c>
      <c r="AN19" s="9">
        <v>23700733</v>
      </c>
      <c r="AO19" s="31">
        <v>23700733</v>
      </c>
      <c r="AP19" s="9">
        <v>23113535</v>
      </c>
      <c r="AQ19" s="9">
        <v>23113535</v>
      </c>
      <c r="AR19" s="9">
        <v>23113535</v>
      </c>
      <c r="AS19" s="9">
        <v>23113535</v>
      </c>
      <c r="AT19" s="9">
        <v>23113535</v>
      </c>
      <c r="AU19" s="9">
        <v>23113535</v>
      </c>
      <c r="AV19" s="9">
        <v>23113535</v>
      </c>
      <c r="AW19" s="9">
        <v>23113535</v>
      </c>
      <c r="AX19" s="9">
        <v>23113535</v>
      </c>
      <c r="AY19" s="9">
        <v>23113535</v>
      </c>
      <c r="AZ19" s="9">
        <v>23113535</v>
      </c>
      <c r="BA19" s="9">
        <v>23113535</v>
      </c>
      <c r="BB19" s="31">
        <v>23113535</v>
      </c>
      <c r="BC19" s="9">
        <v>22079448</v>
      </c>
      <c r="BD19" s="9">
        <v>22079448</v>
      </c>
      <c r="BE19" s="9">
        <v>22079448</v>
      </c>
      <c r="BF19" s="9">
        <v>22079448</v>
      </c>
      <c r="BG19" s="9">
        <v>22079448</v>
      </c>
      <c r="BH19" s="9">
        <v>22079448</v>
      </c>
      <c r="BI19" s="9">
        <v>22079448</v>
      </c>
      <c r="BJ19" s="9">
        <v>22079448</v>
      </c>
      <c r="BK19" s="9">
        <v>22079448</v>
      </c>
      <c r="BL19" s="9">
        <v>22079448</v>
      </c>
      <c r="BM19" s="9">
        <v>22079448</v>
      </c>
      <c r="BN19" s="9">
        <v>22079448</v>
      </c>
      <c r="BO19" s="31">
        <v>22079448</v>
      </c>
      <c r="BP19" s="9">
        <v>24086756</v>
      </c>
      <c r="BQ19" s="9">
        <v>24086756</v>
      </c>
      <c r="BR19" s="9">
        <v>24086756</v>
      </c>
      <c r="BS19" s="9">
        <v>24086756</v>
      </c>
      <c r="BT19" s="9">
        <v>24086756</v>
      </c>
      <c r="BU19" s="9">
        <v>24086756</v>
      </c>
      <c r="BV19" s="9">
        <v>24086756</v>
      </c>
      <c r="BW19" s="9">
        <v>24086756</v>
      </c>
      <c r="BX19" s="9">
        <v>24086756</v>
      </c>
      <c r="BY19" s="9">
        <v>24086756</v>
      </c>
      <c r="BZ19" s="9">
        <v>24086756</v>
      </c>
      <c r="CA19" s="9">
        <v>24086756</v>
      </c>
      <c r="CB19" s="31">
        <v>24086756</v>
      </c>
    </row>
    <row r="20" spans="2:80" x14ac:dyDescent="0.3">
      <c r="B20" s="7" t="s">
        <v>58</v>
      </c>
      <c r="C20" s="9">
        <v>35945640</v>
      </c>
      <c r="D20" s="9">
        <v>35945640</v>
      </c>
      <c r="E20" s="9">
        <v>35945640</v>
      </c>
      <c r="F20" s="9">
        <v>35945640</v>
      </c>
      <c r="G20" s="9">
        <v>35945640</v>
      </c>
      <c r="H20" s="9">
        <v>35945640</v>
      </c>
      <c r="I20" s="9">
        <v>35945640</v>
      </c>
      <c r="J20" s="9">
        <v>35945640</v>
      </c>
      <c r="K20" s="9">
        <v>35945640</v>
      </c>
      <c r="L20" s="9">
        <v>35945640</v>
      </c>
      <c r="M20" s="9">
        <v>35945640</v>
      </c>
      <c r="N20" s="9">
        <v>35945640</v>
      </c>
      <c r="O20" s="31">
        <v>35945640</v>
      </c>
      <c r="P20" s="9">
        <v>40895295</v>
      </c>
      <c r="Q20" s="9">
        <v>40895295</v>
      </c>
      <c r="R20" s="9">
        <v>40895295</v>
      </c>
      <c r="S20" s="9">
        <v>40895295</v>
      </c>
      <c r="T20" s="9">
        <v>40895295</v>
      </c>
      <c r="U20" s="9">
        <v>40895295</v>
      </c>
      <c r="V20" s="9">
        <v>40895295</v>
      </c>
      <c r="W20" s="9">
        <v>40895295</v>
      </c>
      <c r="X20" s="9">
        <v>40895295</v>
      </c>
      <c r="Y20" s="9">
        <v>40895295</v>
      </c>
      <c r="Z20" s="9">
        <v>40895295</v>
      </c>
      <c r="AA20" s="9">
        <v>40895295</v>
      </c>
      <c r="AB20" s="31">
        <v>40895295</v>
      </c>
      <c r="AC20" s="9">
        <v>51373264</v>
      </c>
      <c r="AD20" s="9">
        <v>51373264</v>
      </c>
      <c r="AE20" s="9">
        <v>51373264</v>
      </c>
      <c r="AF20" s="9">
        <v>51373264</v>
      </c>
      <c r="AG20" s="9">
        <v>51373264</v>
      </c>
      <c r="AH20" s="9">
        <v>51373264</v>
      </c>
      <c r="AI20" s="9">
        <v>51373264</v>
      </c>
      <c r="AJ20" s="9">
        <v>51373264</v>
      </c>
      <c r="AK20" s="9">
        <v>51373264</v>
      </c>
      <c r="AL20" s="9">
        <v>51373264</v>
      </c>
      <c r="AM20" s="9">
        <v>51373264</v>
      </c>
      <c r="AN20" s="9">
        <v>51373264</v>
      </c>
      <c r="AO20" s="31">
        <v>51373264</v>
      </c>
      <c r="AP20" s="9">
        <v>52751667</v>
      </c>
      <c r="AQ20" s="9">
        <v>52751667</v>
      </c>
      <c r="AR20" s="9">
        <v>52751667</v>
      </c>
      <c r="AS20" s="9">
        <v>52751667</v>
      </c>
      <c r="AT20" s="9">
        <v>52751667</v>
      </c>
      <c r="AU20" s="9">
        <v>52751667</v>
      </c>
      <c r="AV20" s="9">
        <v>52751667</v>
      </c>
      <c r="AW20" s="9">
        <v>52751667</v>
      </c>
      <c r="AX20" s="9">
        <v>52751667</v>
      </c>
      <c r="AY20" s="9">
        <v>52751667</v>
      </c>
      <c r="AZ20" s="9">
        <v>52751667</v>
      </c>
      <c r="BA20" s="9">
        <v>52751667</v>
      </c>
      <c r="BB20" s="31">
        <v>52751667</v>
      </c>
      <c r="BC20" s="9">
        <v>51417843</v>
      </c>
      <c r="BD20" s="9">
        <v>51417843</v>
      </c>
      <c r="BE20" s="9">
        <v>51417843</v>
      </c>
      <c r="BF20" s="9">
        <v>51417843</v>
      </c>
      <c r="BG20" s="9">
        <v>51417843</v>
      </c>
      <c r="BH20" s="9">
        <v>51417843</v>
      </c>
      <c r="BI20" s="9">
        <v>51417843</v>
      </c>
      <c r="BJ20" s="9">
        <v>51417843</v>
      </c>
      <c r="BK20" s="9">
        <v>51417843</v>
      </c>
      <c r="BL20" s="9">
        <v>51417843</v>
      </c>
      <c r="BM20" s="9">
        <v>51417843</v>
      </c>
      <c r="BN20" s="9">
        <v>51417843</v>
      </c>
      <c r="BO20" s="31">
        <v>51417843</v>
      </c>
      <c r="BP20" s="9">
        <v>69100458</v>
      </c>
      <c r="BQ20" s="9">
        <v>69100458</v>
      </c>
      <c r="BR20" s="9">
        <v>69100458</v>
      </c>
      <c r="BS20" s="9">
        <v>69100458</v>
      </c>
      <c r="BT20" s="9">
        <v>69100458</v>
      </c>
      <c r="BU20" s="9">
        <v>69100458</v>
      </c>
      <c r="BV20" s="9">
        <v>69100458</v>
      </c>
      <c r="BW20" s="9">
        <v>69100458</v>
      </c>
      <c r="BX20" s="9">
        <v>69100458</v>
      </c>
      <c r="BY20" s="9">
        <v>69100458</v>
      </c>
      <c r="BZ20" s="9">
        <v>69100458</v>
      </c>
      <c r="CA20" s="9">
        <v>69100458</v>
      </c>
      <c r="CB20" s="31">
        <v>69100458</v>
      </c>
    </row>
    <row r="21" spans="2:80" x14ac:dyDescent="0.3">
      <c r="B21" s="7" t="s">
        <v>59</v>
      </c>
      <c r="C21" s="9">
        <v>28365704</v>
      </c>
      <c r="D21" s="9">
        <v>28365704</v>
      </c>
      <c r="E21" s="9">
        <v>28365704</v>
      </c>
      <c r="F21" s="9">
        <v>28365704</v>
      </c>
      <c r="G21" s="9">
        <v>28365704</v>
      </c>
      <c r="H21" s="9">
        <v>28365704</v>
      </c>
      <c r="I21" s="9">
        <v>28365704</v>
      </c>
      <c r="J21" s="9">
        <v>28365704</v>
      </c>
      <c r="K21" s="9">
        <v>28365704</v>
      </c>
      <c r="L21" s="9">
        <v>28365704</v>
      </c>
      <c r="M21" s="9">
        <v>28365704</v>
      </c>
      <c r="N21" s="9">
        <v>28365704</v>
      </c>
      <c r="O21" s="31">
        <v>28365704</v>
      </c>
      <c r="P21" s="9">
        <v>26390042</v>
      </c>
      <c r="Q21" s="9">
        <v>26390042</v>
      </c>
      <c r="R21" s="9">
        <v>26390042</v>
      </c>
      <c r="S21" s="9">
        <v>26390042</v>
      </c>
      <c r="T21" s="9">
        <v>26390042</v>
      </c>
      <c r="U21" s="9">
        <v>26390042</v>
      </c>
      <c r="V21" s="9">
        <v>26390042</v>
      </c>
      <c r="W21" s="9">
        <v>26390042</v>
      </c>
      <c r="X21" s="9">
        <v>26390042</v>
      </c>
      <c r="Y21" s="9">
        <v>26390042</v>
      </c>
      <c r="Z21" s="9">
        <v>26390042</v>
      </c>
      <c r="AA21" s="9">
        <v>26390042</v>
      </c>
      <c r="AB21" s="31">
        <v>26390042</v>
      </c>
      <c r="AC21" s="9">
        <v>30128321</v>
      </c>
      <c r="AD21" s="9">
        <v>30128321</v>
      </c>
      <c r="AE21" s="9">
        <v>30128321</v>
      </c>
      <c r="AF21" s="9">
        <v>30128321</v>
      </c>
      <c r="AG21" s="9">
        <v>30128321</v>
      </c>
      <c r="AH21" s="9">
        <v>30128321</v>
      </c>
      <c r="AI21" s="9">
        <v>30128321</v>
      </c>
      <c r="AJ21" s="9">
        <v>30128321</v>
      </c>
      <c r="AK21" s="9">
        <v>30128321</v>
      </c>
      <c r="AL21" s="9">
        <v>30128321</v>
      </c>
      <c r="AM21" s="9">
        <v>30128321</v>
      </c>
      <c r="AN21" s="9">
        <v>30128321</v>
      </c>
      <c r="AO21" s="31">
        <v>30128321</v>
      </c>
      <c r="AP21" s="9">
        <v>30054838</v>
      </c>
      <c r="AQ21" s="9">
        <v>30054838</v>
      </c>
      <c r="AR21" s="9">
        <v>30054838</v>
      </c>
      <c r="AS21" s="9">
        <v>30054838</v>
      </c>
      <c r="AT21" s="9">
        <v>30054838</v>
      </c>
      <c r="AU21" s="9">
        <v>30054838</v>
      </c>
      <c r="AV21" s="9">
        <v>30054838</v>
      </c>
      <c r="AW21" s="9">
        <v>30054838</v>
      </c>
      <c r="AX21" s="9">
        <v>30054838</v>
      </c>
      <c r="AY21" s="9">
        <v>30054838</v>
      </c>
      <c r="AZ21" s="9">
        <v>30054838</v>
      </c>
      <c r="BA21" s="9">
        <v>30054838</v>
      </c>
      <c r="BB21" s="31">
        <v>30054838</v>
      </c>
      <c r="BC21" s="9">
        <v>33768075</v>
      </c>
      <c r="BD21" s="9">
        <v>33768075</v>
      </c>
      <c r="BE21" s="9">
        <v>33768075</v>
      </c>
      <c r="BF21" s="9">
        <v>33768075</v>
      </c>
      <c r="BG21" s="9">
        <v>33768075</v>
      </c>
      <c r="BH21" s="9">
        <v>33768075</v>
      </c>
      <c r="BI21" s="9">
        <v>33768075</v>
      </c>
      <c r="BJ21" s="9">
        <v>33768075</v>
      </c>
      <c r="BK21" s="9">
        <v>33768075</v>
      </c>
      <c r="BL21" s="9">
        <v>33768075</v>
      </c>
      <c r="BM21" s="9">
        <v>33768075</v>
      </c>
      <c r="BN21" s="9">
        <v>33768075</v>
      </c>
      <c r="BO21" s="31">
        <v>33768075</v>
      </c>
      <c r="BP21" s="9">
        <v>19941082</v>
      </c>
      <c r="BQ21" s="9">
        <v>19941082</v>
      </c>
      <c r="BR21" s="9">
        <v>19941082</v>
      </c>
      <c r="BS21" s="9">
        <v>19941082</v>
      </c>
      <c r="BT21" s="9">
        <v>19941082</v>
      </c>
      <c r="BU21" s="9">
        <v>19941082</v>
      </c>
      <c r="BV21" s="9">
        <v>19941082</v>
      </c>
      <c r="BW21" s="9">
        <v>19941082</v>
      </c>
      <c r="BX21" s="9">
        <v>19941082</v>
      </c>
      <c r="BY21" s="9">
        <v>19941082</v>
      </c>
      <c r="BZ21" s="9">
        <v>19941082</v>
      </c>
      <c r="CA21" s="9">
        <v>19941082</v>
      </c>
      <c r="CB21" s="31">
        <v>19941082</v>
      </c>
    </row>
    <row r="22" spans="2:80" x14ac:dyDescent="0.3">
      <c r="B22" s="7" t="s">
        <v>60</v>
      </c>
      <c r="C22" s="9">
        <v>17929551</v>
      </c>
      <c r="D22" s="9">
        <v>17929551</v>
      </c>
      <c r="E22" s="9">
        <v>17929551</v>
      </c>
      <c r="F22" s="9">
        <v>17929551</v>
      </c>
      <c r="G22" s="9">
        <v>17929551</v>
      </c>
      <c r="H22" s="9">
        <v>17929551</v>
      </c>
      <c r="I22" s="9">
        <v>17929551</v>
      </c>
      <c r="J22" s="9">
        <v>17929551</v>
      </c>
      <c r="K22" s="9">
        <v>17929551</v>
      </c>
      <c r="L22" s="9">
        <v>17929551</v>
      </c>
      <c r="M22" s="9">
        <v>17929551</v>
      </c>
      <c r="N22" s="9">
        <v>17929551</v>
      </c>
      <c r="O22" s="31">
        <v>17929551</v>
      </c>
      <c r="P22" s="9">
        <v>29463592</v>
      </c>
      <c r="Q22" s="9">
        <v>29463592</v>
      </c>
      <c r="R22" s="9">
        <v>29463592</v>
      </c>
      <c r="S22" s="9">
        <v>29463592</v>
      </c>
      <c r="T22" s="9">
        <v>29463592</v>
      </c>
      <c r="U22" s="9">
        <v>29463592</v>
      </c>
      <c r="V22" s="9">
        <v>29463592</v>
      </c>
      <c r="W22" s="9">
        <v>29463592</v>
      </c>
      <c r="X22" s="9">
        <v>29463592</v>
      </c>
      <c r="Y22" s="9">
        <v>29463592</v>
      </c>
      <c r="Z22" s="9">
        <v>29463592</v>
      </c>
      <c r="AA22" s="9">
        <v>29463592</v>
      </c>
      <c r="AB22" s="31">
        <v>29463592</v>
      </c>
      <c r="AC22" s="9">
        <v>34989760</v>
      </c>
      <c r="AD22" s="9">
        <v>34989760</v>
      </c>
      <c r="AE22" s="9">
        <v>34989760</v>
      </c>
      <c r="AF22" s="9">
        <v>34989760</v>
      </c>
      <c r="AG22" s="9">
        <v>34989760</v>
      </c>
      <c r="AH22" s="9">
        <v>34989760</v>
      </c>
      <c r="AI22" s="9">
        <v>34989760</v>
      </c>
      <c r="AJ22" s="9">
        <v>34989760</v>
      </c>
      <c r="AK22" s="9">
        <v>34989760</v>
      </c>
      <c r="AL22" s="9">
        <v>34989760</v>
      </c>
      <c r="AM22" s="9">
        <v>34989760</v>
      </c>
      <c r="AN22" s="9">
        <v>34989760</v>
      </c>
      <c r="AO22" s="31">
        <v>34989760</v>
      </c>
      <c r="AP22" s="9">
        <v>21614756</v>
      </c>
      <c r="AQ22" s="9">
        <v>21614756</v>
      </c>
      <c r="AR22" s="9">
        <v>21614756</v>
      </c>
      <c r="AS22" s="9">
        <v>21614756</v>
      </c>
      <c r="AT22" s="9">
        <v>21614756</v>
      </c>
      <c r="AU22" s="9">
        <v>21614756</v>
      </c>
      <c r="AV22" s="9">
        <v>21614756</v>
      </c>
      <c r="AW22" s="9">
        <v>21614756</v>
      </c>
      <c r="AX22" s="9">
        <v>21614756</v>
      </c>
      <c r="AY22" s="9">
        <v>21614756</v>
      </c>
      <c r="AZ22" s="9">
        <v>21614756</v>
      </c>
      <c r="BA22" s="9">
        <v>21614756</v>
      </c>
      <c r="BB22" s="31">
        <v>21614756</v>
      </c>
      <c r="BC22" s="9">
        <v>24407573</v>
      </c>
      <c r="BD22" s="9">
        <v>24407573</v>
      </c>
      <c r="BE22" s="9">
        <v>24407573</v>
      </c>
      <c r="BF22" s="9">
        <v>24407573</v>
      </c>
      <c r="BG22" s="9">
        <v>24407573</v>
      </c>
      <c r="BH22" s="9">
        <v>24407573</v>
      </c>
      <c r="BI22" s="9">
        <v>24407573</v>
      </c>
      <c r="BJ22" s="9">
        <v>24407573</v>
      </c>
      <c r="BK22" s="9">
        <v>24407573</v>
      </c>
      <c r="BL22" s="9">
        <v>24407573</v>
      </c>
      <c r="BM22" s="9">
        <v>24407573</v>
      </c>
      <c r="BN22" s="9">
        <v>24407573</v>
      </c>
      <c r="BO22" s="31">
        <v>24407573</v>
      </c>
      <c r="BP22" s="9">
        <v>26486066</v>
      </c>
      <c r="BQ22" s="9">
        <v>26486066</v>
      </c>
      <c r="BR22" s="9">
        <v>26486066</v>
      </c>
      <c r="BS22" s="9">
        <v>26486066</v>
      </c>
      <c r="BT22" s="9">
        <v>26486066</v>
      </c>
      <c r="BU22" s="9">
        <v>26486066</v>
      </c>
      <c r="BV22" s="9">
        <v>26486066</v>
      </c>
      <c r="BW22" s="9">
        <v>26486066</v>
      </c>
      <c r="BX22" s="9">
        <v>26486066</v>
      </c>
      <c r="BY22" s="9">
        <v>26486066</v>
      </c>
      <c r="BZ22" s="9">
        <v>26486066</v>
      </c>
      <c r="CA22" s="9">
        <v>26486066</v>
      </c>
      <c r="CB22" s="31">
        <v>26486066</v>
      </c>
    </row>
    <row r="23" spans="2:80" x14ac:dyDescent="0.3">
      <c r="B23" s="7" t="s">
        <v>61</v>
      </c>
      <c r="C23" s="9">
        <v>30425253</v>
      </c>
      <c r="D23" s="9">
        <v>30425253</v>
      </c>
      <c r="E23" s="9">
        <v>30425253</v>
      </c>
      <c r="F23" s="9">
        <v>30425253</v>
      </c>
      <c r="G23" s="9">
        <v>30425253</v>
      </c>
      <c r="H23" s="9">
        <v>30425253</v>
      </c>
      <c r="I23" s="9">
        <v>30425253</v>
      </c>
      <c r="J23" s="9">
        <v>30425253</v>
      </c>
      <c r="K23" s="9">
        <v>30425253</v>
      </c>
      <c r="L23" s="9">
        <v>30425253</v>
      </c>
      <c r="M23" s="9">
        <v>30425253</v>
      </c>
      <c r="N23" s="9">
        <v>30425253</v>
      </c>
      <c r="O23" s="31">
        <v>30425253</v>
      </c>
      <c r="P23" s="9">
        <v>28701287</v>
      </c>
      <c r="Q23" s="9">
        <v>28701287</v>
      </c>
      <c r="R23" s="9">
        <v>28701287</v>
      </c>
      <c r="S23" s="9">
        <v>28701287</v>
      </c>
      <c r="T23" s="9">
        <v>28701287</v>
      </c>
      <c r="U23" s="9">
        <v>28701287</v>
      </c>
      <c r="V23" s="9">
        <v>28701287</v>
      </c>
      <c r="W23" s="9">
        <v>28701287</v>
      </c>
      <c r="X23" s="9">
        <v>28701287</v>
      </c>
      <c r="Y23" s="9">
        <v>28701287</v>
      </c>
      <c r="Z23" s="9">
        <v>28701287</v>
      </c>
      <c r="AA23" s="9">
        <v>28701287</v>
      </c>
      <c r="AB23" s="31">
        <v>28701287</v>
      </c>
      <c r="AC23" s="9">
        <v>21698957</v>
      </c>
      <c r="AD23" s="9">
        <v>21698957</v>
      </c>
      <c r="AE23" s="9">
        <v>21698957</v>
      </c>
      <c r="AF23" s="9">
        <v>21698957</v>
      </c>
      <c r="AG23" s="9">
        <v>21698957</v>
      </c>
      <c r="AH23" s="9">
        <v>21698957</v>
      </c>
      <c r="AI23" s="9">
        <v>21698957</v>
      </c>
      <c r="AJ23" s="9">
        <v>21698957</v>
      </c>
      <c r="AK23" s="9">
        <v>21698957</v>
      </c>
      <c r="AL23" s="9">
        <v>21698957</v>
      </c>
      <c r="AM23" s="9">
        <v>21698957</v>
      </c>
      <c r="AN23" s="9">
        <v>21698957</v>
      </c>
      <c r="AO23" s="31">
        <v>21698957</v>
      </c>
      <c r="AP23" s="9">
        <v>27536485</v>
      </c>
      <c r="AQ23" s="9">
        <v>27536485</v>
      </c>
      <c r="AR23" s="9">
        <v>27536485</v>
      </c>
      <c r="AS23" s="9">
        <v>27536485</v>
      </c>
      <c r="AT23" s="9">
        <v>27536485</v>
      </c>
      <c r="AU23" s="9">
        <v>27536485</v>
      </c>
      <c r="AV23" s="9">
        <v>27536485</v>
      </c>
      <c r="AW23" s="9">
        <v>27536485</v>
      </c>
      <c r="AX23" s="9">
        <v>27536485</v>
      </c>
      <c r="AY23" s="9">
        <v>27536485</v>
      </c>
      <c r="AZ23" s="9">
        <v>27536485</v>
      </c>
      <c r="BA23" s="9">
        <v>27536485</v>
      </c>
      <c r="BB23" s="31">
        <v>27536485</v>
      </c>
      <c r="BC23" s="9">
        <v>21901695</v>
      </c>
      <c r="BD23" s="9">
        <v>21901695</v>
      </c>
      <c r="BE23" s="9">
        <v>21901695</v>
      </c>
      <c r="BF23" s="9">
        <v>21901695</v>
      </c>
      <c r="BG23" s="9">
        <v>21901695</v>
      </c>
      <c r="BH23" s="9">
        <v>21901695</v>
      </c>
      <c r="BI23" s="9">
        <v>21901695</v>
      </c>
      <c r="BJ23" s="9">
        <v>21901695</v>
      </c>
      <c r="BK23" s="9">
        <v>21901695</v>
      </c>
      <c r="BL23" s="9">
        <v>21901695</v>
      </c>
      <c r="BM23" s="9">
        <v>21901695</v>
      </c>
      <c r="BN23" s="9">
        <v>21901695</v>
      </c>
      <c r="BO23" s="31">
        <v>21901695</v>
      </c>
      <c r="BP23" s="9">
        <v>14354883</v>
      </c>
      <c r="BQ23" s="9">
        <v>14354883</v>
      </c>
      <c r="BR23" s="9">
        <v>14354883</v>
      </c>
      <c r="BS23" s="9">
        <v>14354883</v>
      </c>
      <c r="BT23" s="9">
        <v>14354883</v>
      </c>
      <c r="BU23" s="9">
        <v>14354883</v>
      </c>
      <c r="BV23" s="9">
        <v>14354883</v>
      </c>
      <c r="BW23" s="9">
        <v>14354883</v>
      </c>
      <c r="BX23" s="9">
        <v>14354883</v>
      </c>
      <c r="BY23" s="9">
        <v>14354883</v>
      </c>
      <c r="BZ23" s="9">
        <v>14354883</v>
      </c>
      <c r="CA23" s="9">
        <v>14354883</v>
      </c>
      <c r="CB23" s="31">
        <v>14354883</v>
      </c>
    </row>
    <row r="24" spans="2:80" x14ac:dyDescent="0.3">
      <c r="B24" s="7" t="s">
        <v>62</v>
      </c>
      <c r="C24" s="9">
        <v>7006206</v>
      </c>
      <c r="D24" s="9">
        <v>7006206</v>
      </c>
      <c r="E24" s="9">
        <v>7006206</v>
      </c>
      <c r="F24" s="9">
        <v>7006206</v>
      </c>
      <c r="G24" s="9">
        <v>7006206</v>
      </c>
      <c r="H24" s="9">
        <v>7006206</v>
      </c>
      <c r="I24" s="9">
        <v>7006206</v>
      </c>
      <c r="J24" s="9">
        <v>7006206</v>
      </c>
      <c r="K24" s="9">
        <v>7006206</v>
      </c>
      <c r="L24" s="9">
        <v>7006206</v>
      </c>
      <c r="M24" s="9">
        <v>7006206</v>
      </c>
      <c r="N24" s="9">
        <v>7006206</v>
      </c>
      <c r="O24" s="31">
        <v>7006206</v>
      </c>
      <c r="P24" s="9">
        <v>7213147</v>
      </c>
      <c r="Q24" s="9">
        <v>7213147</v>
      </c>
      <c r="R24" s="9">
        <v>7213147</v>
      </c>
      <c r="S24" s="9">
        <v>7213147</v>
      </c>
      <c r="T24" s="9">
        <v>7213147</v>
      </c>
      <c r="U24" s="9">
        <v>7213147</v>
      </c>
      <c r="V24" s="9">
        <v>7213147</v>
      </c>
      <c r="W24" s="9">
        <v>7213147</v>
      </c>
      <c r="X24" s="9">
        <v>7213147</v>
      </c>
      <c r="Y24" s="9">
        <v>7213147</v>
      </c>
      <c r="Z24" s="9">
        <v>7213147</v>
      </c>
      <c r="AA24" s="9">
        <v>7213147</v>
      </c>
      <c r="AB24" s="31">
        <v>7213147</v>
      </c>
      <c r="AC24" s="9">
        <v>8696258</v>
      </c>
      <c r="AD24" s="9">
        <v>8696258</v>
      </c>
      <c r="AE24" s="9">
        <v>8696258</v>
      </c>
      <c r="AF24" s="9">
        <v>8696258</v>
      </c>
      <c r="AG24" s="9">
        <v>8696258</v>
      </c>
      <c r="AH24" s="9">
        <v>8696258</v>
      </c>
      <c r="AI24" s="9">
        <v>8696258</v>
      </c>
      <c r="AJ24" s="9">
        <v>8696258</v>
      </c>
      <c r="AK24" s="9">
        <v>8696258</v>
      </c>
      <c r="AL24" s="9">
        <v>8696258</v>
      </c>
      <c r="AM24" s="9">
        <v>8696258</v>
      </c>
      <c r="AN24" s="9">
        <v>8696258</v>
      </c>
      <c r="AO24" s="31">
        <v>8696258</v>
      </c>
      <c r="AP24" s="9">
        <v>18841858</v>
      </c>
      <c r="AQ24" s="9">
        <v>18841858</v>
      </c>
      <c r="AR24" s="9">
        <v>18841858</v>
      </c>
      <c r="AS24" s="9">
        <v>18841858</v>
      </c>
      <c r="AT24" s="9">
        <v>18841858</v>
      </c>
      <c r="AU24" s="9">
        <v>18841858</v>
      </c>
      <c r="AV24" s="9">
        <v>18841858</v>
      </c>
      <c r="AW24" s="9">
        <v>18841858</v>
      </c>
      <c r="AX24" s="9">
        <v>18841858</v>
      </c>
      <c r="AY24" s="9">
        <v>18841858</v>
      </c>
      <c r="AZ24" s="9">
        <v>18841858</v>
      </c>
      <c r="BA24" s="9">
        <v>18841858</v>
      </c>
      <c r="BB24" s="31">
        <v>18841858</v>
      </c>
      <c r="BC24" s="9">
        <v>15973417</v>
      </c>
      <c r="BD24" s="9">
        <v>15973417</v>
      </c>
      <c r="BE24" s="9">
        <v>15973417</v>
      </c>
      <c r="BF24" s="9">
        <v>15973417</v>
      </c>
      <c r="BG24" s="9">
        <v>15973417</v>
      </c>
      <c r="BH24" s="9">
        <v>15973417</v>
      </c>
      <c r="BI24" s="9">
        <v>15973417</v>
      </c>
      <c r="BJ24" s="9">
        <v>15973417</v>
      </c>
      <c r="BK24" s="9">
        <v>15973417</v>
      </c>
      <c r="BL24" s="9">
        <v>15973417</v>
      </c>
      <c r="BM24" s="9">
        <v>15973417</v>
      </c>
      <c r="BN24" s="9">
        <v>15973417</v>
      </c>
      <c r="BO24" s="31">
        <v>15973417</v>
      </c>
      <c r="BP24" s="9">
        <v>8237296</v>
      </c>
      <c r="BQ24" s="9">
        <v>8237296</v>
      </c>
      <c r="BR24" s="9">
        <v>8237296</v>
      </c>
      <c r="BS24" s="9">
        <v>8237296</v>
      </c>
      <c r="BT24" s="9">
        <v>8237296</v>
      </c>
      <c r="BU24" s="9">
        <v>8237296</v>
      </c>
      <c r="BV24" s="9">
        <v>8237296</v>
      </c>
      <c r="BW24" s="9">
        <v>8237296</v>
      </c>
      <c r="BX24" s="9">
        <v>8237296</v>
      </c>
      <c r="BY24" s="9">
        <v>8237296</v>
      </c>
      <c r="BZ24" s="9">
        <v>8237296</v>
      </c>
      <c r="CA24" s="9">
        <v>8237296</v>
      </c>
      <c r="CB24" s="31">
        <v>8237296</v>
      </c>
    </row>
    <row r="25" spans="2:80" x14ac:dyDescent="0.3">
      <c r="B25" s="7" t="s">
        <v>63</v>
      </c>
      <c r="C25" s="9">
        <v>9782662</v>
      </c>
      <c r="D25" s="9">
        <v>9782662</v>
      </c>
      <c r="E25" s="9">
        <v>9782662</v>
      </c>
      <c r="F25" s="9">
        <v>9782662</v>
      </c>
      <c r="G25" s="9">
        <v>9782662</v>
      </c>
      <c r="H25" s="9">
        <v>9782662</v>
      </c>
      <c r="I25" s="9">
        <v>9782662</v>
      </c>
      <c r="J25" s="9">
        <v>9782662</v>
      </c>
      <c r="K25" s="9">
        <v>9782662</v>
      </c>
      <c r="L25" s="9">
        <v>9782662</v>
      </c>
      <c r="M25" s="9">
        <v>9782662</v>
      </c>
      <c r="N25" s="9">
        <v>9782662</v>
      </c>
      <c r="O25" s="31">
        <v>9782662</v>
      </c>
      <c r="P25" s="9">
        <v>14902342</v>
      </c>
      <c r="Q25" s="9">
        <v>14902342</v>
      </c>
      <c r="R25" s="9">
        <v>14902342</v>
      </c>
      <c r="S25" s="9">
        <v>14902342</v>
      </c>
      <c r="T25" s="9">
        <v>14902342</v>
      </c>
      <c r="U25" s="9">
        <v>14902342</v>
      </c>
      <c r="V25" s="9">
        <v>14902342</v>
      </c>
      <c r="W25" s="9">
        <v>14902342</v>
      </c>
      <c r="X25" s="9">
        <v>14902342</v>
      </c>
      <c r="Y25" s="9">
        <v>14902342</v>
      </c>
      <c r="Z25" s="9">
        <v>14902342</v>
      </c>
      <c r="AA25" s="9">
        <v>14902342</v>
      </c>
      <c r="AB25" s="31">
        <v>14902342</v>
      </c>
      <c r="AC25" s="9">
        <v>22127832</v>
      </c>
      <c r="AD25" s="9">
        <v>22127832</v>
      </c>
      <c r="AE25" s="9">
        <v>22127832</v>
      </c>
      <c r="AF25" s="9">
        <v>22127832</v>
      </c>
      <c r="AG25" s="9">
        <v>22127832</v>
      </c>
      <c r="AH25" s="9">
        <v>22127832</v>
      </c>
      <c r="AI25" s="9">
        <v>22127832</v>
      </c>
      <c r="AJ25" s="9">
        <v>22127832</v>
      </c>
      <c r="AK25" s="9">
        <v>22127832</v>
      </c>
      <c r="AL25" s="9">
        <v>22127832</v>
      </c>
      <c r="AM25" s="9">
        <v>22127832</v>
      </c>
      <c r="AN25" s="9">
        <v>22127832</v>
      </c>
      <c r="AO25" s="31">
        <v>22127832</v>
      </c>
      <c r="AP25" s="9">
        <v>22256093</v>
      </c>
      <c r="AQ25" s="9">
        <v>22256093</v>
      </c>
      <c r="AR25" s="9">
        <v>22256093</v>
      </c>
      <c r="AS25" s="9">
        <v>22256093</v>
      </c>
      <c r="AT25" s="9">
        <v>22256093</v>
      </c>
      <c r="AU25" s="9">
        <v>22256093</v>
      </c>
      <c r="AV25" s="9">
        <v>22256093</v>
      </c>
      <c r="AW25" s="9">
        <v>22256093</v>
      </c>
      <c r="AX25" s="9">
        <v>22256093</v>
      </c>
      <c r="AY25" s="9">
        <v>22256093</v>
      </c>
      <c r="AZ25" s="9">
        <v>22256093</v>
      </c>
      <c r="BA25" s="9">
        <v>22256093</v>
      </c>
      <c r="BB25" s="31">
        <v>22256093</v>
      </c>
      <c r="BC25" s="9">
        <v>21184028</v>
      </c>
      <c r="BD25" s="9">
        <v>21184028</v>
      </c>
      <c r="BE25" s="9">
        <v>21184028</v>
      </c>
      <c r="BF25" s="9">
        <v>21184028</v>
      </c>
      <c r="BG25" s="9">
        <v>21184028</v>
      </c>
      <c r="BH25" s="9">
        <v>21184028</v>
      </c>
      <c r="BI25" s="9">
        <v>21184028</v>
      </c>
      <c r="BJ25" s="9">
        <v>21184028</v>
      </c>
      <c r="BK25" s="9">
        <v>21184028</v>
      </c>
      <c r="BL25" s="9">
        <v>21184028</v>
      </c>
      <c r="BM25" s="9">
        <v>21184028</v>
      </c>
      <c r="BN25" s="9">
        <v>21184028</v>
      </c>
      <c r="BO25" s="31">
        <v>21184028</v>
      </c>
      <c r="BP25" s="9">
        <v>24770394</v>
      </c>
      <c r="BQ25" s="9">
        <v>24770394</v>
      </c>
      <c r="BR25" s="9">
        <v>24770394</v>
      </c>
      <c r="BS25" s="9">
        <v>24770394</v>
      </c>
      <c r="BT25" s="9">
        <v>24770394</v>
      </c>
      <c r="BU25" s="9">
        <v>24770394</v>
      </c>
      <c r="BV25" s="9">
        <v>24770394</v>
      </c>
      <c r="BW25" s="9">
        <v>24770394</v>
      </c>
      <c r="BX25" s="9">
        <v>24770394</v>
      </c>
      <c r="BY25" s="9">
        <v>24770394</v>
      </c>
      <c r="BZ25" s="9">
        <v>24770394</v>
      </c>
      <c r="CA25" s="9">
        <v>24770394</v>
      </c>
      <c r="CB25" s="31">
        <v>24770394</v>
      </c>
    </row>
    <row r="26" spans="2:80" x14ac:dyDescent="0.3">
      <c r="B26" s="11" t="s">
        <v>103</v>
      </c>
      <c r="C26" s="13">
        <f t="shared" ref="C26:AH26" si="0">SUM(C8:C25)</f>
        <v>469564689</v>
      </c>
      <c r="D26" s="13">
        <f t="shared" si="0"/>
        <v>469564689</v>
      </c>
      <c r="E26" s="13">
        <f t="shared" si="0"/>
        <v>469564689</v>
      </c>
      <c r="F26" s="13">
        <f t="shared" si="0"/>
        <v>469564689</v>
      </c>
      <c r="G26" s="13">
        <f t="shared" si="0"/>
        <v>469564689</v>
      </c>
      <c r="H26" s="13">
        <f t="shared" si="0"/>
        <v>469564689</v>
      </c>
      <c r="I26" s="13">
        <f t="shared" si="0"/>
        <v>469564689</v>
      </c>
      <c r="J26" s="13">
        <f t="shared" si="0"/>
        <v>469564689</v>
      </c>
      <c r="K26" s="13">
        <f t="shared" si="0"/>
        <v>469564689</v>
      </c>
      <c r="L26" s="13">
        <f t="shared" si="0"/>
        <v>469564689</v>
      </c>
      <c r="M26" s="13">
        <f t="shared" si="0"/>
        <v>469564689</v>
      </c>
      <c r="N26" s="13">
        <f t="shared" si="0"/>
        <v>469564689</v>
      </c>
      <c r="O26" s="13">
        <f t="shared" si="0"/>
        <v>469564689</v>
      </c>
      <c r="P26" s="13">
        <f t="shared" si="0"/>
        <v>532634315</v>
      </c>
      <c r="Q26" s="13">
        <f t="shared" si="0"/>
        <v>532634315</v>
      </c>
      <c r="R26" s="13">
        <f t="shared" si="0"/>
        <v>532634315</v>
      </c>
      <c r="S26" s="13">
        <f t="shared" si="0"/>
        <v>532634315</v>
      </c>
      <c r="T26" s="13">
        <f t="shared" si="0"/>
        <v>532634315</v>
      </c>
      <c r="U26" s="13">
        <f t="shared" si="0"/>
        <v>532634315</v>
      </c>
      <c r="V26" s="13">
        <f t="shared" si="0"/>
        <v>532634315</v>
      </c>
      <c r="W26" s="13">
        <f t="shared" si="0"/>
        <v>532634315</v>
      </c>
      <c r="X26" s="13">
        <f t="shared" si="0"/>
        <v>532634315</v>
      </c>
      <c r="Y26" s="13">
        <f t="shared" si="0"/>
        <v>532634315</v>
      </c>
      <c r="Z26" s="13">
        <f t="shared" si="0"/>
        <v>532634315</v>
      </c>
      <c r="AA26" s="13">
        <f t="shared" si="0"/>
        <v>532634315</v>
      </c>
      <c r="AB26" s="13">
        <f t="shared" si="0"/>
        <v>532634315</v>
      </c>
      <c r="AC26" s="13">
        <f t="shared" si="0"/>
        <v>542047913</v>
      </c>
      <c r="AD26" s="13">
        <f t="shared" si="0"/>
        <v>542047913</v>
      </c>
      <c r="AE26" s="13">
        <f t="shared" si="0"/>
        <v>542047913</v>
      </c>
      <c r="AF26" s="13">
        <f t="shared" si="0"/>
        <v>542047913</v>
      </c>
      <c r="AG26" s="13">
        <f t="shared" si="0"/>
        <v>542047913</v>
      </c>
      <c r="AH26" s="13">
        <f t="shared" si="0"/>
        <v>542047913</v>
      </c>
      <c r="AI26" s="13">
        <f t="shared" ref="AI26:BN26" si="1">SUM(AI8:AI25)</f>
        <v>542047913</v>
      </c>
      <c r="AJ26" s="13">
        <f t="shared" si="1"/>
        <v>542047913</v>
      </c>
      <c r="AK26" s="13">
        <f t="shared" si="1"/>
        <v>542047913</v>
      </c>
      <c r="AL26" s="13">
        <f t="shared" si="1"/>
        <v>542047913</v>
      </c>
      <c r="AM26" s="13">
        <f t="shared" si="1"/>
        <v>542047913</v>
      </c>
      <c r="AN26" s="13">
        <f t="shared" si="1"/>
        <v>542047913</v>
      </c>
      <c r="AO26" s="13">
        <f t="shared" si="1"/>
        <v>542047913</v>
      </c>
      <c r="AP26" s="13">
        <f t="shared" si="1"/>
        <v>560704016</v>
      </c>
      <c r="AQ26" s="13">
        <f t="shared" si="1"/>
        <v>560704016</v>
      </c>
      <c r="AR26" s="13">
        <f t="shared" si="1"/>
        <v>560704016</v>
      </c>
      <c r="AS26" s="13">
        <f t="shared" si="1"/>
        <v>560704016</v>
      </c>
      <c r="AT26" s="13">
        <f t="shared" si="1"/>
        <v>560704016</v>
      </c>
      <c r="AU26" s="13">
        <f t="shared" si="1"/>
        <v>560704016</v>
      </c>
      <c r="AV26" s="13">
        <f t="shared" si="1"/>
        <v>560704016</v>
      </c>
      <c r="AW26" s="13">
        <f t="shared" si="1"/>
        <v>560704016</v>
      </c>
      <c r="AX26" s="13">
        <f t="shared" si="1"/>
        <v>560704016</v>
      </c>
      <c r="AY26" s="13">
        <f t="shared" si="1"/>
        <v>560704016</v>
      </c>
      <c r="AZ26" s="13">
        <f t="shared" si="1"/>
        <v>560704016</v>
      </c>
      <c r="BA26" s="13">
        <f t="shared" si="1"/>
        <v>560704016</v>
      </c>
      <c r="BB26" s="13">
        <f t="shared" si="1"/>
        <v>560704016</v>
      </c>
      <c r="BC26" s="13">
        <f t="shared" si="1"/>
        <v>502221494</v>
      </c>
      <c r="BD26" s="13">
        <f t="shared" si="1"/>
        <v>502221494</v>
      </c>
      <c r="BE26" s="13">
        <f t="shared" si="1"/>
        <v>502221494</v>
      </c>
      <c r="BF26" s="13">
        <f t="shared" si="1"/>
        <v>502221494</v>
      </c>
      <c r="BG26" s="13">
        <f t="shared" si="1"/>
        <v>502221494</v>
      </c>
      <c r="BH26" s="13">
        <f t="shared" si="1"/>
        <v>502221494</v>
      </c>
      <c r="BI26" s="13">
        <f t="shared" si="1"/>
        <v>502221494</v>
      </c>
      <c r="BJ26" s="13">
        <f t="shared" si="1"/>
        <v>502221494</v>
      </c>
      <c r="BK26" s="13">
        <f t="shared" si="1"/>
        <v>502221494</v>
      </c>
      <c r="BL26" s="13">
        <f t="shared" si="1"/>
        <v>502221494</v>
      </c>
      <c r="BM26" s="13">
        <f t="shared" si="1"/>
        <v>502221494</v>
      </c>
      <c r="BN26" s="13">
        <f t="shared" si="1"/>
        <v>502221494</v>
      </c>
      <c r="BO26" s="13">
        <f t="shared" ref="BO26:CT26" si="2">SUM(BO8:BO25)</f>
        <v>502221494</v>
      </c>
      <c r="BP26" s="13">
        <f t="shared" si="2"/>
        <v>465461219</v>
      </c>
      <c r="BQ26" s="13">
        <f t="shared" si="2"/>
        <v>465461219</v>
      </c>
      <c r="BR26" s="13">
        <f t="shared" si="2"/>
        <v>465461219</v>
      </c>
      <c r="BS26" s="13">
        <f t="shared" si="2"/>
        <v>465461219</v>
      </c>
      <c r="BT26" s="13">
        <f t="shared" si="2"/>
        <v>465461219</v>
      </c>
      <c r="BU26" s="13">
        <f t="shared" si="2"/>
        <v>465461219</v>
      </c>
      <c r="BV26" s="13">
        <f t="shared" si="2"/>
        <v>465461219</v>
      </c>
      <c r="BW26" s="13">
        <f t="shared" si="2"/>
        <v>465461219</v>
      </c>
      <c r="BX26" s="13">
        <f t="shared" si="2"/>
        <v>465461219</v>
      </c>
      <c r="BY26" s="13">
        <f t="shared" si="2"/>
        <v>465461219</v>
      </c>
      <c r="BZ26" s="13">
        <f t="shared" si="2"/>
        <v>465461219</v>
      </c>
      <c r="CA26" s="13">
        <f t="shared" si="2"/>
        <v>465461219</v>
      </c>
      <c r="CB26" s="13">
        <f t="shared" si="2"/>
        <v>465461219</v>
      </c>
    </row>
    <row r="27" spans="2:80" x14ac:dyDescent="0.3">
      <c r="B27" s="5" t="s">
        <v>104</v>
      </c>
    </row>
    <row r="28" spans="2:80" x14ac:dyDescent="0.3">
      <c r="C28" s="49" t="s">
        <v>90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9" t="s">
        <v>91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49" t="s">
        <v>92</v>
      </c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49" t="s">
        <v>93</v>
      </c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49" t="s">
        <v>94</v>
      </c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49" t="s">
        <v>95</v>
      </c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</row>
    <row r="29" spans="2:80" x14ac:dyDescent="0.3">
      <c r="B29" s="19" t="s">
        <v>96</v>
      </c>
      <c r="C29" s="30" t="s">
        <v>67</v>
      </c>
      <c r="D29" s="30" t="s">
        <v>68</v>
      </c>
      <c r="E29" s="30" t="s">
        <v>69</v>
      </c>
      <c r="F29" s="30" t="s">
        <v>70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75</v>
      </c>
      <c r="L29" s="30" t="s">
        <v>76</v>
      </c>
      <c r="M29" s="30" t="s">
        <v>77</v>
      </c>
      <c r="N29" s="30" t="s">
        <v>78</v>
      </c>
      <c r="O29" s="30" t="s">
        <v>97</v>
      </c>
      <c r="P29" s="30" t="s">
        <v>67</v>
      </c>
      <c r="Q29" s="30" t="s">
        <v>68</v>
      </c>
      <c r="R29" s="30" t="s">
        <v>69</v>
      </c>
      <c r="S29" s="30" t="s">
        <v>70</v>
      </c>
      <c r="T29" s="30" t="s">
        <v>71</v>
      </c>
      <c r="U29" s="30" t="s">
        <v>72</v>
      </c>
      <c r="V29" s="30" t="s">
        <v>73</v>
      </c>
      <c r="W29" s="30" t="s">
        <v>74</v>
      </c>
      <c r="X29" s="30" t="s">
        <v>75</v>
      </c>
      <c r="Y29" s="30" t="s">
        <v>76</v>
      </c>
      <c r="Z29" s="30" t="s">
        <v>77</v>
      </c>
      <c r="AA29" s="30" t="s">
        <v>78</v>
      </c>
      <c r="AB29" s="30" t="s">
        <v>98</v>
      </c>
      <c r="AC29" s="30" t="s">
        <v>67</v>
      </c>
      <c r="AD29" s="30" t="s">
        <v>68</v>
      </c>
      <c r="AE29" s="30" t="s">
        <v>69</v>
      </c>
      <c r="AF29" s="30" t="s">
        <v>70</v>
      </c>
      <c r="AG29" s="30" t="s">
        <v>71</v>
      </c>
      <c r="AH29" s="30" t="s">
        <v>72</v>
      </c>
      <c r="AI29" s="30" t="s">
        <v>73</v>
      </c>
      <c r="AJ29" s="30" t="s">
        <v>74</v>
      </c>
      <c r="AK29" s="30" t="s">
        <v>75</v>
      </c>
      <c r="AL29" s="30" t="s">
        <v>76</v>
      </c>
      <c r="AM29" s="30" t="s">
        <v>77</v>
      </c>
      <c r="AN29" s="30" t="s">
        <v>78</v>
      </c>
      <c r="AO29" s="30" t="s">
        <v>99</v>
      </c>
      <c r="AP29" s="30" t="s">
        <v>67</v>
      </c>
      <c r="AQ29" s="30" t="s">
        <v>68</v>
      </c>
      <c r="AR29" s="30" t="s">
        <v>69</v>
      </c>
      <c r="AS29" s="30" t="s">
        <v>70</v>
      </c>
      <c r="AT29" s="30" t="s">
        <v>71</v>
      </c>
      <c r="AU29" s="30" t="s">
        <v>72</v>
      </c>
      <c r="AV29" s="30" t="s">
        <v>73</v>
      </c>
      <c r="AW29" s="30" t="s">
        <v>74</v>
      </c>
      <c r="AX29" s="30" t="s">
        <v>75</v>
      </c>
      <c r="AY29" s="30" t="s">
        <v>76</v>
      </c>
      <c r="AZ29" s="30" t="s">
        <v>77</v>
      </c>
      <c r="BA29" s="30" t="s">
        <v>78</v>
      </c>
      <c r="BB29" s="30" t="s">
        <v>100</v>
      </c>
      <c r="BC29" s="30" t="s">
        <v>67</v>
      </c>
      <c r="BD29" s="30" t="s">
        <v>68</v>
      </c>
      <c r="BE29" s="30" t="s">
        <v>69</v>
      </c>
      <c r="BF29" s="30" t="s">
        <v>70</v>
      </c>
      <c r="BG29" s="30" t="s">
        <v>71</v>
      </c>
      <c r="BH29" s="30" t="s">
        <v>72</v>
      </c>
      <c r="BI29" s="30" t="s">
        <v>73</v>
      </c>
      <c r="BJ29" s="30" t="s">
        <v>74</v>
      </c>
      <c r="BK29" s="30" t="s">
        <v>75</v>
      </c>
      <c r="BL29" s="30" t="s">
        <v>76</v>
      </c>
      <c r="BM29" s="30" t="s">
        <v>77</v>
      </c>
      <c r="BN29" s="30" t="s">
        <v>78</v>
      </c>
      <c r="BO29" s="30" t="s">
        <v>101</v>
      </c>
      <c r="BP29" s="30" t="s">
        <v>67</v>
      </c>
      <c r="BQ29" s="30" t="s">
        <v>68</v>
      </c>
      <c r="BR29" s="30" t="s">
        <v>69</v>
      </c>
      <c r="BS29" s="30" t="s">
        <v>70</v>
      </c>
      <c r="BT29" s="30" t="s">
        <v>71</v>
      </c>
      <c r="BU29" s="30" t="s">
        <v>72</v>
      </c>
      <c r="BV29" s="30" t="s">
        <v>73</v>
      </c>
      <c r="BW29" s="30" t="s">
        <v>74</v>
      </c>
      <c r="BX29" s="30" t="s">
        <v>75</v>
      </c>
      <c r="BY29" s="30" t="s">
        <v>76</v>
      </c>
      <c r="BZ29" s="30" t="s">
        <v>77</v>
      </c>
      <c r="CA29" s="30" t="s">
        <v>78</v>
      </c>
      <c r="CB29" s="30" t="s">
        <v>102</v>
      </c>
    </row>
    <row r="30" spans="2:80" x14ac:dyDescent="0.3">
      <c r="B30" s="7" t="s">
        <v>46</v>
      </c>
      <c r="C30" s="9">
        <v>35339308</v>
      </c>
      <c r="D30" s="9">
        <v>34095082</v>
      </c>
      <c r="E30" s="9">
        <v>30900763</v>
      </c>
      <c r="F30" s="9">
        <v>30000165</v>
      </c>
      <c r="G30" s="9">
        <v>28431391</v>
      </c>
      <c r="H30" s="9">
        <v>28482712</v>
      </c>
      <c r="I30" s="9">
        <v>28482712</v>
      </c>
      <c r="J30" s="9">
        <v>28482712</v>
      </c>
      <c r="K30" s="9">
        <v>28482712</v>
      </c>
      <c r="L30" s="9">
        <v>26544090</v>
      </c>
      <c r="M30" s="9">
        <v>27401071</v>
      </c>
      <c r="N30" s="9">
        <v>26558777</v>
      </c>
      <c r="O30" s="31">
        <v>26558777</v>
      </c>
      <c r="P30" s="9">
        <v>22751821</v>
      </c>
      <c r="Q30" s="9">
        <v>14162616</v>
      </c>
      <c r="R30" s="9">
        <v>14162616</v>
      </c>
      <c r="S30" s="9">
        <v>14162616</v>
      </c>
      <c r="T30" s="9">
        <v>14094265</v>
      </c>
      <c r="U30" s="9">
        <v>14094265</v>
      </c>
      <c r="V30" s="9">
        <v>13994333</v>
      </c>
      <c r="W30" s="9">
        <v>14199833</v>
      </c>
      <c r="X30" s="9">
        <v>14199833</v>
      </c>
      <c r="Y30" s="9">
        <v>14215569</v>
      </c>
      <c r="Z30" s="9">
        <v>13257545</v>
      </c>
      <c r="AA30" s="9">
        <v>11513633</v>
      </c>
      <c r="AB30" s="31">
        <v>11513633</v>
      </c>
      <c r="AC30" s="9">
        <v>22326757</v>
      </c>
      <c r="AD30" s="9">
        <v>12413948</v>
      </c>
      <c r="AE30" s="9">
        <v>12413948</v>
      </c>
      <c r="AF30" s="9">
        <v>12169459</v>
      </c>
      <c r="AG30" s="9">
        <v>11694537</v>
      </c>
      <c r="AH30" s="9">
        <v>11453537</v>
      </c>
      <c r="AI30" s="9">
        <v>11207907</v>
      </c>
      <c r="AJ30" s="9">
        <v>11175513</v>
      </c>
      <c r="AK30" s="9">
        <v>11175513</v>
      </c>
      <c r="AL30" s="9">
        <v>11175513</v>
      </c>
      <c r="AM30" s="9">
        <v>3304471</v>
      </c>
      <c r="AN30" s="9">
        <v>2258817</v>
      </c>
      <c r="AO30" s="31">
        <v>2258817</v>
      </c>
      <c r="AP30" s="9">
        <v>65885700</v>
      </c>
      <c r="AQ30" s="9">
        <v>65885700</v>
      </c>
      <c r="AR30" s="9">
        <v>40863396</v>
      </c>
      <c r="AS30" s="9">
        <v>40863396</v>
      </c>
      <c r="AT30" s="9">
        <v>40441434</v>
      </c>
      <c r="AU30" s="9">
        <v>40130157</v>
      </c>
      <c r="AV30" s="9">
        <v>40110894</v>
      </c>
      <c r="AW30" s="9">
        <v>35322619</v>
      </c>
      <c r="AX30" s="9">
        <v>31954975</v>
      </c>
      <c r="AY30" s="9">
        <v>31882527</v>
      </c>
      <c r="AZ30" s="9">
        <v>19631668</v>
      </c>
      <c r="BA30" s="9">
        <v>1858597</v>
      </c>
      <c r="BB30" s="31">
        <v>1858597</v>
      </c>
      <c r="BC30" s="9">
        <v>31496963</v>
      </c>
      <c r="BD30" s="9">
        <v>21938918</v>
      </c>
      <c r="BE30" s="9">
        <v>17774772</v>
      </c>
      <c r="BF30" s="9">
        <v>17594772</v>
      </c>
      <c r="BG30" s="9">
        <v>17439772</v>
      </c>
      <c r="BH30" s="9">
        <v>16908124</v>
      </c>
      <c r="BI30" s="9">
        <v>10908124</v>
      </c>
      <c r="BJ30" s="9">
        <v>10908124</v>
      </c>
      <c r="BK30" s="9">
        <v>10908124</v>
      </c>
      <c r="BL30" s="9">
        <v>4377527</v>
      </c>
      <c r="BM30" s="9">
        <v>4377527</v>
      </c>
      <c r="BN30" s="9">
        <v>2042428</v>
      </c>
      <c r="BO30" s="31">
        <v>2042428</v>
      </c>
      <c r="BP30" s="9">
        <v>15772873</v>
      </c>
      <c r="BQ30" s="9">
        <v>15772873</v>
      </c>
      <c r="BR30" s="9">
        <v>15772873</v>
      </c>
      <c r="BS30" s="9">
        <v>15772873</v>
      </c>
      <c r="BT30" s="9">
        <v>3763881</v>
      </c>
      <c r="BU30" s="9">
        <v>3874066</v>
      </c>
      <c r="BV30" s="9">
        <v>2591940</v>
      </c>
      <c r="BW30" s="9">
        <v>2591940</v>
      </c>
      <c r="BX30" s="9">
        <v>2591940</v>
      </c>
      <c r="BY30" s="9">
        <v>2591940</v>
      </c>
      <c r="BZ30" s="9">
        <v>2591940</v>
      </c>
      <c r="CA30" s="9">
        <v>2591940</v>
      </c>
      <c r="CB30" s="31">
        <v>2591940</v>
      </c>
    </row>
    <row r="31" spans="2:80" x14ac:dyDescent="0.3">
      <c r="B31" s="7" t="s">
        <v>47</v>
      </c>
      <c r="C31" s="9">
        <v>28313204</v>
      </c>
      <c r="D31" s="9">
        <v>30808704</v>
      </c>
      <c r="E31" s="9">
        <v>30808704</v>
      </c>
      <c r="F31" s="9">
        <v>30808704</v>
      </c>
      <c r="G31" s="9">
        <v>30808704</v>
      </c>
      <c r="H31" s="9">
        <v>30808704</v>
      </c>
      <c r="I31" s="9">
        <v>30808704</v>
      </c>
      <c r="J31" s="9">
        <v>30808704</v>
      </c>
      <c r="K31" s="9">
        <v>30808704</v>
      </c>
      <c r="L31" s="9">
        <v>30808704</v>
      </c>
      <c r="M31" s="9">
        <v>30808704</v>
      </c>
      <c r="N31" s="9">
        <v>30377501</v>
      </c>
      <c r="O31" s="31">
        <v>30377501</v>
      </c>
      <c r="P31" s="9">
        <v>26279513</v>
      </c>
      <c r="Q31" s="9">
        <v>26279513</v>
      </c>
      <c r="R31" s="9">
        <v>26279513</v>
      </c>
      <c r="S31" s="9">
        <v>26279513</v>
      </c>
      <c r="T31" s="9">
        <v>26279513</v>
      </c>
      <c r="U31" s="9">
        <v>26279513</v>
      </c>
      <c r="V31" s="9">
        <v>26279513</v>
      </c>
      <c r="W31" s="9">
        <v>26279513</v>
      </c>
      <c r="X31" s="9">
        <v>26279513</v>
      </c>
      <c r="Y31" s="9">
        <v>26279513</v>
      </c>
      <c r="Z31" s="9">
        <v>23402444</v>
      </c>
      <c r="AA31" s="9">
        <v>23403944</v>
      </c>
      <c r="AB31" s="31">
        <v>23403944</v>
      </c>
      <c r="AC31" s="9">
        <v>23921092</v>
      </c>
      <c r="AD31" s="9">
        <v>23921092</v>
      </c>
      <c r="AE31" s="9">
        <v>23921092</v>
      </c>
      <c r="AF31" s="9">
        <v>23921092</v>
      </c>
      <c r="AG31" s="9">
        <v>23921092</v>
      </c>
      <c r="AH31" s="9">
        <v>23921092</v>
      </c>
      <c r="AI31" s="9">
        <v>23998690</v>
      </c>
      <c r="AJ31" s="9">
        <v>23998690</v>
      </c>
      <c r="AK31" s="9">
        <v>23998690</v>
      </c>
      <c r="AL31" s="9">
        <v>23998690</v>
      </c>
      <c r="AM31" s="9">
        <v>23228459</v>
      </c>
      <c r="AN31" s="9">
        <v>22242755</v>
      </c>
      <c r="AO31" s="31">
        <v>22242755</v>
      </c>
      <c r="AP31" s="9">
        <v>32623118</v>
      </c>
      <c r="AQ31" s="9">
        <v>32623118</v>
      </c>
      <c r="AR31" s="9">
        <v>32623118</v>
      </c>
      <c r="AS31" s="9">
        <v>32623118</v>
      </c>
      <c r="AT31" s="9">
        <v>32623118</v>
      </c>
      <c r="AU31" s="9">
        <v>32623118</v>
      </c>
      <c r="AV31" s="9">
        <v>32623118</v>
      </c>
      <c r="AW31" s="9">
        <v>32388971</v>
      </c>
      <c r="AX31" s="9">
        <v>31969868</v>
      </c>
      <c r="AY31" s="9">
        <v>31969868</v>
      </c>
      <c r="AZ31" s="9">
        <v>28971461</v>
      </c>
      <c r="BA31" s="9">
        <v>27933416</v>
      </c>
      <c r="BB31" s="31">
        <v>27933416</v>
      </c>
      <c r="BC31" s="9">
        <v>31388552</v>
      </c>
      <c r="BD31" s="9">
        <v>31388552</v>
      </c>
      <c r="BE31" s="9">
        <v>31388552</v>
      </c>
      <c r="BF31" s="9">
        <v>31388552</v>
      </c>
      <c r="BG31" s="9">
        <v>31388552</v>
      </c>
      <c r="BH31" s="9">
        <v>31388552</v>
      </c>
      <c r="BI31" s="9">
        <v>31388552</v>
      </c>
      <c r="BJ31" s="9">
        <v>31388552</v>
      </c>
      <c r="BK31" s="9">
        <v>31388552</v>
      </c>
      <c r="BL31" s="9">
        <v>31049772</v>
      </c>
      <c r="BM31" s="9">
        <v>31049772</v>
      </c>
      <c r="BN31" s="9">
        <v>30251792</v>
      </c>
      <c r="BO31" s="31">
        <v>30251792</v>
      </c>
      <c r="BP31" s="9">
        <v>32099544</v>
      </c>
      <c r="BQ31" s="9">
        <v>32099544</v>
      </c>
      <c r="BR31" s="9">
        <v>32099544</v>
      </c>
      <c r="BS31" s="9">
        <v>32099544</v>
      </c>
      <c r="BT31" s="9">
        <v>32099544</v>
      </c>
      <c r="BU31" s="9">
        <v>32099544</v>
      </c>
      <c r="BV31" s="9">
        <v>32099544</v>
      </c>
      <c r="BW31" s="9">
        <v>32099544</v>
      </c>
      <c r="BX31" s="9">
        <v>32099544</v>
      </c>
      <c r="BY31" s="9">
        <v>32099544</v>
      </c>
      <c r="BZ31" s="9">
        <v>32099544</v>
      </c>
      <c r="CA31" s="9">
        <v>32099544</v>
      </c>
      <c r="CB31" s="31">
        <v>32099544</v>
      </c>
    </row>
    <row r="32" spans="2:80" x14ac:dyDescent="0.3">
      <c r="B32" s="7" t="s">
        <v>48</v>
      </c>
      <c r="C32" s="9">
        <v>10293909</v>
      </c>
      <c r="D32" s="9">
        <v>10084346</v>
      </c>
      <c r="E32" s="9">
        <v>10084346</v>
      </c>
      <c r="F32" s="9">
        <v>10084346</v>
      </c>
      <c r="G32" s="9">
        <v>9752272</v>
      </c>
      <c r="H32" s="9">
        <v>9660314</v>
      </c>
      <c r="I32" s="9">
        <v>10182785</v>
      </c>
      <c r="J32" s="9">
        <v>10182785</v>
      </c>
      <c r="K32" s="9">
        <v>10182785</v>
      </c>
      <c r="L32" s="9">
        <v>10341874</v>
      </c>
      <c r="M32" s="9">
        <v>9584765</v>
      </c>
      <c r="N32" s="9">
        <v>8277587</v>
      </c>
      <c r="O32" s="31">
        <v>8277587</v>
      </c>
      <c r="P32" s="9">
        <v>8027524</v>
      </c>
      <c r="Q32" s="9">
        <v>8983763</v>
      </c>
      <c r="R32" s="9">
        <v>8983763</v>
      </c>
      <c r="S32" s="9">
        <v>8983763</v>
      </c>
      <c r="T32" s="9">
        <v>8983763</v>
      </c>
      <c r="U32" s="9">
        <v>8983763</v>
      </c>
      <c r="V32" s="9">
        <v>8402412</v>
      </c>
      <c r="W32" s="9">
        <v>8402412</v>
      </c>
      <c r="X32" s="9">
        <v>8402412</v>
      </c>
      <c r="Y32" s="9">
        <v>8402412</v>
      </c>
      <c r="Z32" s="9">
        <v>7108557</v>
      </c>
      <c r="AA32" s="9">
        <v>6707203</v>
      </c>
      <c r="AB32" s="31">
        <v>6707203</v>
      </c>
      <c r="AC32" s="9">
        <v>9623696</v>
      </c>
      <c r="AD32" s="9">
        <v>9643166</v>
      </c>
      <c r="AE32" s="9">
        <v>9643166</v>
      </c>
      <c r="AF32" s="9">
        <v>9643166</v>
      </c>
      <c r="AG32" s="9">
        <v>9643166</v>
      </c>
      <c r="AH32" s="9">
        <v>9643166</v>
      </c>
      <c r="AI32" s="9">
        <v>9643166</v>
      </c>
      <c r="AJ32" s="9">
        <v>6911926</v>
      </c>
      <c r="AK32" s="9">
        <v>6911926</v>
      </c>
      <c r="AL32" s="9">
        <v>6911926</v>
      </c>
      <c r="AM32" s="9">
        <v>5346460</v>
      </c>
      <c r="AN32" s="9">
        <v>5348904</v>
      </c>
      <c r="AO32" s="31">
        <v>5348904</v>
      </c>
      <c r="AP32" s="9">
        <v>7002032</v>
      </c>
      <c r="AQ32" s="9">
        <v>7002032</v>
      </c>
      <c r="AR32" s="9">
        <v>7171646</v>
      </c>
      <c r="AS32" s="9">
        <v>7171646</v>
      </c>
      <c r="AT32" s="9">
        <v>6646025</v>
      </c>
      <c r="AU32" s="9">
        <v>6646025</v>
      </c>
      <c r="AV32" s="9">
        <v>6646025</v>
      </c>
      <c r="AW32" s="9">
        <v>6646025</v>
      </c>
      <c r="AX32" s="9">
        <v>6646025</v>
      </c>
      <c r="AY32" s="9">
        <v>6646025</v>
      </c>
      <c r="AZ32" s="9">
        <v>6646025</v>
      </c>
      <c r="BA32" s="9">
        <v>4403210</v>
      </c>
      <c r="BB32" s="31">
        <v>4403210</v>
      </c>
      <c r="BC32" s="9">
        <v>7819491</v>
      </c>
      <c r="BD32" s="9">
        <v>8230260</v>
      </c>
      <c r="BE32" s="9">
        <v>10011051</v>
      </c>
      <c r="BF32" s="9">
        <v>10424875</v>
      </c>
      <c r="BG32" s="9">
        <v>10424875</v>
      </c>
      <c r="BH32" s="9">
        <v>10424875</v>
      </c>
      <c r="BI32" s="9">
        <v>10424875</v>
      </c>
      <c r="BJ32" s="9">
        <v>10424875</v>
      </c>
      <c r="BK32" s="9">
        <v>10424875</v>
      </c>
      <c r="BL32" s="9">
        <v>10350160</v>
      </c>
      <c r="BM32" s="9">
        <v>10350160</v>
      </c>
      <c r="BN32" s="9">
        <v>9544096</v>
      </c>
      <c r="BO32" s="31">
        <v>9544096</v>
      </c>
      <c r="BP32" s="9">
        <v>2323330</v>
      </c>
      <c r="BQ32" s="9">
        <v>2323330</v>
      </c>
      <c r="BR32" s="9">
        <v>2323330</v>
      </c>
      <c r="BS32" s="9">
        <v>2323330</v>
      </c>
      <c r="BT32" s="9">
        <v>2764330</v>
      </c>
      <c r="BU32" s="9">
        <v>3209529</v>
      </c>
      <c r="BV32" s="9">
        <v>3209529</v>
      </c>
      <c r="BW32" s="9">
        <v>3209529</v>
      </c>
      <c r="BX32" s="9">
        <v>3209529</v>
      </c>
      <c r="BY32" s="9">
        <v>3209529</v>
      </c>
      <c r="BZ32" s="9">
        <v>3209529</v>
      </c>
      <c r="CA32" s="9">
        <v>3209529</v>
      </c>
      <c r="CB32" s="31">
        <v>3209529</v>
      </c>
    </row>
    <row r="33" spans="2:80" x14ac:dyDescent="0.3">
      <c r="B33" s="7" t="s">
        <v>49</v>
      </c>
      <c r="C33" s="9">
        <v>10606403</v>
      </c>
      <c r="D33" s="9">
        <v>10981562</v>
      </c>
      <c r="E33" s="9">
        <v>10981562</v>
      </c>
      <c r="F33" s="9">
        <v>10981562</v>
      </c>
      <c r="G33" s="9">
        <v>9508988</v>
      </c>
      <c r="H33" s="9">
        <v>10027957</v>
      </c>
      <c r="I33" s="9">
        <v>9376062</v>
      </c>
      <c r="J33" s="9">
        <v>9426062</v>
      </c>
      <c r="K33" s="9">
        <v>9426062</v>
      </c>
      <c r="L33" s="9">
        <v>9426062</v>
      </c>
      <c r="M33" s="9">
        <v>8375529</v>
      </c>
      <c r="N33" s="9">
        <v>5044955</v>
      </c>
      <c r="O33" s="31">
        <v>5044955</v>
      </c>
      <c r="P33" s="9">
        <v>4659283</v>
      </c>
      <c r="Q33" s="9">
        <v>8287823</v>
      </c>
      <c r="R33" s="9">
        <v>8287823</v>
      </c>
      <c r="S33" s="9">
        <v>8287823</v>
      </c>
      <c r="T33" s="9">
        <v>8088031</v>
      </c>
      <c r="U33" s="9">
        <v>9085876</v>
      </c>
      <c r="V33" s="9">
        <v>8230787</v>
      </c>
      <c r="W33" s="9">
        <v>9146287</v>
      </c>
      <c r="X33" s="9">
        <v>9160548</v>
      </c>
      <c r="Y33" s="9">
        <v>9229516</v>
      </c>
      <c r="Z33" s="9">
        <v>8217063</v>
      </c>
      <c r="AA33" s="9">
        <v>5987379</v>
      </c>
      <c r="AB33" s="31">
        <v>5987379</v>
      </c>
      <c r="AC33" s="9">
        <v>9013306</v>
      </c>
      <c r="AD33" s="9">
        <v>9013306</v>
      </c>
      <c r="AE33" s="9">
        <v>9013306</v>
      </c>
      <c r="AF33" s="9">
        <v>9013306</v>
      </c>
      <c r="AG33" s="9">
        <v>9013306</v>
      </c>
      <c r="AH33" s="9">
        <v>9013306</v>
      </c>
      <c r="AI33" s="9">
        <v>9013306</v>
      </c>
      <c r="AJ33" s="9">
        <v>9013306</v>
      </c>
      <c r="AK33" s="9">
        <v>9013306</v>
      </c>
      <c r="AL33" s="9">
        <v>9013306</v>
      </c>
      <c r="AM33" s="9">
        <v>8829146</v>
      </c>
      <c r="AN33" s="9">
        <v>6845802</v>
      </c>
      <c r="AO33" s="31">
        <v>6845802</v>
      </c>
      <c r="AP33" s="9">
        <v>11846836</v>
      </c>
      <c r="AQ33" s="9">
        <v>11846836</v>
      </c>
      <c r="AR33" s="9">
        <v>13988953</v>
      </c>
      <c r="AS33" s="9">
        <v>13988953</v>
      </c>
      <c r="AT33" s="9">
        <v>14532621</v>
      </c>
      <c r="AU33" s="9">
        <v>15344415</v>
      </c>
      <c r="AV33" s="9">
        <v>15354765</v>
      </c>
      <c r="AW33" s="9">
        <v>15354765</v>
      </c>
      <c r="AX33" s="9">
        <v>15735185</v>
      </c>
      <c r="AY33" s="9">
        <v>15735185</v>
      </c>
      <c r="AZ33" s="9">
        <v>15739683</v>
      </c>
      <c r="BA33" s="9">
        <v>8998445</v>
      </c>
      <c r="BB33" s="31">
        <v>8998445</v>
      </c>
      <c r="BC33" s="9">
        <v>9956278</v>
      </c>
      <c r="BD33" s="9">
        <v>9956278</v>
      </c>
      <c r="BE33" s="9">
        <v>11346159</v>
      </c>
      <c r="BF33" s="9">
        <v>11346159</v>
      </c>
      <c r="BG33" s="9">
        <v>11346159</v>
      </c>
      <c r="BH33" s="9">
        <v>11544512</v>
      </c>
      <c r="BI33" s="9">
        <v>11544512</v>
      </c>
      <c r="BJ33" s="9">
        <v>11544512</v>
      </c>
      <c r="BK33" s="9">
        <v>11544512</v>
      </c>
      <c r="BL33" s="9">
        <v>11559267</v>
      </c>
      <c r="BM33" s="9">
        <v>11166267</v>
      </c>
      <c r="BN33" s="9">
        <v>10095312</v>
      </c>
      <c r="BO33" s="31">
        <v>10095312</v>
      </c>
      <c r="BP33" s="9">
        <v>8706346</v>
      </c>
      <c r="BQ33" s="9">
        <v>8706346</v>
      </c>
      <c r="BR33" s="9">
        <v>8811028</v>
      </c>
      <c r="BS33" s="9">
        <v>8811028</v>
      </c>
      <c r="BT33" s="9">
        <v>9302509</v>
      </c>
      <c r="BU33" s="9">
        <v>9302509</v>
      </c>
      <c r="BV33" s="9">
        <v>9302509</v>
      </c>
      <c r="BW33" s="9">
        <v>9302509</v>
      </c>
      <c r="BX33" s="9">
        <v>9302509</v>
      </c>
      <c r="BY33" s="9">
        <v>9302509</v>
      </c>
      <c r="BZ33" s="9">
        <v>9302509</v>
      </c>
      <c r="CA33" s="9">
        <v>9302509</v>
      </c>
      <c r="CB33" s="31">
        <v>9302509</v>
      </c>
    </row>
    <row r="34" spans="2:80" x14ac:dyDescent="0.3">
      <c r="B34" s="7" t="s">
        <v>50</v>
      </c>
      <c r="C34" s="9">
        <v>41468112</v>
      </c>
      <c r="D34" s="9">
        <v>36245332</v>
      </c>
      <c r="E34" s="9">
        <v>36663632</v>
      </c>
      <c r="F34" s="9">
        <v>36698206</v>
      </c>
      <c r="G34" s="9">
        <v>36732779</v>
      </c>
      <c r="H34" s="9">
        <v>36266351</v>
      </c>
      <c r="I34" s="9">
        <v>35758811</v>
      </c>
      <c r="J34" s="9">
        <v>35758811</v>
      </c>
      <c r="K34" s="9">
        <v>35758811</v>
      </c>
      <c r="L34" s="9">
        <v>35859421</v>
      </c>
      <c r="M34" s="9">
        <v>34878248</v>
      </c>
      <c r="N34" s="9">
        <v>29916675</v>
      </c>
      <c r="O34" s="31">
        <v>29916675</v>
      </c>
      <c r="P34" s="9">
        <v>35548395</v>
      </c>
      <c r="Q34" s="9">
        <v>41225450</v>
      </c>
      <c r="R34" s="9">
        <v>41757245</v>
      </c>
      <c r="S34" s="9">
        <v>41757245</v>
      </c>
      <c r="T34" s="9">
        <v>41771744</v>
      </c>
      <c r="U34" s="9">
        <v>41771744</v>
      </c>
      <c r="V34" s="9">
        <v>41815242</v>
      </c>
      <c r="W34" s="9">
        <v>40323711</v>
      </c>
      <c r="X34" s="9">
        <v>32895617</v>
      </c>
      <c r="Y34" s="9">
        <v>32895617</v>
      </c>
      <c r="Z34" s="9">
        <v>28719484</v>
      </c>
      <c r="AA34" s="9">
        <v>26431429</v>
      </c>
      <c r="AB34" s="31">
        <v>26431429</v>
      </c>
      <c r="AC34" s="9">
        <v>30263070</v>
      </c>
      <c r="AD34" s="9">
        <v>31368555</v>
      </c>
      <c r="AE34" s="9">
        <v>31368555</v>
      </c>
      <c r="AF34" s="9">
        <v>31368555</v>
      </c>
      <c r="AG34" s="9">
        <v>31368555</v>
      </c>
      <c r="AH34" s="9">
        <v>31368555</v>
      </c>
      <c r="AI34" s="9">
        <v>31368555</v>
      </c>
      <c r="AJ34" s="9">
        <v>31368555</v>
      </c>
      <c r="AK34" s="9">
        <v>31368555</v>
      </c>
      <c r="AL34" s="9">
        <v>31368555</v>
      </c>
      <c r="AM34" s="9">
        <v>24948049</v>
      </c>
      <c r="AN34" s="9">
        <v>17979056</v>
      </c>
      <c r="AO34" s="31">
        <v>17979056</v>
      </c>
      <c r="AP34" s="9">
        <v>10878804</v>
      </c>
      <c r="AQ34" s="9">
        <v>10878804</v>
      </c>
      <c r="AR34" s="9">
        <v>17648371</v>
      </c>
      <c r="AS34" s="9">
        <v>17845366</v>
      </c>
      <c r="AT34" s="9">
        <v>17871737</v>
      </c>
      <c r="AU34" s="9">
        <v>19717940</v>
      </c>
      <c r="AV34" s="9">
        <v>19717940</v>
      </c>
      <c r="AW34" s="9">
        <v>19717940</v>
      </c>
      <c r="AX34" s="9">
        <v>19480742</v>
      </c>
      <c r="AY34" s="9">
        <v>19480742</v>
      </c>
      <c r="AZ34" s="9">
        <v>18903775</v>
      </c>
      <c r="BA34" s="9">
        <v>15465604</v>
      </c>
      <c r="BB34" s="31">
        <v>15465604</v>
      </c>
      <c r="BC34" s="9">
        <v>13585888</v>
      </c>
      <c r="BD34" s="9">
        <v>14789146</v>
      </c>
      <c r="BE34" s="9">
        <v>15123006</v>
      </c>
      <c r="BF34" s="9">
        <v>15123006</v>
      </c>
      <c r="BG34" s="9">
        <v>15123006</v>
      </c>
      <c r="BH34" s="9">
        <v>15123006</v>
      </c>
      <c r="BI34" s="9">
        <v>15123006</v>
      </c>
      <c r="BJ34" s="9">
        <v>15123006</v>
      </c>
      <c r="BK34" s="9">
        <v>15123006</v>
      </c>
      <c r="BL34" s="9">
        <v>14248096</v>
      </c>
      <c r="BM34" s="9">
        <v>14248096</v>
      </c>
      <c r="BN34" s="9">
        <v>12638840</v>
      </c>
      <c r="BO34" s="31">
        <v>12638840</v>
      </c>
      <c r="BP34" s="9">
        <v>13197867</v>
      </c>
      <c r="BQ34" s="9">
        <v>12480252</v>
      </c>
      <c r="BR34" s="9">
        <v>12480252</v>
      </c>
      <c r="BS34" s="9">
        <v>12480252</v>
      </c>
      <c r="BT34" s="9">
        <v>14209379</v>
      </c>
      <c r="BU34" s="9">
        <v>14209379</v>
      </c>
      <c r="BV34" s="9">
        <v>14209379</v>
      </c>
      <c r="BW34" s="9">
        <v>14209379</v>
      </c>
      <c r="BX34" s="9">
        <v>14209379</v>
      </c>
      <c r="BY34" s="9">
        <v>14209379</v>
      </c>
      <c r="BZ34" s="9">
        <v>14209379</v>
      </c>
      <c r="CA34" s="9">
        <v>14209379</v>
      </c>
      <c r="CB34" s="31">
        <v>14209379</v>
      </c>
    </row>
    <row r="35" spans="2:80" x14ac:dyDescent="0.3">
      <c r="B35" s="7" t="s">
        <v>51</v>
      </c>
      <c r="C35" s="9">
        <v>21129078</v>
      </c>
      <c r="D35" s="9">
        <v>22568239</v>
      </c>
      <c r="E35" s="9">
        <v>22568239</v>
      </c>
      <c r="F35" s="9">
        <v>22774239</v>
      </c>
      <c r="G35" s="9">
        <v>22814239</v>
      </c>
      <c r="H35" s="9">
        <v>22814239</v>
      </c>
      <c r="I35" s="9">
        <v>22814239</v>
      </c>
      <c r="J35" s="9">
        <v>23235030</v>
      </c>
      <c r="K35" s="9">
        <v>23235030</v>
      </c>
      <c r="L35" s="9">
        <v>23235030</v>
      </c>
      <c r="M35" s="9">
        <v>18518157</v>
      </c>
      <c r="N35" s="9">
        <v>15731773</v>
      </c>
      <c r="O35" s="31">
        <v>15731773</v>
      </c>
      <c r="P35" s="9">
        <v>24875325</v>
      </c>
      <c r="Q35" s="9">
        <v>31089481</v>
      </c>
      <c r="R35" s="9">
        <v>27688501</v>
      </c>
      <c r="S35" s="9">
        <v>27688501</v>
      </c>
      <c r="T35" s="9">
        <v>27688501</v>
      </c>
      <c r="U35" s="9">
        <v>27688501</v>
      </c>
      <c r="V35" s="9">
        <v>25851245</v>
      </c>
      <c r="W35" s="9">
        <v>25851245</v>
      </c>
      <c r="X35" s="9">
        <v>25846245</v>
      </c>
      <c r="Y35" s="9">
        <v>25846245</v>
      </c>
      <c r="Z35" s="9">
        <v>19964707</v>
      </c>
      <c r="AA35" s="9">
        <v>18388246</v>
      </c>
      <c r="AB35" s="31">
        <v>18388246</v>
      </c>
      <c r="AC35" s="9">
        <v>21315123</v>
      </c>
      <c r="AD35" s="9">
        <v>21455123</v>
      </c>
      <c r="AE35" s="9">
        <v>21455123</v>
      </c>
      <c r="AF35" s="9">
        <v>21455123</v>
      </c>
      <c r="AG35" s="9">
        <v>22632742</v>
      </c>
      <c r="AH35" s="9">
        <v>22632742</v>
      </c>
      <c r="AI35" s="9">
        <v>22688742</v>
      </c>
      <c r="AJ35" s="9">
        <v>22688742</v>
      </c>
      <c r="AK35" s="9">
        <v>22688742</v>
      </c>
      <c r="AL35" s="9">
        <v>22688742</v>
      </c>
      <c r="AM35" s="9">
        <v>23118118</v>
      </c>
      <c r="AN35" s="9">
        <v>24322778</v>
      </c>
      <c r="AO35" s="31">
        <v>24322778</v>
      </c>
      <c r="AP35" s="9">
        <v>21518444</v>
      </c>
      <c r="AQ35" s="9">
        <v>21518444</v>
      </c>
      <c r="AR35" s="9">
        <v>17812520</v>
      </c>
      <c r="AS35" s="9">
        <v>17812520</v>
      </c>
      <c r="AT35" s="9">
        <v>17812520</v>
      </c>
      <c r="AU35" s="9">
        <v>17812520</v>
      </c>
      <c r="AV35" s="9">
        <v>17812520</v>
      </c>
      <c r="AW35" s="9">
        <v>17812520</v>
      </c>
      <c r="AX35" s="9">
        <v>17188321</v>
      </c>
      <c r="AY35" s="9">
        <v>17188321</v>
      </c>
      <c r="AZ35" s="9">
        <v>17188321</v>
      </c>
      <c r="BA35" s="9">
        <v>8570431</v>
      </c>
      <c r="BB35" s="31">
        <v>8570431</v>
      </c>
      <c r="BC35" s="9">
        <v>24183340</v>
      </c>
      <c r="BD35" s="9">
        <v>24535980</v>
      </c>
      <c r="BE35" s="9">
        <v>24535980</v>
      </c>
      <c r="BF35" s="9">
        <v>24535980</v>
      </c>
      <c r="BG35" s="9">
        <v>24535980</v>
      </c>
      <c r="BH35" s="9">
        <v>23536162</v>
      </c>
      <c r="BI35" s="9">
        <v>20536162</v>
      </c>
      <c r="BJ35" s="9">
        <v>20536162</v>
      </c>
      <c r="BK35" s="9">
        <v>20536162</v>
      </c>
      <c r="BL35" s="9">
        <v>20589662</v>
      </c>
      <c r="BM35" s="9">
        <v>20589662</v>
      </c>
      <c r="BN35" s="9">
        <v>15483238</v>
      </c>
      <c r="BO35" s="31">
        <v>15483238</v>
      </c>
      <c r="BP35" s="9">
        <v>9416801</v>
      </c>
      <c r="BQ35" s="9">
        <v>5916801</v>
      </c>
      <c r="BR35" s="9">
        <v>5916801</v>
      </c>
      <c r="BS35" s="9">
        <v>5916801</v>
      </c>
      <c r="BT35" s="9">
        <v>5916801</v>
      </c>
      <c r="BU35" s="9">
        <v>9175869</v>
      </c>
      <c r="BV35" s="9">
        <v>9175869</v>
      </c>
      <c r="BW35" s="9">
        <v>9175869</v>
      </c>
      <c r="BX35" s="9">
        <v>9175869</v>
      </c>
      <c r="BY35" s="9">
        <v>9175869</v>
      </c>
      <c r="BZ35" s="9">
        <v>9175869</v>
      </c>
      <c r="CA35" s="9">
        <v>9175869</v>
      </c>
      <c r="CB35" s="31">
        <v>9175869</v>
      </c>
    </row>
    <row r="36" spans="2:80" x14ac:dyDescent="0.3">
      <c r="B36" s="7" t="s">
        <v>52</v>
      </c>
      <c r="C36" s="9">
        <v>22488189</v>
      </c>
      <c r="D36" s="9">
        <v>20626973</v>
      </c>
      <c r="E36" s="9">
        <v>18390489</v>
      </c>
      <c r="F36" s="9">
        <v>18727330</v>
      </c>
      <c r="G36" s="9">
        <v>19034787</v>
      </c>
      <c r="H36" s="9">
        <v>19143744</v>
      </c>
      <c r="I36" s="9">
        <v>19143744</v>
      </c>
      <c r="J36" s="9">
        <v>19143744</v>
      </c>
      <c r="K36" s="9">
        <v>19561023</v>
      </c>
      <c r="L36" s="9">
        <v>19561023</v>
      </c>
      <c r="M36" s="9">
        <v>19550402</v>
      </c>
      <c r="N36" s="9">
        <v>12602298</v>
      </c>
      <c r="O36" s="31">
        <v>12602298</v>
      </c>
      <c r="P36" s="9">
        <v>29291800</v>
      </c>
      <c r="Q36" s="9">
        <v>34195489</v>
      </c>
      <c r="R36" s="9">
        <v>34195489</v>
      </c>
      <c r="S36" s="9">
        <v>34195489</v>
      </c>
      <c r="T36" s="9">
        <v>34245489</v>
      </c>
      <c r="U36" s="9">
        <v>34245489</v>
      </c>
      <c r="V36" s="9">
        <v>34245489</v>
      </c>
      <c r="W36" s="9">
        <v>34245489</v>
      </c>
      <c r="X36" s="9">
        <v>34062778</v>
      </c>
      <c r="Y36" s="9">
        <v>33922765</v>
      </c>
      <c r="Z36" s="9">
        <v>25336066</v>
      </c>
      <c r="AA36" s="9">
        <v>12697850</v>
      </c>
      <c r="AB36" s="31">
        <v>12697850</v>
      </c>
      <c r="AC36" s="9">
        <v>36352142</v>
      </c>
      <c r="AD36" s="9">
        <v>36370290</v>
      </c>
      <c r="AE36" s="9">
        <v>36370290</v>
      </c>
      <c r="AF36" s="9">
        <v>36370290</v>
      </c>
      <c r="AG36" s="9">
        <v>36370290</v>
      </c>
      <c r="AH36" s="9">
        <v>36361716</v>
      </c>
      <c r="AI36" s="9">
        <v>36391716</v>
      </c>
      <c r="AJ36" s="9">
        <v>36391716</v>
      </c>
      <c r="AK36" s="9">
        <v>36391716</v>
      </c>
      <c r="AL36" s="9">
        <v>36391716</v>
      </c>
      <c r="AM36" s="9">
        <v>35187465</v>
      </c>
      <c r="AN36" s="9">
        <v>21098315</v>
      </c>
      <c r="AO36" s="31">
        <v>21098315</v>
      </c>
      <c r="AP36" s="9">
        <v>38254690</v>
      </c>
      <c r="AQ36" s="9">
        <v>38254690</v>
      </c>
      <c r="AR36" s="9">
        <v>38299930</v>
      </c>
      <c r="AS36" s="9">
        <v>38299930</v>
      </c>
      <c r="AT36" s="9">
        <v>37058319</v>
      </c>
      <c r="AU36" s="9">
        <v>31127009</v>
      </c>
      <c r="AV36" s="9">
        <v>31127009</v>
      </c>
      <c r="AW36" s="9">
        <v>31127009</v>
      </c>
      <c r="AX36" s="9">
        <v>30852784</v>
      </c>
      <c r="AY36" s="9">
        <v>31053963</v>
      </c>
      <c r="AZ36" s="9">
        <v>27696869</v>
      </c>
      <c r="BA36" s="9">
        <v>18466482</v>
      </c>
      <c r="BB36" s="31">
        <v>18466482</v>
      </c>
      <c r="BC36" s="9">
        <v>27966487</v>
      </c>
      <c r="BD36" s="9">
        <v>27966487</v>
      </c>
      <c r="BE36" s="9">
        <v>27966487</v>
      </c>
      <c r="BF36" s="9">
        <v>27966487</v>
      </c>
      <c r="BG36" s="9">
        <v>27966487</v>
      </c>
      <c r="BH36" s="9">
        <v>27958887</v>
      </c>
      <c r="BI36" s="9">
        <v>27958887</v>
      </c>
      <c r="BJ36" s="9">
        <v>27958887</v>
      </c>
      <c r="BK36" s="9">
        <v>27958887</v>
      </c>
      <c r="BL36" s="9">
        <v>24576889</v>
      </c>
      <c r="BM36" s="9">
        <v>24265859</v>
      </c>
      <c r="BN36" s="9">
        <v>18613719</v>
      </c>
      <c r="BO36" s="31">
        <v>18613719</v>
      </c>
      <c r="BP36" s="9">
        <v>30615904</v>
      </c>
      <c r="BQ36" s="9">
        <v>26615904</v>
      </c>
      <c r="BR36" s="9">
        <v>26615904</v>
      </c>
      <c r="BS36" s="9">
        <v>26615904</v>
      </c>
      <c r="BT36" s="9">
        <v>26615904</v>
      </c>
      <c r="BU36" s="9">
        <v>24556836</v>
      </c>
      <c r="BV36" s="9">
        <v>24556836</v>
      </c>
      <c r="BW36" s="9">
        <v>24556836</v>
      </c>
      <c r="BX36" s="9">
        <v>24556836</v>
      </c>
      <c r="BY36" s="9">
        <v>24556836</v>
      </c>
      <c r="BZ36" s="9">
        <v>24556836</v>
      </c>
      <c r="CA36" s="9">
        <v>24556836</v>
      </c>
      <c r="CB36" s="31">
        <v>24556836</v>
      </c>
    </row>
    <row r="37" spans="2:80" x14ac:dyDescent="0.3">
      <c r="B37" s="7" t="s">
        <v>53</v>
      </c>
      <c r="C37" s="9">
        <v>62699377</v>
      </c>
      <c r="D37" s="9">
        <v>59024248</v>
      </c>
      <c r="E37" s="9">
        <v>60396733</v>
      </c>
      <c r="F37" s="9">
        <v>61299623</v>
      </c>
      <c r="G37" s="9">
        <v>61366769</v>
      </c>
      <c r="H37" s="9">
        <v>63349580</v>
      </c>
      <c r="I37" s="9">
        <v>63349580</v>
      </c>
      <c r="J37" s="9">
        <v>63259012</v>
      </c>
      <c r="K37" s="9">
        <v>62320472</v>
      </c>
      <c r="L37" s="9">
        <v>55598596</v>
      </c>
      <c r="M37" s="9">
        <v>55550496</v>
      </c>
      <c r="N37" s="9">
        <v>41461609</v>
      </c>
      <c r="O37" s="31">
        <v>41461609</v>
      </c>
      <c r="P37" s="9">
        <v>43170852</v>
      </c>
      <c r="Q37" s="9">
        <v>52549754</v>
      </c>
      <c r="R37" s="9">
        <v>52549754</v>
      </c>
      <c r="S37" s="9">
        <v>52549754</v>
      </c>
      <c r="T37" s="9">
        <v>52549754</v>
      </c>
      <c r="U37" s="9">
        <v>52549754</v>
      </c>
      <c r="V37" s="9">
        <v>52549754</v>
      </c>
      <c r="W37" s="9">
        <v>51105545</v>
      </c>
      <c r="X37" s="9">
        <v>38395230</v>
      </c>
      <c r="Y37" s="9">
        <v>38337494</v>
      </c>
      <c r="Z37" s="9">
        <v>36725387</v>
      </c>
      <c r="AA37" s="9">
        <v>35464491</v>
      </c>
      <c r="AB37" s="31">
        <v>35464491</v>
      </c>
      <c r="AC37" s="9">
        <v>40478579</v>
      </c>
      <c r="AD37" s="9">
        <v>42614131</v>
      </c>
      <c r="AE37" s="9">
        <v>42614131</v>
      </c>
      <c r="AF37" s="9">
        <v>42858620</v>
      </c>
      <c r="AG37" s="9">
        <v>42976422</v>
      </c>
      <c r="AH37" s="9">
        <v>43076422</v>
      </c>
      <c r="AI37" s="9">
        <v>43076422</v>
      </c>
      <c r="AJ37" s="9">
        <v>44994598</v>
      </c>
      <c r="AK37" s="9">
        <v>44994598</v>
      </c>
      <c r="AL37" s="9">
        <v>44994598</v>
      </c>
      <c r="AM37" s="9">
        <v>46728628</v>
      </c>
      <c r="AN37" s="9">
        <v>45394938</v>
      </c>
      <c r="AO37" s="31">
        <v>45394938</v>
      </c>
      <c r="AP37" s="9">
        <v>44262543</v>
      </c>
      <c r="AQ37" s="9">
        <v>44262543</v>
      </c>
      <c r="AR37" s="9">
        <v>48159048</v>
      </c>
      <c r="AS37" s="9">
        <v>48159048</v>
      </c>
      <c r="AT37" s="9">
        <v>48260848</v>
      </c>
      <c r="AU37" s="9">
        <v>48260848</v>
      </c>
      <c r="AV37" s="9">
        <v>48260848</v>
      </c>
      <c r="AW37" s="9">
        <v>52963275</v>
      </c>
      <c r="AX37" s="9">
        <v>54672379</v>
      </c>
      <c r="AY37" s="9">
        <v>54187315</v>
      </c>
      <c r="AZ37" s="9">
        <v>52019214</v>
      </c>
      <c r="BA37" s="9">
        <v>37750186</v>
      </c>
      <c r="BB37" s="31">
        <v>37750186</v>
      </c>
      <c r="BC37" s="9">
        <v>42009797</v>
      </c>
      <c r="BD37" s="9">
        <v>52978932</v>
      </c>
      <c r="BE37" s="9">
        <v>54382452</v>
      </c>
      <c r="BF37" s="9">
        <v>56213503</v>
      </c>
      <c r="BG37" s="9">
        <v>56213503</v>
      </c>
      <c r="BH37" s="9">
        <v>56953012</v>
      </c>
      <c r="BI37" s="9">
        <v>56953012</v>
      </c>
      <c r="BJ37" s="9">
        <v>56953012</v>
      </c>
      <c r="BK37" s="9">
        <v>56953012</v>
      </c>
      <c r="BL37" s="9">
        <v>57115499</v>
      </c>
      <c r="BM37" s="9">
        <v>57115499</v>
      </c>
      <c r="BN37" s="9">
        <v>58076198</v>
      </c>
      <c r="BO37" s="31">
        <v>58076198</v>
      </c>
      <c r="BP37" s="9">
        <v>55214851</v>
      </c>
      <c r="BQ37" s="9">
        <v>55906268</v>
      </c>
      <c r="BR37" s="9">
        <v>56878200</v>
      </c>
      <c r="BS37" s="9">
        <v>56878200</v>
      </c>
      <c r="BT37" s="9">
        <v>59441918</v>
      </c>
      <c r="BU37" s="9">
        <v>59526130</v>
      </c>
      <c r="BV37" s="9">
        <v>59526130</v>
      </c>
      <c r="BW37" s="9">
        <v>59526130</v>
      </c>
      <c r="BX37" s="9">
        <v>59526130</v>
      </c>
      <c r="BY37" s="9">
        <v>59526130</v>
      </c>
      <c r="BZ37" s="9">
        <v>59526130</v>
      </c>
      <c r="CA37" s="9">
        <v>59526130</v>
      </c>
      <c r="CB37" s="31">
        <v>59526130</v>
      </c>
    </row>
    <row r="38" spans="2:80" x14ac:dyDescent="0.3">
      <c r="B38" s="7" t="s">
        <v>54</v>
      </c>
      <c r="C38" s="9">
        <v>121451476</v>
      </c>
      <c r="D38" s="9">
        <v>129722304</v>
      </c>
      <c r="E38" s="9">
        <v>126707424</v>
      </c>
      <c r="F38" s="9">
        <v>126938685</v>
      </c>
      <c r="G38" s="9">
        <v>132323787</v>
      </c>
      <c r="H38" s="9">
        <v>128389149</v>
      </c>
      <c r="I38" s="9">
        <v>125484432</v>
      </c>
      <c r="J38" s="9">
        <v>125153718</v>
      </c>
      <c r="K38" s="9">
        <v>123524150</v>
      </c>
      <c r="L38" s="9">
        <v>122714026</v>
      </c>
      <c r="M38" s="9">
        <v>109967510</v>
      </c>
      <c r="N38" s="9">
        <v>95169709</v>
      </c>
      <c r="O38" s="31">
        <v>95169709</v>
      </c>
      <c r="P38" s="9">
        <v>100098472</v>
      </c>
      <c r="Q38" s="9">
        <v>121303403</v>
      </c>
      <c r="R38" s="9">
        <v>121303403</v>
      </c>
      <c r="S38" s="9">
        <v>120570587</v>
      </c>
      <c r="T38" s="9">
        <v>120556703</v>
      </c>
      <c r="U38" s="9">
        <v>119765730</v>
      </c>
      <c r="V38" s="9">
        <v>120443102</v>
      </c>
      <c r="W38" s="9">
        <v>118390115</v>
      </c>
      <c r="X38" s="9">
        <v>118390115</v>
      </c>
      <c r="Y38" s="9">
        <v>115077894</v>
      </c>
      <c r="Z38" s="9">
        <v>101166870</v>
      </c>
      <c r="AA38" s="9">
        <v>94520917</v>
      </c>
      <c r="AB38" s="31">
        <v>94520917</v>
      </c>
      <c r="AC38" s="9">
        <v>105488522</v>
      </c>
      <c r="AD38" s="9">
        <v>108633999</v>
      </c>
      <c r="AE38" s="9">
        <v>108633999</v>
      </c>
      <c r="AF38" s="9">
        <v>108633999</v>
      </c>
      <c r="AG38" s="9">
        <v>108633999</v>
      </c>
      <c r="AH38" s="9">
        <v>108774999</v>
      </c>
      <c r="AI38" s="9">
        <v>108897149</v>
      </c>
      <c r="AJ38" s="9">
        <v>108897149</v>
      </c>
      <c r="AK38" s="9">
        <v>108897149</v>
      </c>
      <c r="AL38" s="9">
        <v>108897149</v>
      </c>
      <c r="AM38" s="9">
        <v>92376604</v>
      </c>
      <c r="AN38" s="9">
        <v>73346177</v>
      </c>
      <c r="AO38" s="31">
        <v>73346177</v>
      </c>
      <c r="AP38" s="9">
        <v>87253576</v>
      </c>
      <c r="AQ38" s="9">
        <v>87253576</v>
      </c>
      <c r="AR38" s="9">
        <v>93927139</v>
      </c>
      <c r="AS38" s="9">
        <v>93927139</v>
      </c>
      <c r="AT38" s="9">
        <v>94027910</v>
      </c>
      <c r="AU38" s="9">
        <v>94051385</v>
      </c>
      <c r="AV38" s="9">
        <v>96196920</v>
      </c>
      <c r="AW38" s="9">
        <v>101535195</v>
      </c>
      <c r="AX38" s="9">
        <v>101582093</v>
      </c>
      <c r="AY38" s="9">
        <v>101562510</v>
      </c>
      <c r="AZ38" s="9">
        <v>100432485</v>
      </c>
      <c r="BA38" s="9">
        <v>86087430</v>
      </c>
      <c r="BB38" s="31">
        <v>86087430</v>
      </c>
      <c r="BC38" s="9">
        <v>74587862</v>
      </c>
      <c r="BD38" s="9">
        <v>76570114</v>
      </c>
      <c r="BE38" s="9">
        <v>76595114</v>
      </c>
      <c r="BF38" s="9">
        <v>76595114</v>
      </c>
      <c r="BG38" s="9">
        <v>76595114</v>
      </c>
      <c r="BH38" s="9">
        <v>80153860</v>
      </c>
      <c r="BI38" s="9">
        <v>80153860</v>
      </c>
      <c r="BJ38" s="9">
        <v>80153860</v>
      </c>
      <c r="BK38" s="9">
        <v>80153860</v>
      </c>
      <c r="BL38" s="9">
        <v>80236491</v>
      </c>
      <c r="BM38" s="9">
        <v>80236491</v>
      </c>
      <c r="BN38" s="9">
        <v>81413921</v>
      </c>
      <c r="BO38" s="31">
        <v>81413921</v>
      </c>
      <c r="BP38" s="9">
        <v>90590002</v>
      </c>
      <c r="BQ38" s="9">
        <v>90590002</v>
      </c>
      <c r="BR38" s="9">
        <v>90590002</v>
      </c>
      <c r="BS38" s="9">
        <v>90590002</v>
      </c>
      <c r="BT38" s="9">
        <v>92970431</v>
      </c>
      <c r="BU38" s="9">
        <v>92970431</v>
      </c>
      <c r="BV38" s="9">
        <v>93624803</v>
      </c>
      <c r="BW38" s="9">
        <v>93624803</v>
      </c>
      <c r="BX38" s="9">
        <v>93624803</v>
      </c>
      <c r="BY38" s="9">
        <v>93624803</v>
      </c>
      <c r="BZ38" s="9">
        <v>93624803</v>
      </c>
      <c r="CA38" s="9">
        <v>93624803</v>
      </c>
      <c r="CB38" s="31">
        <v>93624803</v>
      </c>
    </row>
    <row r="39" spans="2:80" x14ac:dyDescent="0.3">
      <c r="B39" s="7" t="s">
        <v>55</v>
      </c>
      <c r="C39" s="9">
        <v>14249499</v>
      </c>
      <c r="D39" s="9">
        <v>10546312</v>
      </c>
      <c r="E39" s="9">
        <v>12796312</v>
      </c>
      <c r="F39" s="9">
        <v>15015842</v>
      </c>
      <c r="G39" s="9">
        <v>15685395</v>
      </c>
      <c r="H39" s="9">
        <v>15785389</v>
      </c>
      <c r="I39" s="9">
        <v>15787719</v>
      </c>
      <c r="J39" s="9">
        <v>15831289</v>
      </c>
      <c r="K39" s="9">
        <v>16583631</v>
      </c>
      <c r="L39" s="9">
        <v>16483631</v>
      </c>
      <c r="M39" s="9">
        <v>13839062</v>
      </c>
      <c r="N39" s="9">
        <v>9678227</v>
      </c>
      <c r="O39" s="31">
        <v>9678227</v>
      </c>
      <c r="P39" s="9">
        <v>11870060</v>
      </c>
      <c r="Q39" s="9">
        <v>13917678</v>
      </c>
      <c r="R39" s="9">
        <v>14847860</v>
      </c>
      <c r="S39" s="9">
        <v>14847860</v>
      </c>
      <c r="T39" s="9">
        <v>14847860</v>
      </c>
      <c r="U39" s="9">
        <v>15300817</v>
      </c>
      <c r="V39" s="9">
        <v>15300817</v>
      </c>
      <c r="W39" s="9">
        <v>16297538</v>
      </c>
      <c r="X39" s="9">
        <v>16297538</v>
      </c>
      <c r="Y39" s="9">
        <v>16297538</v>
      </c>
      <c r="Z39" s="9">
        <v>11021810</v>
      </c>
      <c r="AA39" s="9">
        <v>7220234</v>
      </c>
      <c r="AB39" s="31">
        <v>7220234</v>
      </c>
      <c r="AC39" s="9">
        <v>16473882</v>
      </c>
      <c r="AD39" s="9">
        <v>16473882</v>
      </c>
      <c r="AE39" s="9">
        <v>16473882</v>
      </c>
      <c r="AF39" s="9">
        <v>16473882</v>
      </c>
      <c r="AG39" s="9">
        <v>16473882</v>
      </c>
      <c r="AH39" s="9">
        <v>16649669</v>
      </c>
      <c r="AI39" s="9">
        <v>16649669</v>
      </c>
      <c r="AJ39" s="9">
        <v>16649669</v>
      </c>
      <c r="AK39" s="9">
        <v>16649669</v>
      </c>
      <c r="AL39" s="9">
        <v>16649669</v>
      </c>
      <c r="AM39" s="9">
        <v>16911235</v>
      </c>
      <c r="AN39" s="9">
        <v>9607053</v>
      </c>
      <c r="AO39" s="31">
        <v>9607053</v>
      </c>
      <c r="AP39" s="9">
        <v>16690085</v>
      </c>
      <c r="AQ39" s="9">
        <v>16690085</v>
      </c>
      <c r="AR39" s="9">
        <v>16690085</v>
      </c>
      <c r="AS39" s="9">
        <v>16556501</v>
      </c>
      <c r="AT39" s="9">
        <v>14974879</v>
      </c>
      <c r="AU39" s="9">
        <v>14803771</v>
      </c>
      <c r="AV39" s="9">
        <v>12925518</v>
      </c>
      <c r="AW39" s="9">
        <v>12925518</v>
      </c>
      <c r="AX39" s="9">
        <v>11911329</v>
      </c>
      <c r="AY39" s="9">
        <v>12498650</v>
      </c>
      <c r="AZ39" s="9">
        <v>12535400</v>
      </c>
      <c r="BA39" s="9">
        <v>5515173</v>
      </c>
      <c r="BB39" s="31">
        <v>5515173</v>
      </c>
      <c r="BC39" s="9">
        <v>17865780</v>
      </c>
      <c r="BD39" s="9">
        <v>17865780</v>
      </c>
      <c r="BE39" s="9">
        <v>17865780</v>
      </c>
      <c r="BF39" s="9">
        <v>17865780</v>
      </c>
      <c r="BG39" s="9">
        <v>17865780</v>
      </c>
      <c r="BH39" s="9">
        <v>17865780</v>
      </c>
      <c r="BI39" s="9">
        <v>17865780</v>
      </c>
      <c r="BJ39" s="9">
        <v>17865780</v>
      </c>
      <c r="BK39" s="9">
        <v>17865780</v>
      </c>
      <c r="BL39" s="9">
        <v>16353696</v>
      </c>
      <c r="BM39" s="9">
        <v>14508227</v>
      </c>
      <c r="BN39" s="9">
        <v>9555042</v>
      </c>
      <c r="BO39" s="31">
        <v>9555042</v>
      </c>
      <c r="BP39" s="9">
        <v>14196992</v>
      </c>
      <c r="BQ39" s="9">
        <v>14196992</v>
      </c>
      <c r="BR39" s="9">
        <v>14196992</v>
      </c>
      <c r="BS39" s="9">
        <v>14196992</v>
      </c>
      <c r="BT39" s="9">
        <v>14196992</v>
      </c>
      <c r="BU39" s="9">
        <v>14707834</v>
      </c>
      <c r="BV39" s="9">
        <v>15769553</v>
      </c>
      <c r="BW39" s="9">
        <v>15769553</v>
      </c>
      <c r="BX39" s="9">
        <v>15769553</v>
      </c>
      <c r="BY39" s="9">
        <v>15769553</v>
      </c>
      <c r="BZ39" s="9">
        <v>15769553</v>
      </c>
      <c r="CA39" s="9">
        <v>15769553</v>
      </c>
      <c r="CB39" s="31">
        <v>15769553</v>
      </c>
    </row>
    <row r="40" spans="2:80" x14ac:dyDescent="0.3">
      <c r="B40" s="7" t="s">
        <v>56</v>
      </c>
      <c r="C40" s="9">
        <v>38209083</v>
      </c>
      <c r="D40" s="9">
        <v>41100597</v>
      </c>
      <c r="E40" s="9">
        <v>41100597</v>
      </c>
      <c r="F40" s="9">
        <v>39600597</v>
      </c>
      <c r="G40" s="9">
        <v>39025073</v>
      </c>
      <c r="H40" s="9">
        <v>37516423</v>
      </c>
      <c r="I40" s="9">
        <v>37516423</v>
      </c>
      <c r="J40" s="9">
        <v>37460264</v>
      </c>
      <c r="K40" s="9">
        <v>38573604</v>
      </c>
      <c r="L40" s="9">
        <v>37732094</v>
      </c>
      <c r="M40" s="9">
        <v>32604846</v>
      </c>
      <c r="N40" s="9">
        <v>24635036</v>
      </c>
      <c r="O40" s="31">
        <v>24635036</v>
      </c>
      <c r="P40" s="9">
        <v>41575245</v>
      </c>
      <c r="Q40" s="9">
        <v>44644684</v>
      </c>
      <c r="R40" s="9">
        <v>44911603</v>
      </c>
      <c r="S40" s="9">
        <v>44911603</v>
      </c>
      <c r="T40" s="9">
        <v>44911603</v>
      </c>
      <c r="U40" s="9">
        <v>44911603</v>
      </c>
      <c r="V40" s="9">
        <v>44911603</v>
      </c>
      <c r="W40" s="9">
        <v>44911603</v>
      </c>
      <c r="X40" s="9">
        <v>37982134</v>
      </c>
      <c r="Y40" s="9">
        <v>39377760</v>
      </c>
      <c r="Z40" s="9">
        <v>27569422</v>
      </c>
      <c r="AA40" s="9">
        <v>20988334</v>
      </c>
      <c r="AB40" s="31">
        <v>20988334</v>
      </c>
      <c r="AC40" s="9">
        <v>34076619</v>
      </c>
      <c r="AD40" s="9">
        <v>34076619</v>
      </c>
      <c r="AE40" s="9">
        <v>34076619</v>
      </c>
      <c r="AF40" s="9">
        <v>34076619</v>
      </c>
      <c r="AG40" s="9">
        <v>34076619</v>
      </c>
      <c r="AH40" s="9">
        <v>34076619</v>
      </c>
      <c r="AI40" s="9">
        <v>34076619</v>
      </c>
      <c r="AJ40" s="9">
        <v>34076619</v>
      </c>
      <c r="AK40" s="9">
        <v>34076619</v>
      </c>
      <c r="AL40" s="9">
        <v>34076619</v>
      </c>
      <c r="AM40" s="9">
        <v>26897358</v>
      </c>
      <c r="AN40" s="9">
        <v>16700770</v>
      </c>
      <c r="AO40" s="31">
        <v>16700770</v>
      </c>
      <c r="AP40" s="9">
        <v>28318956</v>
      </c>
      <c r="AQ40" s="9">
        <v>28318956</v>
      </c>
      <c r="AR40" s="9">
        <v>28318956</v>
      </c>
      <c r="AS40" s="9">
        <v>28318956</v>
      </c>
      <c r="AT40" s="9">
        <v>28007698</v>
      </c>
      <c r="AU40" s="9">
        <v>28007698</v>
      </c>
      <c r="AV40" s="9">
        <v>26950239</v>
      </c>
      <c r="AW40" s="9">
        <v>26950239</v>
      </c>
      <c r="AX40" s="9">
        <v>26321544</v>
      </c>
      <c r="AY40" s="9">
        <v>26321544</v>
      </c>
      <c r="AZ40" s="9">
        <v>26138228</v>
      </c>
      <c r="BA40" s="9">
        <v>20053849</v>
      </c>
      <c r="BB40" s="31">
        <v>20053849</v>
      </c>
      <c r="BC40" s="9">
        <v>30628977</v>
      </c>
      <c r="BD40" s="9">
        <v>30628977</v>
      </c>
      <c r="BE40" s="9">
        <v>30628977</v>
      </c>
      <c r="BF40" s="9">
        <v>30628977</v>
      </c>
      <c r="BG40" s="9">
        <v>30628977</v>
      </c>
      <c r="BH40" s="9">
        <v>30628977</v>
      </c>
      <c r="BI40" s="9">
        <v>27628977</v>
      </c>
      <c r="BJ40" s="9">
        <v>27628977</v>
      </c>
      <c r="BK40" s="9">
        <v>27628977</v>
      </c>
      <c r="BL40" s="9">
        <v>24859588</v>
      </c>
      <c r="BM40" s="9">
        <v>24859588</v>
      </c>
      <c r="BN40" s="9">
        <v>17628176</v>
      </c>
      <c r="BO40" s="31">
        <v>17628176</v>
      </c>
      <c r="BP40" s="9">
        <v>25030745</v>
      </c>
      <c r="BQ40" s="9">
        <v>25030745</v>
      </c>
      <c r="BR40" s="9">
        <v>25030745</v>
      </c>
      <c r="BS40" s="9">
        <v>25030745</v>
      </c>
      <c r="BT40" s="9">
        <v>25030745</v>
      </c>
      <c r="BU40" s="9">
        <v>24845745</v>
      </c>
      <c r="BV40" s="9">
        <v>24845745</v>
      </c>
      <c r="BW40" s="9">
        <v>24845745</v>
      </c>
      <c r="BX40" s="9">
        <v>24845745</v>
      </c>
      <c r="BY40" s="9">
        <v>24845745</v>
      </c>
      <c r="BZ40" s="9">
        <v>24845745</v>
      </c>
      <c r="CA40" s="9">
        <v>24845745</v>
      </c>
      <c r="CB40" s="31">
        <v>24845745</v>
      </c>
    </row>
    <row r="41" spans="2:80" x14ac:dyDescent="0.3">
      <c r="B41" s="7" t="s">
        <v>57</v>
      </c>
      <c r="C41" s="9">
        <v>26096695</v>
      </c>
      <c r="D41" s="9">
        <v>30290020</v>
      </c>
      <c r="E41" s="9">
        <v>30290020</v>
      </c>
      <c r="F41" s="9">
        <v>29448401</v>
      </c>
      <c r="G41" s="9">
        <v>31148401</v>
      </c>
      <c r="H41" s="9">
        <v>30456420</v>
      </c>
      <c r="I41" s="9">
        <v>30468420</v>
      </c>
      <c r="J41" s="9">
        <v>30456420</v>
      </c>
      <c r="K41" s="9">
        <v>30456420</v>
      </c>
      <c r="L41" s="9">
        <v>30456420</v>
      </c>
      <c r="M41" s="9">
        <v>27581404</v>
      </c>
      <c r="N41" s="9">
        <v>24250403</v>
      </c>
      <c r="O41" s="31">
        <v>24250403</v>
      </c>
      <c r="P41" s="9">
        <v>36920320</v>
      </c>
      <c r="Q41" s="9">
        <v>39555349</v>
      </c>
      <c r="R41" s="9">
        <v>39555349</v>
      </c>
      <c r="S41" s="9">
        <v>40193554</v>
      </c>
      <c r="T41" s="9">
        <v>40193554</v>
      </c>
      <c r="U41" s="9">
        <v>39518691</v>
      </c>
      <c r="V41" s="9">
        <v>37297808</v>
      </c>
      <c r="W41" s="9">
        <v>37247808</v>
      </c>
      <c r="X41" s="9">
        <v>31996367</v>
      </c>
      <c r="Y41" s="9">
        <v>31996367</v>
      </c>
      <c r="Z41" s="9">
        <v>21418055</v>
      </c>
      <c r="AA41" s="9">
        <v>20235644</v>
      </c>
      <c r="AB41" s="31">
        <v>20235644</v>
      </c>
      <c r="AC41" s="9">
        <v>23700733</v>
      </c>
      <c r="AD41" s="9">
        <v>23700733</v>
      </c>
      <c r="AE41" s="9">
        <v>23700733</v>
      </c>
      <c r="AF41" s="9">
        <v>24725452</v>
      </c>
      <c r="AG41" s="9">
        <v>24923952</v>
      </c>
      <c r="AH41" s="9">
        <v>24923952</v>
      </c>
      <c r="AI41" s="9">
        <v>24923952</v>
      </c>
      <c r="AJ41" s="9">
        <v>24923952</v>
      </c>
      <c r="AK41" s="9">
        <v>24923952</v>
      </c>
      <c r="AL41" s="9">
        <v>24923952</v>
      </c>
      <c r="AM41" s="9">
        <v>25399952</v>
      </c>
      <c r="AN41" s="9">
        <v>23943054</v>
      </c>
      <c r="AO41" s="31">
        <v>23943054</v>
      </c>
      <c r="AP41" s="9">
        <v>23113535</v>
      </c>
      <c r="AQ41" s="9">
        <v>23113535</v>
      </c>
      <c r="AR41" s="9">
        <v>23113535</v>
      </c>
      <c r="AS41" s="9">
        <v>23113535</v>
      </c>
      <c r="AT41" s="9">
        <v>23113535</v>
      </c>
      <c r="AU41" s="9">
        <v>25829486</v>
      </c>
      <c r="AV41" s="9">
        <v>26688903</v>
      </c>
      <c r="AW41" s="9">
        <v>26688903</v>
      </c>
      <c r="AX41" s="9">
        <v>25705903</v>
      </c>
      <c r="AY41" s="9">
        <v>25705903</v>
      </c>
      <c r="AZ41" s="9">
        <v>25705903</v>
      </c>
      <c r="BA41" s="9">
        <v>19120001</v>
      </c>
      <c r="BB41" s="31">
        <v>19120001</v>
      </c>
      <c r="BC41" s="9">
        <v>22079448</v>
      </c>
      <c r="BD41" s="9">
        <v>22079448</v>
      </c>
      <c r="BE41" s="9">
        <v>22079448</v>
      </c>
      <c r="BF41" s="9">
        <v>22079448</v>
      </c>
      <c r="BG41" s="9">
        <v>22234448</v>
      </c>
      <c r="BH41" s="9">
        <v>22234448</v>
      </c>
      <c r="BI41" s="9">
        <v>22234448</v>
      </c>
      <c r="BJ41" s="9">
        <v>22234448</v>
      </c>
      <c r="BK41" s="9">
        <v>22234448</v>
      </c>
      <c r="BL41" s="9">
        <v>21553827</v>
      </c>
      <c r="BM41" s="9">
        <v>21553827</v>
      </c>
      <c r="BN41" s="9">
        <v>21538828</v>
      </c>
      <c r="BO41" s="31">
        <v>21538828</v>
      </c>
      <c r="BP41" s="9">
        <v>24086756</v>
      </c>
      <c r="BQ41" s="9">
        <v>21586756</v>
      </c>
      <c r="BR41" s="9">
        <v>21586756</v>
      </c>
      <c r="BS41" s="9">
        <v>21586756</v>
      </c>
      <c r="BT41" s="9">
        <v>21586756</v>
      </c>
      <c r="BU41" s="9">
        <v>21586756</v>
      </c>
      <c r="BV41" s="9">
        <v>20525037</v>
      </c>
      <c r="BW41" s="9">
        <v>20525037</v>
      </c>
      <c r="BX41" s="9">
        <v>20525037</v>
      </c>
      <c r="BY41" s="9">
        <v>20525037</v>
      </c>
      <c r="BZ41" s="9">
        <v>20525037</v>
      </c>
      <c r="CA41" s="9">
        <v>20525037</v>
      </c>
      <c r="CB41" s="31">
        <v>20525037</v>
      </c>
    </row>
    <row r="42" spans="2:80" x14ac:dyDescent="0.3">
      <c r="B42" s="7" t="s">
        <v>58</v>
      </c>
      <c r="C42" s="9">
        <v>47480114</v>
      </c>
      <c r="D42" s="9">
        <v>46808523</v>
      </c>
      <c r="E42" s="9">
        <v>46838561</v>
      </c>
      <c r="F42" s="9">
        <v>46859061</v>
      </c>
      <c r="G42" s="9">
        <v>48764408</v>
      </c>
      <c r="H42" s="9">
        <v>51014336</v>
      </c>
      <c r="I42" s="9">
        <v>51014336</v>
      </c>
      <c r="J42" s="9">
        <v>51000336</v>
      </c>
      <c r="K42" s="9">
        <v>51070336</v>
      </c>
      <c r="L42" s="9">
        <v>51066806</v>
      </c>
      <c r="M42" s="9">
        <v>50450459</v>
      </c>
      <c r="N42" s="9">
        <v>50960348</v>
      </c>
      <c r="O42" s="31">
        <v>50960348</v>
      </c>
      <c r="P42" s="9">
        <v>40895295</v>
      </c>
      <c r="Q42" s="9">
        <v>42599913</v>
      </c>
      <c r="R42" s="9">
        <v>44538916</v>
      </c>
      <c r="S42" s="9">
        <v>44538916</v>
      </c>
      <c r="T42" s="9">
        <v>44610581</v>
      </c>
      <c r="U42" s="9">
        <v>44610581</v>
      </c>
      <c r="V42" s="9">
        <v>46801119</v>
      </c>
      <c r="W42" s="9">
        <v>46908560</v>
      </c>
      <c r="X42" s="9">
        <v>43111435</v>
      </c>
      <c r="Y42" s="9">
        <v>43042467</v>
      </c>
      <c r="Z42" s="9">
        <v>37591875</v>
      </c>
      <c r="AA42" s="9">
        <v>34363905</v>
      </c>
      <c r="AB42" s="31">
        <v>34363905</v>
      </c>
      <c r="AC42" s="9">
        <v>51373264</v>
      </c>
      <c r="AD42" s="9">
        <v>51373264</v>
      </c>
      <c r="AE42" s="9">
        <v>51373264</v>
      </c>
      <c r="AF42" s="9">
        <v>51373264</v>
      </c>
      <c r="AG42" s="9">
        <v>51373264</v>
      </c>
      <c r="AH42" s="9">
        <v>51373264</v>
      </c>
      <c r="AI42" s="9">
        <v>51508435</v>
      </c>
      <c r="AJ42" s="9">
        <v>52353893</v>
      </c>
      <c r="AK42" s="9">
        <v>52353893</v>
      </c>
      <c r="AL42" s="9">
        <v>52353893</v>
      </c>
      <c r="AM42" s="9">
        <v>51000922</v>
      </c>
      <c r="AN42" s="9">
        <v>46007599</v>
      </c>
      <c r="AO42" s="31">
        <v>46007599</v>
      </c>
      <c r="AP42" s="9">
        <v>52751667</v>
      </c>
      <c r="AQ42" s="9">
        <v>52751667</v>
      </c>
      <c r="AR42" s="9">
        <v>52751667</v>
      </c>
      <c r="AS42" s="9">
        <v>52751667</v>
      </c>
      <c r="AT42" s="9">
        <v>57337319</v>
      </c>
      <c r="AU42" s="9">
        <v>57405826</v>
      </c>
      <c r="AV42" s="9">
        <v>57956571</v>
      </c>
      <c r="AW42" s="9">
        <v>57956571</v>
      </c>
      <c r="AX42" s="9">
        <v>61190275</v>
      </c>
      <c r="AY42" s="9">
        <v>61303735</v>
      </c>
      <c r="AZ42" s="9">
        <v>61308735</v>
      </c>
      <c r="BA42" s="9">
        <v>52850218</v>
      </c>
      <c r="BB42" s="31">
        <v>52850218</v>
      </c>
      <c r="BC42" s="9">
        <v>51417843</v>
      </c>
      <c r="BD42" s="9">
        <v>51517443</v>
      </c>
      <c r="BE42" s="9">
        <v>55313770</v>
      </c>
      <c r="BF42" s="9">
        <v>55553881</v>
      </c>
      <c r="BG42" s="9">
        <v>56534745</v>
      </c>
      <c r="BH42" s="9">
        <v>61534745</v>
      </c>
      <c r="BI42" s="9">
        <v>61534745</v>
      </c>
      <c r="BJ42" s="9">
        <v>63834745</v>
      </c>
      <c r="BK42" s="9">
        <v>63834745</v>
      </c>
      <c r="BL42" s="9">
        <v>64880577</v>
      </c>
      <c r="BM42" s="9">
        <v>70760325</v>
      </c>
      <c r="BN42" s="9">
        <v>70312669</v>
      </c>
      <c r="BO42" s="31">
        <v>70312669</v>
      </c>
      <c r="BP42" s="9">
        <v>69100458</v>
      </c>
      <c r="BQ42" s="9">
        <v>69100458</v>
      </c>
      <c r="BR42" s="9">
        <v>69100458</v>
      </c>
      <c r="BS42" s="9">
        <v>69100458</v>
      </c>
      <c r="BT42" s="9">
        <v>69434215</v>
      </c>
      <c r="BU42" s="9">
        <v>69434215</v>
      </c>
      <c r="BV42" s="9">
        <v>69434215</v>
      </c>
      <c r="BW42" s="9">
        <v>69434215</v>
      </c>
      <c r="BX42" s="9">
        <v>69434215</v>
      </c>
      <c r="BY42" s="9">
        <v>69434215</v>
      </c>
      <c r="BZ42" s="9">
        <v>69434215</v>
      </c>
      <c r="CA42" s="9">
        <v>69434215</v>
      </c>
      <c r="CB42" s="31">
        <v>69434215</v>
      </c>
    </row>
    <row r="43" spans="2:80" x14ac:dyDescent="0.3">
      <c r="B43" s="7" t="s">
        <v>59</v>
      </c>
      <c r="C43" s="9">
        <v>39627096</v>
      </c>
      <c r="D43" s="9">
        <v>47554865</v>
      </c>
      <c r="E43" s="9">
        <v>47841231</v>
      </c>
      <c r="F43" s="9">
        <v>46883758</v>
      </c>
      <c r="G43" s="9">
        <v>47694518</v>
      </c>
      <c r="H43" s="9">
        <v>47407812</v>
      </c>
      <c r="I43" s="9">
        <v>47407812</v>
      </c>
      <c r="J43" s="9">
        <v>47407812</v>
      </c>
      <c r="K43" s="9">
        <v>47407812</v>
      </c>
      <c r="L43" s="9">
        <v>48624906</v>
      </c>
      <c r="M43" s="9">
        <v>55571871</v>
      </c>
      <c r="N43" s="9">
        <v>43086424</v>
      </c>
      <c r="O43" s="31">
        <v>43086424</v>
      </c>
      <c r="P43" s="9">
        <v>26390042</v>
      </c>
      <c r="Q43" s="9">
        <v>32646316</v>
      </c>
      <c r="R43" s="9">
        <v>31150252</v>
      </c>
      <c r="S43" s="9">
        <v>31150252</v>
      </c>
      <c r="T43" s="9">
        <v>31106983</v>
      </c>
      <c r="U43" s="9">
        <v>31106983</v>
      </c>
      <c r="V43" s="9">
        <v>30755092</v>
      </c>
      <c r="W43" s="9">
        <v>33656157</v>
      </c>
      <c r="X43" s="9">
        <v>33656157</v>
      </c>
      <c r="Y43" s="9">
        <v>33656157</v>
      </c>
      <c r="Z43" s="9">
        <v>30153019</v>
      </c>
      <c r="AA43" s="9">
        <v>23972510</v>
      </c>
      <c r="AB43" s="31">
        <v>23972510</v>
      </c>
      <c r="AC43" s="9">
        <v>30128321</v>
      </c>
      <c r="AD43" s="9">
        <v>30534738</v>
      </c>
      <c r="AE43" s="9">
        <v>30534738</v>
      </c>
      <c r="AF43" s="9">
        <v>30534738</v>
      </c>
      <c r="AG43" s="9">
        <v>30534738</v>
      </c>
      <c r="AH43" s="9">
        <v>30534738</v>
      </c>
      <c r="AI43" s="9">
        <v>30622218</v>
      </c>
      <c r="AJ43" s="9">
        <v>30622218</v>
      </c>
      <c r="AK43" s="9">
        <v>30622218</v>
      </c>
      <c r="AL43" s="9">
        <v>30622218</v>
      </c>
      <c r="AM43" s="9">
        <v>23521092</v>
      </c>
      <c r="AN43" s="9">
        <v>20238360</v>
      </c>
      <c r="AO43" s="31">
        <v>20238360</v>
      </c>
      <c r="AP43" s="9">
        <v>30054838</v>
      </c>
      <c r="AQ43" s="9">
        <v>30054838</v>
      </c>
      <c r="AR43" s="9">
        <v>31282527</v>
      </c>
      <c r="AS43" s="9">
        <v>31282527</v>
      </c>
      <c r="AT43" s="9">
        <v>31409727</v>
      </c>
      <c r="AU43" s="9">
        <v>31409727</v>
      </c>
      <c r="AV43" s="9">
        <v>31418490</v>
      </c>
      <c r="AW43" s="9">
        <v>31418490</v>
      </c>
      <c r="AX43" s="9">
        <v>36356084</v>
      </c>
      <c r="AY43" s="9">
        <v>36296984</v>
      </c>
      <c r="AZ43" s="9">
        <v>36296984</v>
      </c>
      <c r="BA43" s="9">
        <v>36728957</v>
      </c>
      <c r="BB43" s="31">
        <v>36728957</v>
      </c>
      <c r="BC43" s="9">
        <v>33768075</v>
      </c>
      <c r="BD43" s="9">
        <v>35204845</v>
      </c>
      <c r="BE43" s="9">
        <v>35894043</v>
      </c>
      <c r="BF43" s="9">
        <v>35894043</v>
      </c>
      <c r="BG43" s="9">
        <v>35894043</v>
      </c>
      <c r="BH43" s="9">
        <v>39784839</v>
      </c>
      <c r="BI43" s="9">
        <v>39784839</v>
      </c>
      <c r="BJ43" s="9">
        <v>39784839</v>
      </c>
      <c r="BK43" s="9">
        <v>39784839</v>
      </c>
      <c r="BL43" s="9">
        <v>39784839</v>
      </c>
      <c r="BM43" s="9">
        <v>39784839</v>
      </c>
      <c r="BN43" s="9">
        <v>38538359</v>
      </c>
      <c r="BO43" s="31">
        <v>38538359</v>
      </c>
      <c r="BP43" s="9">
        <v>19941082</v>
      </c>
      <c r="BQ43" s="9">
        <v>19941082</v>
      </c>
      <c r="BR43" s="9">
        <v>19941082</v>
      </c>
      <c r="BS43" s="9">
        <v>19941082</v>
      </c>
      <c r="BT43" s="9">
        <v>21783783</v>
      </c>
      <c r="BU43" s="9">
        <v>21338584</v>
      </c>
      <c r="BV43" s="9">
        <v>21338584</v>
      </c>
      <c r="BW43" s="9">
        <v>21338584</v>
      </c>
      <c r="BX43" s="9">
        <v>21338584</v>
      </c>
      <c r="BY43" s="9">
        <v>21338584</v>
      </c>
      <c r="BZ43" s="9">
        <v>21338584</v>
      </c>
      <c r="CA43" s="9">
        <v>21338584</v>
      </c>
      <c r="CB43" s="31">
        <v>21338584</v>
      </c>
    </row>
    <row r="44" spans="2:80" x14ac:dyDescent="0.3">
      <c r="B44" s="7" t="s">
        <v>60</v>
      </c>
      <c r="C44" s="9">
        <v>20649564</v>
      </c>
      <c r="D44" s="9">
        <v>16814763</v>
      </c>
      <c r="E44" s="9">
        <v>22285572</v>
      </c>
      <c r="F44" s="9">
        <v>22285572</v>
      </c>
      <c r="G44" s="9">
        <v>14609091</v>
      </c>
      <c r="H44" s="9">
        <v>15388049</v>
      </c>
      <c r="I44" s="9">
        <v>17930371</v>
      </c>
      <c r="J44" s="9">
        <v>17919451</v>
      </c>
      <c r="K44" s="9">
        <v>17919451</v>
      </c>
      <c r="L44" s="9">
        <v>17922981</v>
      </c>
      <c r="M44" s="9">
        <v>17587981</v>
      </c>
      <c r="N44" s="9">
        <v>14338421</v>
      </c>
      <c r="O44" s="31">
        <v>14338421</v>
      </c>
      <c r="P44" s="9">
        <v>29463592</v>
      </c>
      <c r="Q44" s="9">
        <v>32222606</v>
      </c>
      <c r="R44" s="9">
        <v>32222606</v>
      </c>
      <c r="S44" s="9">
        <v>32222606</v>
      </c>
      <c r="T44" s="9">
        <v>32222606</v>
      </c>
      <c r="U44" s="9">
        <v>32222606</v>
      </c>
      <c r="V44" s="9">
        <v>30325222</v>
      </c>
      <c r="W44" s="9">
        <v>30325222</v>
      </c>
      <c r="X44" s="9">
        <v>23177772</v>
      </c>
      <c r="Y44" s="9">
        <v>23177772</v>
      </c>
      <c r="Z44" s="9">
        <v>20376650</v>
      </c>
      <c r="AA44" s="9">
        <v>18334752</v>
      </c>
      <c r="AB44" s="31">
        <v>18334752</v>
      </c>
      <c r="AC44" s="9">
        <v>34989760</v>
      </c>
      <c r="AD44" s="9">
        <v>34989760</v>
      </c>
      <c r="AE44" s="9">
        <v>34989760</v>
      </c>
      <c r="AF44" s="9">
        <v>33800482</v>
      </c>
      <c r="AG44" s="9">
        <v>30874894</v>
      </c>
      <c r="AH44" s="9">
        <v>30699107</v>
      </c>
      <c r="AI44" s="9">
        <v>30436338</v>
      </c>
      <c r="AJ44" s="9">
        <v>30436338</v>
      </c>
      <c r="AK44" s="9">
        <v>30436338</v>
      </c>
      <c r="AL44" s="9">
        <v>30436338</v>
      </c>
      <c r="AM44" s="9">
        <v>21760124</v>
      </c>
      <c r="AN44" s="9">
        <v>10583667</v>
      </c>
      <c r="AO44" s="31">
        <v>10583667</v>
      </c>
      <c r="AP44" s="9">
        <v>21614756</v>
      </c>
      <c r="AQ44" s="9">
        <v>21614756</v>
      </c>
      <c r="AR44" s="9">
        <v>25085426</v>
      </c>
      <c r="AS44" s="9">
        <v>25022015</v>
      </c>
      <c r="AT44" s="9">
        <v>24451976</v>
      </c>
      <c r="AU44" s="9">
        <v>23099237</v>
      </c>
      <c r="AV44" s="9">
        <v>22144605</v>
      </c>
      <c r="AW44" s="9">
        <v>19996116</v>
      </c>
      <c r="AX44" s="9">
        <v>18783276</v>
      </c>
      <c r="AY44" s="9">
        <v>18783276</v>
      </c>
      <c r="AZ44" s="9">
        <v>16286502</v>
      </c>
      <c r="BA44" s="9">
        <v>13330524</v>
      </c>
      <c r="BB44" s="31">
        <v>13330524</v>
      </c>
      <c r="BC44" s="9">
        <v>24407573</v>
      </c>
      <c r="BD44" s="9">
        <v>24407573</v>
      </c>
      <c r="BE44" s="9">
        <v>20199526</v>
      </c>
      <c r="BF44" s="9">
        <v>19621185</v>
      </c>
      <c r="BG44" s="9">
        <v>19621185</v>
      </c>
      <c r="BH44" s="9">
        <v>19621185</v>
      </c>
      <c r="BI44" s="9">
        <v>19621185</v>
      </c>
      <c r="BJ44" s="9">
        <v>17321185</v>
      </c>
      <c r="BK44" s="9">
        <v>17321185</v>
      </c>
      <c r="BL44" s="9">
        <v>16366982</v>
      </c>
      <c r="BM44" s="9">
        <v>16366982</v>
      </c>
      <c r="BN44" s="9">
        <v>9559039</v>
      </c>
      <c r="BO44" s="31">
        <v>9559039</v>
      </c>
      <c r="BP44" s="9">
        <v>26486066</v>
      </c>
      <c r="BQ44" s="9">
        <v>20486066</v>
      </c>
      <c r="BR44" s="9">
        <v>20381384</v>
      </c>
      <c r="BS44" s="9">
        <v>20381384</v>
      </c>
      <c r="BT44" s="9">
        <v>21613538</v>
      </c>
      <c r="BU44" s="9">
        <v>20281537</v>
      </c>
      <c r="BV44" s="9">
        <v>20281537</v>
      </c>
      <c r="BW44" s="9">
        <v>20281537</v>
      </c>
      <c r="BX44" s="9">
        <v>20281537</v>
      </c>
      <c r="BY44" s="9">
        <v>20281537</v>
      </c>
      <c r="BZ44" s="9">
        <v>20281537</v>
      </c>
      <c r="CA44" s="9">
        <v>20281537</v>
      </c>
      <c r="CB44" s="31">
        <v>20281537</v>
      </c>
    </row>
    <row r="45" spans="2:80" x14ac:dyDescent="0.3">
      <c r="B45" s="7" t="s">
        <v>61</v>
      </c>
      <c r="C45" s="9">
        <v>35490972</v>
      </c>
      <c r="D45" s="9">
        <v>35570986</v>
      </c>
      <c r="E45" s="9">
        <v>35950671</v>
      </c>
      <c r="F45" s="9">
        <v>36197967</v>
      </c>
      <c r="G45" s="9">
        <v>36059125</v>
      </c>
      <c r="H45" s="9">
        <v>37177468</v>
      </c>
      <c r="I45" s="9">
        <v>37177468</v>
      </c>
      <c r="J45" s="9">
        <v>37177468</v>
      </c>
      <c r="K45" s="9">
        <v>37177468</v>
      </c>
      <c r="L45" s="9">
        <v>36797468</v>
      </c>
      <c r="M45" s="9">
        <v>29953458</v>
      </c>
      <c r="N45" s="9">
        <v>23812324</v>
      </c>
      <c r="O45" s="31">
        <v>23812324</v>
      </c>
      <c r="P45" s="9">
        <v>28701287</v>
      </c>
      <c r="Q45" s="9">
        <v>31588212</v>
      </c>
      <c r="R45" s="9">
        <v>32817357</v>
      </c>
      <c r="S45" s="9">
        <v>32817357</v>
      </c>
      <c r="T45" s="9">
        <v>32981716</v>
      </c>
      <c r="U45" s="9">
        <v>32981716</v>
      </c>
      <c r="V45" s="9">
        <v>33158944</v>
      </c>
      <c r="W45" s="9">
        <v>33158944</v>
      </c>
      <c r="X45" s="9">
        <v>29588365</v>
      </c>
      <c r="Y45" s="9">
        <v>29630365</v>
      </c>
      <c r="Z45" s="9">
        <v>27837224</v>
      </c>
      <c r="AA45" s="9">
        <v>24477657</v>
      </c>
      <c r="AB45" s="31">
        <v>24477657</v>
      </c>
      <c r="AC45" s="9">
        <v>21698957</v>
      </c>
      <c r="AD45" s="9">
        <v>23809291</v>
      </c>
      <c r="AE45" s="9">
        <v>23809291</v>
      </c>
      <c r="AF45" s="9">
        <v>23809291</v>
      </c>
      <c r="AG45" s="9">
        <v>23809291</v>
      </c>
      <c r="AH45" s="9">
        <v>23809291</v>
      </c>
      <c r="AI45" s="9">
        <v>23809291</v>
      </c>
      <c r="AJ45" s="9">
        <v>23809291</v>
      </c>
      <c r="AK45" s="9">
        <v>23809291</v>
      </c>
      <c r="AL45" s="9">
        <v>23809291</v>
      </c>
      <c r="AM45" s="9">
        <v>19188762</v>
      </c>
      <c r="AN45" s="9">
        <v>18810220</v>
      </c>
      <c r="AO45" s="31">
        <v>18810220</v>
      </c>
      <c r="AP45" s="9">
        <v>27536485</v>
      </c>
      <c r="AQ45" s="9">
        <v>27536485</v>
      </c>
      <c r="AR45" s="9">
        <v>27802859</v>
      </c>
      <c r="AS45" s="9">
        <v>27802859</v>
      </c>
      <c r="AT45" s="9">
        <v>27802859</v>
      </c>
      <c r="AU45" s="9">
        <v>27802859</v>
      </c>
      <c r="AV45" s="9">
        <v>27802859</v>
      </c>
      <c r="AW45" s="9">
        <v>27802859</v>
      </c>
      <c r="AX45" s="9">
        <v>26759664</v>
      </c>
      <c r="AY45" s="9">
        <v>26759664</v>
      </c>
      <c r="AZ45" s="9">
        <v>25442818</v>
      </c>
      <c r="BA45" s="9">
        <v>17300120</v>
      </c>
      <c r="BB45" s="31">
        <v>17300120</v>
      </c>
      <c r="BC45" s="9">
        <v>21901695</v>
      </c>
      <c r="BD45" s="9">
        <v>23883040</v>
      </c>
      <c r="BE45" s="9">
        <v>23883040</v>
      </c>
      <c r="BF45" s="9">
        <v>23883040</v>
      </c>
      <c r="BG45" s="9">
        <v>23883040</v>
      </c>
      <c r="BH45" s="9">
        <v>20324294</v>
      </c>
      <c r="BI45" s="9">
        <v>20324294</v>
      </c>
      <c r="BJ45" s="9">
        <v>20324294</v>
      </c>
      <c r="BK45" s="9">
        <v>20324294</v>
      </c>
      <c r="BL45" s="9">
        <v>16716316</v>
      </c>
      <c r="BM45" s="9">
        <v>15529632</v>
      </c>
      <c r="BN45" s="9">
        <v>14458089</v>
      </c>
      <c r="BO45" s="31">
        <v>14458089</v>
      </c>
      <c r="BP45" s="9">
        <v>14354883</v>
      </c>
      <c r="BQ45" s="9">
        <v>14354883</v>
      </c>
      <c r="BR45" s="9">
        <v>14354883</v>
      </c>
      <c r="BS45" s="9">
        <v>14354883</v>
      </c>
      <c r="BT45" s="9">
        <v>14887377</v>
      </c>
      <c r="BU45" s="9">
        <v>14986549</v>
      </c>
      <c r="BV45" s="9">
        <v>14986549</v>
      </c>
      <c r="BW45" s="9">
        <v>14986549</v>
      </c>
      <c r="BX45" s="9">
        <v>14986549</v>
      </c>
      <c r="BY45" s="9">
        <v>14986549</v>
      </c>
      <c r="BZ45" s="9">
        <v>14986549</v>
      </c>
      <c r="CA45" s="9">
        <v>14986549</v>
      </c>
      <c r="CB45" s="31">
        <v>14986549</v>
      </c>
    </row>
    <row r="46" spans="2:80" x14ac:dyDescent="0.3">
      <c r="B46" s="7" t="s">
        <v>62</v>
      </c>
      <c r="C46" s="9">
        <v>12792533</v>
      </c>
      <c r="D46" s="9">
        <v>12652191</v>
      </c>
      <c r="E46" s="9">
        <v>12652191</v>
      </c>
      <c r="F46" s="9">
        <v>12652191</v>
      </c>
      <c r="G46" s="9">
        <v>12468744</v>
      </c>
      <c r="H46" s="9">
        <v>11115840</v>
      </c>
      <c r="I46" s="9">
        <v>12100869</v>
      </c>
      <c r="J46" s="9">
        <v>12100869</v>
      </c>
      <c r="K46" s="9">
        <v>12100869</v>
      </c>
      <c r="L46" s="9">
        <v>13362040</v>
      </c>
      <c r="M46" s="9">
        <v>12117369</v>
      </c>
      <c r="N46" s="9">
        <v>9734933</v>
      </c>
      <c r="O46" s="31">
        <v>9734933</v>
      </c>
      <c r="P46" s="9">
        <v>7213147</v>
      </c>
      <c r="Q46" s="9">
        <v>8126083</v>
      </c>
      <c r="R46" s="9">
        <v>8126083</v>
      </c>
      <c r="S46" s="9">
        <v>8220694</v>
      </c>
      <c r="T46" s="9">
        <v>8271882</v>
      </c>
      <c r="U46" s="9">
        <v>8286916</v>
      </c>
      <c r="V46" s="9">
        <v>8286916</v>
      </c>
      <c r="W46" s="9">
        <v>8286916</v>
      </c>
      <c r="X46" s="9">
        <v>8286916</v>
      </c>
      <c r="Y46" s="9">
        <v>9750211</v>
      </c>
      <c r="Z46" s="9">
        <v>7376607</v>
      </c>
      <c r="AA46" s="9">
        <v>5191120</v>
      </c>
      <c r="AB46" s="31">
        <v>5191120</v>
      </c>
      <c r="AC46" s="9">
        <v>8696258</v>
      </c>
      <c r="AD46" s="9">
        <v>8696258</v>
      </c>
      <c r="AE46" s="9">
        <v>8696258</v>
      </c>
      <c r="AF46" s="9">
        <v>8860817</v>
      </c>
      <c r="AG46" s="9">
        <v>8889917</v>
      </c>
      <c r="AH46" s="9">
        <v>8889917</v>
      </c>
      <c r="AI46" s="9">
        <v>8889917</v>
      </c>
      <c r="AJ46" s="9">
        <v>8889917</v>
      </c>
      <c r="AK46" s="9">
        <v>8889917</v>
      </c>
      <c r="AL46" s="9">
        <v>8889917</v>
      </c>
      <c r="AM46" s="9">
        <v>8889917</v>
      </c>
      <c r="AN46" s="9">
        <v>5694857</v>
      </c>
      <c r="AO46" s="31">
        <v>5694857</v>
      </c>
      <c r="AP46" s="9">
        <v>18841858</v>
      </c>
      <c r="AQ46" s="9">
        <v>18841858</v>
      </c>
      <c r="AR46" s="9">
        <v>16341858</v>
      </c>
      <c r="AS46" s="9">
        <v>16341858</v>
      </c>
      <c r="AT46" s="9">
        <v>15315547</v>
      </c>
      <c r="AU46" s="9">
        <v>13380621</v>
      </c>
      <c r="AV46" s="9">
        <v>13464918</v>
      </c>
      <c r="AW46" s="9">
        <v>13464918</v>
      </c>
      <c r="AX46" s="9">
        <v>13701920</v>
      </c>
      <c r="AY46" s="9">
        <v>13770418</v>
      </c>
      <c r="AZ46" s="9">
        <v>13770418</v>
      </c>
      <c r="BA46" s="9">
        <v>7723948</v>
      </c>
      <c r="BB46" s="31">
        <v>7723948</v>
      </c>
      <c r="BC46" s="9">
        <v>15973417</v>
      </c>
      <c r="BD46" s="9">
        <v>15973417</v>
      </c>
      <c r="BE46" s="9">
        <v>14927033</v>
      </c>
      <c r="BF46" s="9">
        <v>14851439</v>
      </c>
      <c r="BG46" s="9">
        <v>13870575</v>
      </c>
      <c r="BH46" s="9">
        <v>13870575</v>
      </c>
      <c r="BI46" s="9">
        <v>10870575</v>
      </c>
      <c r="BJ46" s="9">
        <v>10870575</v>
      </c>
      <c r="BK46" s="9">
        <v>10870575</v>
      </c>
      <c r="BL46" s="9">
        <v>7792083</v>
      </c>
      <c r="BM46" s="9">
        <v>5648518</v>
      </c>
      <c r="BN46" s="9">
        <v>5494061</v>
      </c>
      <c r="BO46" s="31">
        <v>5494061</v>
      </c>
      <c r="BP46" s="9">
        <v>8237296</v>
      </c>
      <c r="BQ46" s="9">
        <v>4954911</v>
      </c>
      <c r="BR46" s="9">
        <v>4954911</v>
      </c>
      <c r="BS46" s="9">
        <v>4954911</v>
      </c>
      <c r="BT46" s="9">
        <v>4954911</v>
      </c>
      <c r="BU46" s="9">
        <v>4954911</v>
      </c>
      <c r="BV46" s="9">
        <v>4954911</v>
      </c>
      <c r="BW46" s="9">
        <v>4954911</v>
      </c>
      <c r="BX46" s="9">
        <v>4954911</v>
      </c>
      <c r="BY46" s="9">
        <v>4954911</v>
      </c>
      <c r="BZ46" s="9">
        <v>4954911</v>
      </c>
      <c r="CA46" s="9">
        <v>4954911</v>
      </c>
      <c r="CB46" s="31">
        <v>4954911</v>
      </c>
    </row>
    <row r="47" spans="2:80" x14ac:dyDescent="0.3">
      <c r="B47" s="7" t="s">
        <v>63</v>
      </c>
      <c r="C47" s="9">
        <v>11914112</v>
      </c>
      <c r="D47" s="9">
        <v>11776677</v>
      </c>
      <c r="E47" s="9">
        <v>11776677</v>
      </c>
      <c r="F47" s="9">
        <v>11777475</v>
      </c>
      <c r="G47" s="9">
        <v>11777475</v>
      </c>
      <c r="H47" s="9">
        <v>13201459</v>
      </c>
      <c r="I47" s="9">
        <v>13201459</v>
      </c>
      <c r="J47" s="9">
        <v>13201459</v>
      </c>
      <c r="K47" s="9">
        <v>13201459</v>
      </c>
      <c r="L47" s="9">
        <v>14214829</v>
      </c>
      <c r="M47" s="9">
        <v>12939967</v>
      </c>
      <c r="N47" s="9">
        <v>10741343</v>
      </c>
      <c r="O47" s="31">
        <v>10741343</v>
      </c>
      <c r="P47" s="9">
        <v>14902342</v>
      </c>
      <c r="Q47" s="9">
        <v>19316051</v>
      </c>
      <c r="R47" s="9">
        <v>19316051</v>
      </c>
      <c r="S47" s="9">
        <v>19316051</v>
      </c>
      <c r="T47" s="9">
        <v>19244386</v>
      </c>
      <c r="U47" s="9">
        <v>19174386</v>
      </c>
      <c r="V47" s="9">
        <v>16328330</v>
      </c>
      <c r="W47" s="9">
        <v>16328330</v>
      </c>
      <c r="X47" s="9">
        <v>16328330</v>
      </c>
      <c r="Y47" s="9">
        <v>16328330</v>
      </c>
      <c r="Z47" s="9">
        <v>12234667</v>
      </c>
      <c r="AA47" s="9">
        <v>9450641</v>
      </c>
      <c r="AB47" s="31">
        <v>9450641</v>
      </c>
      <c r="AC47" s="9">
        <v>22127832</v>
      </c>
      <c r="AD47" s="9">
        <v>22959758</v>
      </c>
      <c r="AE47" s="9">
        <v>22959758</v>
      </c>
      <c r="AF47" s="9">
        <v>22959758</v>
      </c>
      <c r="AG47" s="9">
        <v>24837247</v>
      </c>
      <c r="AH47" s="9">
        <v>24837247</v>
      </c>
      <c r="AI47" s="9">
        <v>24837247</v>
      </c>
      <c r="AJ47" s="9">
        <v>24837247</v>
      </c>
      <c r="AK47" s="9">
        <v>24837247</v>
      </c>
      <c r="AL47" s="9">
        <v>24837247</v>
      </c>
      <c r="AM47" s="9">
        <v>24074302</v>
      </c>
      <c r="AN47" s="9">
        <v>13086048</v>
      </c>
      <c r="AO47" s="31">
        <v>13086048</v>
      </c>
      <c r="AP47" s="9">
        <v>22256093</v>
      </c>
      <c r="AQ47" s="9">
        <v>22256093</v>
      </c>
      <c r="AR47" s="9">
        <v>22256093</v>
      </c>
      <c r="AS47" s="9">
        <v>22256093</v>
      </c>
      <c r="AT47" s="9">
        <v>22356143</v>
      </c>
      <c r="AU47" s="9">
        <v>23540375</v>
      </c>
      <c r="AV47" s="9">
        <v>23790875</v>
      </c>
      <c r="AW47" s="9">
        <v>23790875</v>
      </c>
      <c r="AX47" s="9">
        <v>22870441</v>
      </c>
      <c r="AY47" s="9">
        <v>22870441</v>
      </c>
      <c r="AZ47" s="9">
        <v>20253560</v>
      </c>
      <c r="BA47" s="9">
        <v>17985481</v>
      </c>
      <c r="BB47" s="31">
        <v>17985481</v>
      </c>
      <c r="BC47" s="9">
        <v>21184028</v>
      </c>
      <c r="BD47" s="9">
        <v>21881248</v>
      </c>
      <c r="BE47" s="9">
        <v>21881248</v>
      </c>
      <c r="BF47" s="9">
        <v>21881248</v>
      </c>
      <c r="BG47" s="9">
        <v>21881248</v>
      </c>
      <c r="BH47" s="9">
        <v>14331165</v>
      </c>
      <c r="BI47" s="9">
        <v>14331165</v>
      </c>
      <c r="BJ47" s="9">
        <v>14331165</v>
      </c>
      <c r="BK47" s="9">
        <v>14331165</v>
      </c>
      <c r="BL47" s="9">
        <v>14275594</v>
      </c>
      <c r="BM47" s="9">
        <v>14275594</v>
      </c>
      <c r="BN47" s="9">
        <v>14465044</v>
      </c>
      <c r="BO47" s="31">
        <v>14465044</v>
      </c>
      <c r="BP47" s="9">
        <v>24770394</v>
      </c>
      <c r="BQ47" s="9">
        <v>24770394</v>
      </c>
      <c r="BR47" s="9">
        <v>24770394</v>
      </c>
      <c r="BS47" s="9">
        <v>24770394</v>
      </c>
      <c r="BT47" s="9">
        <v>25550699</v>
      </c>
      <c r="BU47" s="9">
        <v>25550699</v>
      </c>
      <c r="BV47" s="9">
        <v>26178453</v>
      </c>
      <c r="BW47" s="9">
        <v>26178453</v>
      </c>
      <c r="BX47" s="9">
        <v>26178453</v>
      </c>
      <c r="BY47" s="9">
        <v>26178453</v>
      </c>
      <c r="BZ47" s="9">
        <v>26178453</v>
      </c>
      <c r="CA47" s="9">
        <v>26178453</v>
      </c>
      <c r="CB47" s="31">
        <v>26178453</v>
      </c>
    </row>
    <row r="48" spans="2:80" x14ac:dyDescent="0.3">
      <c r="B48" s="11" t="s">
        <v>105</v>
      </c>
      <c r="C48" s="13">
        <f t="shared" ref="C48:AH48" si="3">SUM(C30:C47)</f>
        <v>600298724</v>
      </c>
      <c r="D48" s="13">
        <f t="shared" si="3"/>
        <v>607271724</v>
      </c>
      <c r="E48" s="13">
        <f t="shared" si="3"/>
        <v>609033724</v>
      </c>
      <c r="F48" s="13">
        <f t="shared" si="3"/>
        <v>609033724</v>
      </c>
      <c r="G48" s="13">
        <f t="shared" si="3"/>
        <v>608005946</v>
      </c>
      <c r="H48" s="13">
        <f t="shared" si="3"/>
        <v>608005946</v>
      </c>
      <c r="I48" s="13">
        <f t="shared" si="3"/>
        <v>608005946</v>
      </c>
      <c r="J48" s="13">
        <f t="shared" si="3"/>
        <v>608005946</v>
      </c>
      <c r="K48" s="13">
        <f t="shared" si="3"/>
        <v>607790799</v>
      </c>
      <c r="L48" s="13">
        <f t="shared" si="3"/>
        <v>600750001</v>
      </c>
      <c r="M48" s="13">
        <f t="shared" si="3"/>
        <v>567281299</v>
      </c>
      <c r="N48" s="13">
        <f t="shared" si="3"/>
        <v>476378343</v>
      </c>
      <c r="O48" s="13">
        <f t="shared" si="3"/>
        <v>476378343</v>
      </c>
      <c r="P48" s="13">
        <f t="shared" si="3"/>
        <v>532634315</v>
      </c>
      <c r="Q48" s="13">
        <f t="shared" si="3"/>
        <v>602694184</v>
      </c>
      <c r="R48" s="13">
        <f t="shared" si="3"/>
        <v>602694184</v>
      </c>
      <c r="S48" s="13">
        <f t="shared" si="3"/>
        <v>602694184</v>
      </c>
      <c r="T48" s="13">
        <f t="shared" si="3"/>
        <v>602648934</v>
      </c>
      <c r="U48" s="13">
        <f t="shared" si="3"/>
        <v>602578934</v>
      </c>
      <c r="V48" s="13">
        <f t="shared" si="3"/>
        <v>594977728</v>
      </c>
      <c r="W48" s="13">
        <f t="shared" si="3"/>
        <v>595065228</v>
      </c>
      <c r="X48" s="13">
        <f t="shared" si="3"/>
        <v>548057305</v>
      </c>
      <c r="Y48" s="13">
        <f t="shared" si="3"/>
        <v>547463992</v>
      </c>
      <c r="Z48" s="13">
        <f t="shared" si="3"/>
        <v>459477452</v>
      </c>
      <c r="AA48" s="13">
        <f t="shared" si="3"/>
        <v>399349889</v>
      </c>
      <c r="AB48" s="13">
        <f t="shared" si="3"/>
        <v>399349889</v>
      </c>
      <c r="AC48" s="13">
        <f t="shared" si="3"/>
        <v>542047913</v>
      </c>
      <c r="AD48" s="13">
        <f t="shared" si="3"/>
        <v>542047913</v>
      </c>
      <c r="AE48" s="13">
        <f t="shared" si="3"/>
        <v>542047913</v>
      </c>
      <c r="AF48" s="13">
        <f t="shared" si="3"/>
        <v>542047913</v>
      </c>
      <c r="AG48" s="13">
        <f t="shared" si="3"/>
        <v>542047913</v>
      </c>
      <c r="AH48" s="13">
        <f t="shared" si="3"/>
        <v>542039339</v>
      </c>
      <c r="AI48" s="13">
        <f t="shared" ref="AI48:BN48" si="4">SUM(AI30:AI47)</f>
        <v>542039339</v>
      </c>
      <c r="AJ48" s="13">
        <f t="shared" si="4"/>
        <v>542039339</v>
      </c>
      <c r="AK48" s="13">
        <f t="shared" si="4"/>
        <v>542039339</v>
      </c>
      <c r="AL48" s="13">
        <f t="shared" si="4"/>
        <v>542039339</v>
      </c>
      <c r="AM48" s="13">
        <f t="shared" si="4"/>
        <v>480711064</v>
      </c>
      <c r="AN48" s="13">
        <f t="shared" si="4"/>
        <v>383509170</v>
      </c>
      <c r="AO48" s="13">
        <f t="shared" si="4"/>
        <v>383509170</v>
      </c>
      <c r="AP48" s="13">
        <f t="shared" si="4"/>
        <v>560704016</v>
      </c>
      <c r="AQ48" s="13">
        <f t="shared" si="4"/>
        <v>560704016</v>
      </c>
      <c r="AR48" s="13">
        <f t="shared" si="4"/>
        <v>554137127</v>
      </c>
      <c r="AS48" s="13">
        <f t="shared" si="4"/>
        <v>554137127</v>
      </c>
      <c r="AT48" s="13">
        <f t="shared" si="4"/>
        <v>554044215</v>
      </c>
      <c r="AU48" s="13">
        <f t="shared" si="4"/>
        <v>550993017</v>
      </c>
      <c r="AV48" s="13">
        <f t="shared" si="4"/>
        <v>550993017</v>
      </c>
      <c r="AW48" s="13">
        <f t="shared" si="4"/>
        <v>553862808</v>
      </c>
      <c r="AX48" s="13">
        <f t="shared" si="4"/>
        <v>553682808</v>
      </c>
      <c r="AY48" s="13">
        <f t="shared" si="4"/>
        <v>554017071</v>
      </c>
      <c r="AZ48" s="13">
        <f t="shared" si="4"/>
        <v>524968049</v>
      </c>
      <c r="BA48" s="13">
        <f t="shared" si="4"/>
        <v>400142072</v>
      </c>
      <c r="BB48" s="13">
        <f t="shared" si="4"/>
        <v>400142072</v>
      </c>
      <c r="BC48" s="13">
        <f t="shared" si="4"/>
        <v>502221494</v>
      </c>
      <c r="BD48" s="13">
        <f t="shared" si="4"/>
        <v>511796438</v>
      </c>
      <c r="BE48" s="13">
        <f t="shared" si="4"/>
        <v>511796438</v>
      </c>
      <c r="BF48" s="13">
        <f t="shared" si="4"/>
        <v>513447489</v>
      </c>
      <c r="BG48" s="13">
        <f t="shared" si="4"/>
        <v>513447489</v>
      </c>
      <c r="BH48" s="13">
        <f t="shared" si="4"/>
        <v>514186998</v>
      </c>
      <c r="BI48" s="13">
        <f t="shared" si="4"/>
        <v>499186998</v>
      </c>
      <c r="BJ48" s="13">
        <f t="shared" si="4"/>
        <v>499186998</v>
      </c>
      <c r="BK48" s="13">
        <f t="shared" si="4"/>
        <v>499186998</v>
      </c>
      <c r="BL48" s="13">
        <f t="shared" si="4"/>
        <v>476686865</v>
      </c>
      <c r="BM48" s="13">
        <f t="shared" si="4"/>
        <v>476686865</v>
      </c>
      <c r="BN48" s="13">
        <f t="shared" si="4"/>
        <v>439708851</v>
      </c>
      <c r="BO48" s="13">
        <f t="shared" ref="BO48:CT48" si="5">SUM(BO30:BO47)</f>
        <v>439708851</v>
      </c>
      <c r="BP48" s="13">
        <f t="shared" si="5"/>
        <v>484142190</v>
      </c>
      <c r="BQ48" s="13">
        <f t="shared" si="5"/>
        <v>464833607</v>
      </c>
      <c r="BR48" s="13">
        <f t="shared" si="5"/>
        <v>465805539</v>
      </c>
      <c r="BS48" s="13">
        <f t="shared" si="5"/>
        <v>465805539</v>
      </c>
      <c r="BT48" s="13">
        <f t="shared" si="5"/>
        <v>466123713</v>
      </c>
      <c r="BU48" s="13">
        <f t="shared" si="5"/>
        <v>466611123</v>
      </c>
      <c r="BV48" s="13">
        <f t="shared" si="5"/>
        <v>466611123</v>
      </c>
      <c r="BW48" s="13">
        <f t="shared" si="5"/>
        <v>466611123</v>
      </c>
      <c r="BX48" s="13">
        <f t="shared" si="5"/>
        <v>466611123</v>
      </c>
      <c r="BY48" s="13">
        <f t="shared" si="5"/>
        <v>466611123</v>
      </c>
      <c r="BZ48" s="13">
        <f t="shared" si="5"/>
        <v>466611123</v>
      </c>
      <c r="CA48" s="13">
        <f t="shared" si="5"/>
        <v>466611123</v>
      </c>
      <c r="CB48" s="13">
        <f t="shared" si="5"/>
        <v>466611123</v>
      </c>
    </row>
    <row r="49" spans="2:80" x14ac:dyDescent="0.3">
      <c r="B49" s="5" t="s">
        <v>106</v>
      </c>
    </row>
    <row r="50" spans="2:80" x14ac:dyDescent="0.3">
      <c r="C50" s="49" t="s">
        <v>90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49" t="s">
        <v>91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49" t="s">
        <v>92</v>
      </c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49" t="s">
        <v>93</v>
      </c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49" t="s">
        <v>94</v>
      </c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49" t="s">
        <v>95</v>
      </c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</row>
    <row r="51" spans="2:80" x14ac:dyDescent="0.3">
      <c r="B51" s="19" t="s">
        <v>96</v>
      </c>
      <c r="C51" s="30" t="s">
        <v>67</v>
      </c>
      <c r="D51" s="30" t="s">
        <v>68</v>
      </c>
      <c r="E51" s="30" t="s">
        <v>69</v>
      </c>
      <c r="F51" s="30" t="s">
        <v>70</v>
      </c>
      <c r="G51" s="30" t="s">
        <v>71</v>
      </c>
      <c r="H51" s="30" t="s">
        <v>72</v>
      </c>
      <c r="I51" s="30" t="s">
        <v>73</v>
      </c>
      <c r="J51" s="30" t="s">
        <v>74</v>
      </c>
      <c r="K51" s="30" t="s">
        <v>75</v>
      </c>
      <c r="L51" s="30" t="s">
        <v>76</v>
      </c>
      <c r="M51" s="30" t="s">
        <v>77</v>
      </c>
      <c r="N51" s="30" t="s">
        <v>78</v>
      </c>
      <c r="O51" s="30" t="s">
        <v>97</v>
      </c>
      <c r="P51" s="30" t="s">
        <v>67</v>
      </c>
      <c r="Q51" s="30" t="s">
        <v>68</v>
      </c>
      <c r="R51" s="30" t="s">
        <v>69</v>
      </c>
      <c r="S51" s="30" t="s">
        <v>70</v>
      </c>
      <c r="T51" s="30" t="s">
        <v>71</v>
      </c>
      <c r="U51" s="30" t="s">
        <v>72</v>
      </c>
      <c r="V51" s="30" t="s">
        <v>73</v>
      </c>
      <c r="W51" s="30" t="s">
        <v>74</v>
      </c>
      <c r="X51" s="30" t="s">
        <v>75</v>
      </c>
      <c r="Y51" s="30" t="s">
        <v>76</v>
      </c>
      <c r="Z51" s="30" t="s">
        <v>77</v>
      </c>
      <c r="AA51" s="30" t="s">
        <v>78</v>
      </c>
      <c r="AB51" s="30" t="s">
        <v>98</v>
      </c>
      <c r="AC51" s="30" t="s">
        <v>67</v>
      </c>
      <c r="AD51" s="30" t="s">
        <v>68</v>
      </c>
      <c r="AE51" s="30" t="s">
        <v>69</v>
      </c>
      <c r="AF51" s="30" t="s">
        <v>70</v>
      </c>
      <c r="AG51" s="30" t="s">
        <v>71</v>
      </c>
      <c r="AH51" s="30" t="s">
        <v>72</v>
      </c>
      <c r="AI51" s="30" t="s">
        <v>73</v>
      </c>
      <c r="AJ51" s="30" t="s">
        <v>74</v>
      </c>
      <c r="AK51" s="30" t="s">
        <v>75</v>
      </c>
      <c r="AL51" s="30" t="s">
        <v>76</v>
      </c>
      <c r="AM51" s="30" t="s">
        <v>77</v>
      </c>
      <c r="AN51" s="30" t="s">
        <v>78</v>
      </c>
      <c r="AO51" s="30" t="s">
        <v>99</v>
      </c>
      <c r="AP51" s="30" t="s">
        <v>67</v>
      </c>
      <c r="AQ51" s="30" t="s">
        <v>68</v>
      </c>
      <c r="AR51" s="30" t="s">
        <v>69</v>
      </c>
      <c r="AS51" s="30" t="s">
        <v>70</v>
      </c>
      <c r="AT51" s="30" t="s">
        <v>71</v>
      </c>
      <c r="AU51" s="30" t="s">
        <v>72</v>
      </c>
      <c r="AV51" s="30" t="s">
        <v>73</v>
      </c>
      <c r="AW51" s="30" t="s">
        <v>74</v>
      </c>
      <c r="AX51" s="30" t="s">
        <v>75</v>
      </c>
      <c r="AY51" s="30" t="s">
        <v>76</v>
      </c>
      <c r="AZ51" s="30" t="s">
        <v>77</v>
      </c>
      <c r="BA51" s="30" t="s">
        <v>78</v>
      </c>
      <c r="BB51" s="30" t="s">
        <v>100</v>
      </c>
      <c r="BC51" s="30" t="s">
        <v>67</v>
      </c>
      <c r="BD51" s="30" t="s">
        <v>68</v>
      </c>
      <c r="BE51" s="30" t="s">
        <v>69</v>
      </c>
      <c r="BF51" s="30" t="s">
        <v>70</v>
      </c>
      <c r="BG51" s="30" t="s">
        <v>71</v>
      </c>
      <c r="BH51" s="30" t="s">
        <v>72</v>
      </c>
      <c r="BI51" s="30" t="s">
        <v>73</v>
      </c>
      <c r="BJ51" s="30" t="s">
        <v>74</v>
      </c>
      <c r="BK51" s="30" t="s">
        <v>75</v>
      </c>
      <c r="BL51" s="30" t="s">
        <v>76</v>
      </c>
      <c r="BM51" s="30" t="s">
        <v>77</v>
      </c>
      <c r="BN51" s="30" t="s">
        <v>78</v>
      </c>
      <c r="BO51" s="30" t="s">
        <v>101</v>
      </c>
      <c r="BP51" s="30" t="s">
        <v>67</v>
      </c>
      <c r="BQ51" s="30" t="s">
        <v>68</v>
      </c>
      <c r="BR51" s="30" t="s">
        <v>69</v>
      </c>
      <c r="BS51" s="30" t="s">
        <v>70</v>
      </c>
      <c r="BT51" s="30" t="s">
        <v>71</v>
      </c>
      <c r="BU51" s="30" t="s">
        <v>72</v>
      </c>
      <c r="BV51" s="30" t="s">
        <v>73</v>
      </c>
      <c r="BW51" s="30" t="s">
        <v>74</v>
      </c>
      <c r="BX51" s="30" t="s">
        <v>75</v>
      </c>
      <c r="BY51" s="30" t="s">
        <v>76</v>
      </c>
      <c r="BZ51" s="30" t="s">
        <v>77</v>
      </c>
      <c r="CA51" s="30" t="s">
        <v>78</v>
      </c>
      <c r="CB51" s="30" t="s">
        <v>102</v>
      </c>
    </row>
    <row r="52" spans="2:80" x14ac:dyDescent="0.3">
      <c r="B52" s="7" t="s">
        <v>46</v>
      </c>
      <c r="C52" s="9">
        <v>0</v>
      </c>
      <c r="D52" s="9">
        <v>0</v>
      </c>
      <c r="E52" s="9">
        <v>7994378</v>
      </c>
      <c r="F52" s="9">
        <v>10551196</v>
      </c>
      <c r="G52" s="9">
        <v>12133475</v>
      </c>
      <c r="H52" s="9">
        <v>13900836</v>
      </c>
      <c r="I52" s="9">
        <v>15529648</v>
      </c>
      <c r="J52" s="9">
        <v>18642687</v>
      </c>
      <c r="K52" s="9">
        <v>20263881</v>
      </c>
      <c r="L52" s="9">
        <v>21873659</v>
      </c>
      <c r="M52" s="9">
        <v>22125896</v>
      </c>
      <c r="N52" s="9">
        <v>26495705</v>
      </c>
      <c r="O52" s="31">
        <v>26495705</v>
      </c>
      <c r="P52" s="9">
        <v>0</v>
      </c>
      <c r="Q52" s="9">
        <v>2975466</v>
      </c>
      <c r="R52" s="9">
        <v>6036009</v>
      </c>
      <c r="S52" s="9">
        <v>7664334</v>
      </c>
      <c r="T52" s="9">
        <v>7756822</v>
      </c>
      <c r="U52" s="9">
        <v>10134446</v>
      </c>
      <c r="V52" s="9">
        <v>10176894</v>
      </c>
      <c r="W52" s="9">
        <v>10261274</v>
      </c>
      <c r="X52" s="9">
        <v>10365403</v>
      </c>
      <c r="Y52" s="9">
        <v>10441208</v>
      </c>
      <c r="Z52" s="9">
        <v>10657419</v>
      </c>
      <c r="AA52" s="9">
        <v>11364777</v>
      </c>
      <c r="AB52" s="31">
        <v>11364777</v>
      </c>
      <c r="AC52" s="9">
        <v>0</v>
      </c>
      <c r="AD52" s="9">
        <v>0</v>
      </c>
      <c r="AE52" s="9">
        <v>114234</v>
      </c>
      <c r="AF52" s="9">
        <v>147709</v>
      </c>
      <c r="AG52" s="9">
        <v>159046</v>
      </c>
      <c r="AH52" s="9">
        <v>295667</v>
      </c>
      <c r="AI52" s="9">
        <v>389978</v>
      </c>
      <c r="AJ52" s="9">
        <v>1558507</v>
      </c>
      <c r="AK52" s="9">
        <v>1630507</v>
      </c>
      <c r="AL52" s="9">
        <v>1760374</v>
      </c>
      <c r="AM52" s="9">
        <v>1835548</v>
      </c>
      <c r="AN52" s="9">
        <v>2230114</v>
      </c>
      <c r="AO52" s="31">
        <v>2230114</v>
      </c>
      <c r="AP52" s="9">
        <v>0</v>
      </c>
      <c r="AQ52" s="9">
        <v>0</v>
      </c>
      <c r="AR52" s="9">
        <v>32400</v>
      </c>
      <c r="AS52" s="9">
        <v>125776</v>
      </c>
      <c r="AT52" s="9">
        <v>162026</v>
      </c>
      <c r="AU52" s="9">
        <v>240908</v>
      </c>
      <c r="AV52" s="9">
        <v>382321</v>
      </c>
      <c r="AW52" s="9">
        <v>420077</v>
      </c>
      <c r="AX52" s="9">
        <v>584298</v>
      </c>
      <c r="AY52" s="9">
        <v>593996</v>
      </c>
      <c r="AZ52" s="9">
        <v>846439</v>
      </c>
      <c r="BA52" s="9">
        <v>1765056</v>
      </c>
      <c r="BB52" s="31">
        <v>1765056</v>
      </c>
      <c r="BC52" s="9">
        <v>0</v>
      </c>
      <c r="BD52" s="9">
        <v>61271</v>
      </c>
      <c r="BE52" s="9">
        <v>185603</v>
      </c>
      <c r="BF52" s="9">
        <v>372200</v>
      </c>
      <c r="BG52" s="9">
        <v>416377</v>
      </c>
      <c r="BH52" s="9">
        <v>504460</v>
      </c>
      <c r="BI52" s="9">
        <v>639487</v>
      </c>
      <c r="BJ52" s="9">
        <v>752002</v>
      </c>
      <c r="BK52" s="9">
        <v>889001</v>
      </c>
      <c r="BL52" s="9">
        <v>1218727</v>
      </c>
      <c r="BM52" s="9">
        <v>1379310</v>
      </c>
      <c r="BN52" s="9">
        <v>1735258</v>
      </c>
      <c r="BO52" s="31">
        <v>1735258</v>
      </c>
      <c r="BP52" s="9">
        <v>0</v>
      </c>
      <c r="BQ52" s="9">
        <v>0</v>
      </c>
      <c r="BR52" s="9">
        <v>50564</v>
      </c>
      <c r="BS52" s="9">
        <v>218816</v>
      </c>
      <c r="BT52" s="9">
        <v>272078</v>
      </c>
      <c r="BU52" s="9">
        <v>533936</v>
      </c>
      <c r="BV52" s="9">
        <v>570336</v>
      </c>
      <c r="BW52" s="9">
        <v>570336</v>
      </c>
      <c r="BX52" s="9">
        <v>570336</v>
      </c>
      <c r="BY52" s="9">
        <v>570336</v>
      </c>
      <c r="BZ52" s="9">
        <v>570336</v>
      </c>
      <c r="CA52" s="9">
        <v>570336</v>
      </c>
      <c r="CB52" s="31">
        <v>570336</v>
      </c>
    </row>
    <row r="53" spans="2:80" x14ac:dyDescent="0.3">
      <c r="B53" s="7" t="s">
        <v>47</v>
      </c>
      <c r="C53" s="9">
        <v>0</v>
      </c>
      <c r="D53" s="9">
        <v>1171112</v>
      </c>
      <c r="E53" s="9">
        <v>3667892</v>
      </c>
      <c r="F53" s="9">
        <v>5314023</v>
      </c>
      <c r="G53" s="9">
        <v>8604717</v>
      </c>
      <c r="H53" s="9">
        <v>11006803</v>
      </c>
      <c r="I53" s="9">
        <v>13224909</v>
      </c>
      <c r="J53" s="9">
        <v>15113085</v>
      </c>
      <c r="K53" s="9">
        <v>17014277</v>
      </c>
      <c r="L53" s="9">
        <v>19236566</v>
      </c>
      <c r="M53" s="9">
        <v>22205739</v>
      </c>
      <c r="N53" s="9">
        <v>30104947</v>
      </c>
      <c r="O53" s="31">
        <v>30104947</v>
      </c>
      <c r="P53" s="9">
        <v>0</v>
      </c>
      <c r="Q53" s="9">
        <v>0</v>
      </c>
      <c r="R53" s="9">
        <v>2366484</v>
      </c>
      <c r="S53" s="9">
        <v>5158610</v>
      </c>
      <c r="T53" s="9">
        <v>7079239</v>
      </c>
      <c r="U53" s="9">
        <v>8514428</v>
      </c>
      <c r="V53" s="9">
        <v>9937938</v>
      </c>
      <c r="W53" s="9">
        <v>11990153</v>
      </c>
      <c r="X53" s="9">
        <v>13116671</v>
      </c>
      <c r="Y53" s="9">
        <v>15670225</v>
      </c>
      <c r="Z53" s="9">
        <v>17891169</v>
      </c>
      <c r="AA53" s="9">
        <v>23304021</v>
      </c>
      <c r="AB53" s="31">
        <v>23304021</v>
      </c>
      <c r="AC53" s="9">
        <v>0</v>
      </c>
      <c r="AD53" s="9">
        <v>0</v>
      </c>
      <c r="AE53" s="9">
        <v>1192161</v>
      </c>
      <c r="AF53" s="9">
        <v>4184056</v>
      </c>
      <c r="AG53" s="9">
        <v>6014243</v>
      </c>
      <c r="AH53" s="9">
        <v>7137880</v>
      </c>
      <c r="AI53" s="9">
        <v>8238265</v>
      </c>
      <c r="AJ53" s="9">
        <v>10234742</v>
      </c>
      <c r="AK53" s="9">
        <v>11434458</v>
      </c>
      <c r="AL53" s="9">
        <v>13391619</v>
      </c>
      <c r="AM53" s="9">
        <v>15333330</v>
      </c>
      <c r="AN53" s="9">
        <v>22175040</v>
      </c>
      <c r="AO53" s="31">
        <v>22175040</v>
      </c>
      <c r="AP53" s="9">
        <v>0</v>
      </c>
      <c r="AQ53" s="9">
        <v>0</v>
      </c>
      <c r="AR53" s="9">
        <v>1896344</v>
      </c>
      <c r="AS53" s="9">
        <v>5284077</v>
      </c>
      <c r="AT53" s="9">
        <v>6718012</v>
      </c>
      <c r="AU53" s="9">
        <v>8302842</v>
      </c>
      <c r="AV53" s="9">
        <v>10078805</v>
      </c>
      <c r="AW53" s="9">
        <v>11841574</v>
      </c>
      <c r="AX53" s="9">
        <v>13163862</v>
      </c>
      <c r="AY53" s="9">
        <v>14887407</v>
      </c>
      <c r="AZ53" s="9">
        <v>17657413</v>
      </c>
      <c r="BA53" s="9">
        <v>27847917</v>
      </c>
      <c r="BB53" s="31">
        <v>27847917</v>
      </c>
      <c r="BC53" s="9">
        <v>0</v>
      </c>
      <c r="BD53" s="9">
        <v>635911</v>
      </c>
      <c r="BE53" s="9">
        <v>3406026</v>
      </c>
      <c r="BF53" s="9">
        <v>5878280</v>
      </c>
      <c r="BG53" s="9">
        <v>8481842</v>
      </c>
      <c r="BH53" s="9">
        <v>10476165</v>
      </c>
      <c r="BI53" s="9">
        <v>14140348</v>
      </c>
      <c r="BJ53" s="9">
        <v>17057587</v>
      </c>
      <c r="BK53" s="9">
        <v>18562941</v>
      </c>
      <c r="BL53" s="9">
        <v>23005910</v>
      </c>
      <c r="BM53" s="9">
        <v>25814003</v>
      </c>
      <c r="BN53" s="9">
        <v>30105231</v>
      </c>
      <c r="BO53" s="31">
        <v>30105231</v>
      </c>
      <c r="BP53" s="9">
        <v>0</v>
      </c>
      <c r="BQ53" s="9">
        <v>583993</v>
      </c>
      <c r="BR53" s="9">
        <v>2544487</v>
      </c>
      <c r="BS53" s="9">
        <v>5629990</v>
      </c>
      <c r="BT53" s="9">
        <v>7573202</v>
      </c>
      <c r="BU53" s="9">
        <v>9508871</v>
      </c>
      <c r="BV53" s="9">
        <v>13263584</v>
      </c>
      <c r="BW53" s="9">
        <v>13263584</v>
      </c>
      <c r="BX53" s="9">
        <v>13263584</v>
      </c>
      <c r="BY53" s="9">
        <v>13263584</v>
      </c>
      <c r="BZ53" s="9">
        <v>13263584</v>
      </c>
      <c r="CA53" s="9">
        <v>13263584</v>
      </c>
      <c r="CB53" s="31">
        <v>13263584</v>
      </c>
    </row>
    <row r="54" spans="2:80" x14ac:dyDescent="0.3">
      <c r="B54" s="7" t="s">
        <v>48</v>
      </c>
      <c r="C54" s="9">
        <v>0</v>
      </c>
      <c r="D54" s="9">
        <v>648709</v>
      </c>
      <c r="E54" s="9">
        <v>1904633</v>
      </c>
      <c r="F54" s="9">
        <v>2846329</v>
      </c>
      <c r="G54" s="9">
        <v>3270884</v>
      </c>
      <c r="H54" s="9">
        <v>4160146</v>
      </c>
      <c r="I54" s="9">
        <v>4815337</v>
      </c>
      <c r="J54" s="9">
        <v>5273290</v>
      </c>
      <c r="K54" s="9">
        <v>5549560</v>
      </c>
      <c r="L54" s="9">
        <v>6236240</v>
      </c>
      <c r="M54" s="9">
        <v>6513380</v>
      </c>
      <c r="N54" s="9">
        <v>7993792</v>
      </c>
      <c r="O54" s="31">
        <v>7993792</v>
      </c>
      <c r="P54" s="9">
        <v>0</v>
      </c>
      <c r="Q54" s="9">
        <v>632251</v>
      </c>
      <c r="R54" s="9">
        <v>1548551</v>
      </c>
      <c r="S54" s="9">
        <v>2026879</v>
      </c>
      <c r="T54" s="9">
        <v>2399749</v>
      </c>
      <c r="U54" s="9">
        <v>2698831</v>
      </c>
      <c r="V54" s="9">
        <v>3287207</v>
      </c>
      <c r="W54" s="9">
        <v>3824985</v>
      </c>
      <c r="X54" s="9">
        <v>4204982</v>
      </c>
      <c r="Y54" s="9">
        <v>4737024</v>
      </c>
      <c r="Z54" s="9">
        <v>5184329</v>
      </c>
      <c r="AA54" s="9">
        <v>6402442</v>
      </c>
      <c r="AB54" s="31">
        <v>6402442</v>
      </c>
      <c r="AC54" s="9">
        <v>0</v>
      </c>
      <c r="AD54" s="9">
        <v>88825</v>
      </c>
      <c r="AE54" s="9">
        <v>1327201</v>
      </c>
      <c r="AF54" s="9">
        <v>1567274</v>
      </c>
      <c r="AG54" s="9">
        <v>1930397</v>
      </c>
      <c r="AH54" s="9">
        <v>2366313</v>
      </c>
      <c r="AI54" s="9">
        <v>2511593</v>
      </c>
      <c r="AJ54" s="9">
        <v>2832413</v>
      </c>
      <c r="AK54" s="9">
        <v>3220149</v>
      </c>
      <c r="AL54" s="9">
        <v>3379453</v>
      </c>
      <c r="AM54" s="9">
        <v>4297388</v>
      </c>
      <c r="AN54" s="9">
        <v>5234499</v>
      </c>
      <c r="AO54" s="31">
        <v>5234499</v>
      </c>
      <c r="AP54" s="9">
        <v>0</v>
      </c>
      <c r="AQ54" s="9">
        <v>79682</v>
      </c>
      <c r="AR54" s="9">
        <v>767871</v>
      </c>
      <c r="AS54" s="9">
        <v>942590</v>
      </c>
      <c r="AT54" s="9">
        <v>1175782</v>
      </c>
      <c r="AU54" s="9">
        <v>1342359</v>
      </c>
      <c r="AV54" s="9">
        <v>1467982</v>
      </c>
      <c r="AW54" s="9">
        <v>1523593</v>
      </c>
      <c r="AX54" s="9">
        <v>1893335</v>
      </c>
      <c r="AY54" s="9">
        <v>2491130</v>
      </c>
      <c r="AZ54" s="9">
        <v>3050438</v>
      </c>
      <c r="BA54" s="9">
        <v>4379123</v>
      </c>
      <c r="BB54" s="31">
        <v>4379123</v>
      </c>
      <c r="BC54" s="9">
        <v>0</v>
      </c>
      <c r="BD54" s="9">
        <v>1989837</v>
      </c>
      <c r="BE54" s="9">
        <v>3034140</v>
      </c>
      <c r="BF54" s="9">
        <v>5235453</v>
      </c>
      <c r="BG54" s="9">
        <v>5730916</v>
      </c>
      <c r="BH54" s="9">
        <v>6001353</v>
      </c>
      <c r="BI54" s="9">
        <v>6911060</v>
      </c>
      <c r="BJ54" s="9">
        <v>7598644</v>
      </c>
      <c r="BK54" s="9">
        <v>7724711</v>
      </c>
      <c r="BL54" s="9">
        <v>8136264</v>
      </c>
      <c r="BM54" s="9">
        <v>8334765</v>
      </c>
      <c r="BN54" s="9">
        <v>9523479</v>
      </c>
      <c r="BO54" s="31">
        <v>9523479</v>
      </c>
      <c r="BP54" s="9">
        <v>0</v>
      </c>
      <c r="BQ54" s="9">
        <v>6644</v>
      </c>
      <c r="BR54" s="9">
        <v>965714</v>
      </c>
      <c r="BS54" s="9">
        <v>1538483</v>
      </c>
      <c r="BT54" s="9">
        <v>1829965</v>
      </c>
      <c r="BU54" s="9">
        <v>1854335</v>
      </c>
      <c r="BV54" s="9">
        <v>1907383</v>
      </c>
      <c r="BW54" s="9">
        <v>1907383</v>
      </c>
      <c r="BX54" s="9">
        <v>1907383</v>
      </c>
      <c r="BY54" s="9">
        <v>1907383</v>
      </c>
      <c r="BZ54" s="9">
        <v>1907383</v>
      </c>
      <c r="CA54" s="9">
        <v>1907383</v>
      </c>
      <c r="CB54" s="31">
        <v>1907383</v>
      </c>
    </row>
    <row r="55" spans="2:80" x14ac:dyDescent="0.3">
      <c r="B55" s="7" t="s">
        <v>49</v>
      </c>
      <c r="C55" s="9">
        <v>0</v>
      </c>
      <c r="D55" s="9">
        <v>0</v>
      </c>
      <c r="E55" s="9">
        <v>497211</v>
      </c>
      <c r="F55" s="9">
        <v>740154</v>
      </c>
      <c r="G55" s="9">
        <v>1022513</v>
      </c>
      <c r="H55" s="9">
        <v>1350754</v>
      </c>
      <c r="I55" s="9">
        <v>1501503</v>
      </c>
      <c r="J55" s="9">
        <v>2076982</v>
      </c>
      <c r="K55" s="9">
        <v>2565253</v>
      </c>
      <c r="L55" s="9">
        <v>3107965</v>
      </c>
      <c r="M55" s="9">
        <v>3314790</v>
      </c>
      <c r="N55" s="9">
        <v>4616710</v>
      </c>
      <c r="O55" s="31">
        <v>4616710</v>
      </c>
      <c r="P55" s="9">
        <v>0</v>
      </c>
      <c r="Q55" s="9">
        <v>126651</v>
      </c>
      <c r="R55" s="9">
        <v>635432</v>
      </c>
      <c r="S55" s="9">
        <v>988815</v>
      </c>
      <c r="T55" s="9">
        <v>1291329</v>
      </c>
      <c r="U55" s="9">
        <v>1736798</v>
      </c>
      <c r="V55" s="9">
        <v>2011354</v>
      </c>
      <c r="W55" s="9">
        <v>2365717</v>
      </c>
      <c r="X55" s="9">
        <v>2608012</v>
      </c>
      <c r="Y55" s="9">
        <v>3139535</v>
      </c>
      <c r="Z55" s="9">
        <v>3632940</v>
      </c>
      <c r="AA55" s="9">
        <v>4718148</v>
      </c>
      <c r="AB55" s="31">
        <v>4718148</v>
      </c>
      <c r="AC55" s="9">
        <v>0</v>
      </c>
      <c r="AD55" s="9">
        <v>496962</v>
      </c>
      <c r="AE55" s="9">
        <v>1030597</v>
      </c>
      <c r="AF55" s="9">
        <v>1804022</v>
      </c>
      <c r="AG55" s="9">
        <v>2547494</v>
      </c>
      <c r="AH55" s="9">
        <v>3426246</v>
      </c>
      <c r="AI55" s="9">
        <v>3822719</v>
      </c>
      <c r="AJ55" s="9">
        <v>3998759</v>
      </c>
      <c r="AK55" s="9">
        <v>4365688</v>
      </c>
      <c r="AL55" s="9">
        <v>4761521</v>
      </c>
      <c r="AM55" s="9">
        <v>5296665</v>
      </c>
      <c r="AN55" s="9">
        <v>6454032</v>
      </c>
      <c r="AO55" s="31">
        <v>6454032</v>
      </c>
      <c r="AP55" s="9">
        <v>0</v>
      </c>
      <c r="AQ55" s="9">
        <v>278257</v>
      </c>
      <c r="AR55" s="9">
        <v>1460212</v>
      </c>
      <c r="AS55" s="9">
        <v>2026544</v>
      </c>
      <c r="AT55" s="9">
        <v>3382381</v>
      </c>
      <c r="AU55" s="9">
        <v>4039571</v>
      </c>
      <c r="AV55" s="9">
        <v>4959096</v>
      </c>
      <c r="AW55" s="9">
        <v>5548527</v>
      </c>
      <c r="AX55" s="9">
        <v>5996201</v>
      </c>
      <c r="AY55" s="9">
        <v>6527522</v>
      </c>
      <c r="AZ55" s="9">
        <v>6840220</v>
      </c>
      <c r="BA55" s="9">
        <v>8453266</v>
      </c>
      <c r="BB55" s="31">
        <v>8453266</v>
      </c>
      <c r="BC55" s="9">
        <v>0</v>
      </c>
      <c r="BD55" s="9">
        <v>0</v>
      </c>
      <c r="BE55" s="9">
        <v>832107</v>
      </c>
      <c r="BF55" s="9">
        <v>2407636</v>
      </c>
      <c r="BG55" s="9">
        <v>3152766</v>
      </c>
      <c r="BH55" s="9">
        <v>4520387</v>
      </c>
      <c r="BI55" s="9">
        <v>5101149</v>
      </c>
      <c r="BJ55" s="9">
        <v>5717562</v>
      </c>
      <c r="BK55" s="9">
        <v>6966959</v>
      </c>
      <c r="BL55" s="9">
        <v>7736069</v>
      </c>
      <c r="BM55" s="9">
        <v>8038749</v>
      </c>
      <c r="BN55" s="9">
        <v>9624301</v>
      </c>
      <c r="BO55" s="31">
        <v>9624301</v>
      </c>
      <c r="BP55" s="9">
        <v>0</v>
      </c>
      <c r="BQ55" s="9">
        <v>541326</v>
      </c>
      <c r="BR55" s="9">
        <v>1114843</v>
      </c>
      <c r="BS55" s="9">
        <v>1568397</v>
      </c>
      <c r="BT55" s="9">
        <v>1765260</v>
      </c>
      <c r="BU55" s="9">
        <v>2038550</v>
      </c>
      <c r="BV55" s="9">
        <v>2625513</v>
      </c>
      <c r="BW55" s="9">
        <v>2625513</v>
      </c>
      <c r="BX55" s="9">
        <v>2625513</v>
      </c>
      <c r="BY55" s="9">
        <v>2625513</v>
      </c>
      <c r="BZ55" s="9">
        <v>2625513</v>
      </c>
      <c r="CA55" s="9">
        <v>2625513</v>
      </c>
      <c r="CB55" s="31">
        <v>2625513</v>
      </c>
    </row>
    <row r="56" spans="2:80" x14ac:dyDescent="0.3">
      <c r="B56" s="7" t="s">
        <v>50</v>
      </c>
      <c r="C56" s="9">
        <v>0</v>
      </c>
      <c r="D56" s="9">
        <v>0</v>
      </c>
      <c r="E56" s="9">
        <v>2499943</v>
      </c>
      <c r="F56" s="9">
        <v>4318568</v>
      </c>
      <c r="G56" s="9">
        <v>6254394</v>
      </c>
      <c r="H56" s="9">
        <v>7571113</v>
      </c>
      <c r="I56" s="9">
        <v>9318475</v>
      </c>
      <c r="J56" s="9">
        <v>10622011</v>
      </c>
      <c r="K56" s="9">
        <v>13964985</v>
      </c>
      <c r="L56" s="9">
        <v>17055081</v>
      </c>
      <c r="M56" s="9">
        <v>20311131</v>
      </c>
      <c r="N56" s="9">
        <v>28537218</v>
      </c>
      <c r="O56" s="31">
        <v>28537218</v>
      </c>
      <c r="P56" s="9">
        <v>0</v>
      </c>
      <c r="Q56" s="9">
        <v>1414267</v>
      </c>
      <c r="R56" s="9">
        <v>4639959</v>
      </c>
      <c r="S56" s="9">
        <v>7376742</v>
      </c>
      <c r="T56" s="9">
        <v>10550320</v>
      </c>
      <c r="U56" s="9">
        <v>12910552</v>
      </c>
      <c r="V56" s="9">
        <v>15794687</v>
      </c>
      <c r="W56" s="9">
        <v>17723139</v>
      </c>
      <c r="X56" s="9">
        <v>20220438</v>
      </c>
      <c r="Y56" s="9">
        <v>21146568</v>
      </c>
      <c r="Z56" s="9">
        <v>22839279</v>
      </c>
      <c r="AA56" s="9">
        <v>25969095</v>
      </c>
      <c r="AB56" s="31">
        <v>25969095</v>
      </c>
      <c r="AC56" s="9">
        <v>0</v>
      </c>
      <c r="AD56" s="9">
        <v>0</v>
      </c>
      <c r="AE56" s="9">
        <v>0</v>
      </c>
      <c r="AF56" s="9">
        <v>435496</v>
      </c>
      <c r="AG56" s="9">
        <v>2956834</v>
      </c>
      <c r="AH56" s="9">
        <v>5460342</v>
      </c>
      <c r="AI56" s="9">
        <v>6519105</v>
      </c>
      <c r="AJ56" s="9">
        <v>7562017</v>
      </c>
      <c r="AK56" s="9">
        <v>9330345</v>
      </c>
      <c r="AL56" s="9">
        <v>9842292</v>
      </c>
      <c r="AM56" s="9">
        <v>11078284</v>
      </c>
      <c r="AN56" s="9">
        <v>15477344</v>
      </c>
      <c r="AO56" s="31">
        <v>15477344</v>
      </c>
      <c r="AP56" s="9">
        <v>0</v>
      </c>
      <c r="AQ56" s="9">
        <v>505204</v>
      </c>
      <c r="AR56" s="9">
        <v>1560549</v>
      </c>
      <c r="AS56" s="9">
        <v>4524550</v>
      </c>
      <c r="AT56" s="9">
        <v>5126981</v>
      </c>
      <c r="AU56" s="9">
        <v>6324528</v>
      </c>
      <c r="AV56" s="9">
        <v>7622316</v>
      </c>
      <c r="AW56" s="9">
        <v>9015359</v>
      </c>
      <c r="AX56" s="9">
        <v>9506130</v>
      </c>
      <c r="AY56" s="9">
        <v>10219951</v>
      </c>
      <c r="AZ56" s="9">
        <v>10681549</v>
      </c>
      <c r="BA56" s="9">
        <v>14221677</v>
      </c>
      <c r="BB56" s="31">
        <v>14221677</v>
      </c>
      <c r="BC56" s="9">
        <v>0</v>
      </c>
      <c r="BD56" s="9">
        <v>15654</v>
      </c>
      <c r="BE56" s="9">
        <v>1221981</v>
      </c>
      <c r="BF56" s="9">
        <v>2116938</v>
      </c>
      <c r="BG56" s="9">
        <v>3506670</v>
      </c>
      <c r="BH56" s="9">
        <v>4366354</v>
      </c>
      <c r="BI56" s="9">
        <v>5588134</v>
      </c>
      <c r="BJ56" s="9">
        <v>6509294</v>
      </c>
      <c r="BK56" s="9">
        <v>7740606</v>
      </c>
      <c r="BL56" s="9">
        <v>8339500</v>
      </c>
      <c r="BM56" s="9">
        <v>9479079</v>
      </c>
      <c r="BN56" s="9">
        <v>12476694</v>
      </c>
      <c r="BO56" s="31">
        <v>12476694</v>
      </c>
      <c r="BP56" s="9">
        <v>0</v>
      </c>
      <c r="BQ56" s="9">
        <v>0</v>
      </c>
      <c r="BR56" s="9">
        <v>2568599</v>
      </c>
      <c r="BS56" s="9">
        <v>3613313</v>
      </c>
      <c r="BT56" s="9">
        <v>4523333</v>
      </c>
      <c r="BU56" s="9">
        <v>5273951</v>
      </c>
      <c r="BV56" s="9">
        <v>5934564</v>
      </c>
      <c r="BW56" s="9">
        <v>5934564</v>
      </c>
      <c r="BX56" s="9">
        <v>5934564</v>
      </c>
      <c r="BY56" s="9">
        <v>5934564</v>
      </c>
      <c r="BZ56" s="9">
        <v>5934564</v>
      </c>
      <c r="CA56" s="9">
        <v>5934564</v>
      </c>
      <c r="CB56" s="31">
        <v>5934564</v>
      </c>
    </row>
    <row r="57" spans="2:80" x14ac:dyDescent="0.3">
      <c r="B57" s="7" t="s">
        <v>51</v>
      </c>
      <c r="C57" s="9">
        <v>0</v>
      </c>
      <c r="D57" s="9">
        <v>87292</v>
      </c>
      <c r="E57" s="9">
        <v>793272</v>
      </c>
      <c r="F57" s="9">
        <v>1556347</v>
      </c>
      <c r="G57" s="9">
        <v>2282348</v>
      </c>
      <c r="H57" s="9">
        <v>2893680</v>
      </c>
      <c r="I57" s="9">
        <v>3632116</v>
      </c>
      <c r="J57" s="9">
        <v>4938968</v>
      </c>
      <c r="K57" s="9">
        <v>6587924</v>
      </c>
      <c r="L57" s="9">
        <v>8294837</v>
      </c>
      <c r="M57" s="9">
        <v>10043378</v>
      </c>
      <c r="N57" s="9">
        <v>15656119</v>
      </c>
      <c r="O57" s="31">
        <v>15656119</v>
      </c>
      <c r="P57" s="9">
        <v>0</v>
      </c>
      <c r="Q57" s="9">
        <v>86461</v>
      </c>
      <c r="R57" s="9">
        <v>1016727</v>
      </c>
      <c r="S57" s="9">
        <v>1570665</v>
      </c>
      <c r="T57" s="9">
        <v>2318130</v>
      </c>
      <c r="U57" s="9">
        <v>5012601</v>
      </c>
      <c r="V57" s="9">
        <v>5637478</v>
      </c>
      <c r="W57" s="9">
        <v>6210424</v>
      </c>
      <c r="X57" s="9">
        <v>7549082</v>
      </c>
      <c r="Y57" s="9">
        <v>8799496</v>
      </c>
      <c r="Z57" s="9">
        <v>10623552</v>
      </c>
      <c r="AA57" s="9">
        <v>17848435</v>
      </c>
      <c r="AB57" s="31">
        <v>17848435</v>
      </c>
      <c r="AC57" s="9">
        <v>0</v>
      </c>
      <c r="AD57" s="9">
        <v>0</v>
      </c>
      <c r="AE57" s="9">
        <v>2793263</v>
      </c>
      <c r="AF57" s="9">
        <v>4637349</v>
      </c>
      <c r="AG57" s="9">
        <v>6800955</v>
      </c>
      <c r="AH57" s="9">
        <v>9305411</v>
      </c>
      <c r="AI57" s="9">
        <v>11608286</v>
      </c>
      <c r="AJ57" s="9">
        <v>13058895</v>
      </c>
      <c r="AK57" s="9">
        <v>15088967</v>
      </c>
      <c r="AL57" s="9">
        <v>15598733</v>
      </c>
      <c r="AM57" s="9">
        <v>17616851</v>
      </c>
      <c r="AN57" s="9">
        <v>22912881</v>
      </c>
      <c r="AO57" s="31">
        <v>22912881</v>
      </c>
      <c r="AP57" s="9">
        <v>0</v>
      </c>
      <c r="AQ57" s="9">
        <v>91311</v>
      </c>
      <c r="AR57" s="9">
        <v>1543145</v>
      </c>
      <c r="AS57" s="9">
        <v>1812150</v>
      </c>
      <c r="AT57" s="9">
        <v>2866970</v>
      </c>
      <c r="AU57" s="9">
        <v>3198071</v>
      </c>
      <c r="AV57" s="9">
        <v>3550823</v>
      </c>
      <c r="AW57" s="9">
        <v>3879032</v>
      </c>
      <c r="AX57" s="9">
        <v>4224296</v>
      </c>
      <c r="AY57" s="9">
        <v>4965161</v>
      </c>
      <c r="AZ57" s="9">
        <v>5497696</v>
      </c>
      <c r="BA57" s="9">
        <v>8070989</v>
      </c>
      <c r="BB57" s="31">
        <v>8070989</v>
      </c>
      <c r="BC57" s="9">
        <v>0</v>
      </c>
      <c r="BD57" s="9">
        <v>0</v>
      </c>
      <c r="BE57" s="9">
        <v>782785</v>
      </c>
      <c r="BF57" s="9">
        <v>3521623</v>
      </c>
      <c r="BG57" s="9">
        <v>5392411</v>
      </c>
      <c r="BH57" s="9">
        <v>7003168</v>
      </c>
      <c r="BI57" s="9">
        <v>8794735</v>
      </c>
      <c r="BJ57" s="9">
        <v>9187072</v>
      </c>
      <c r="BK57" s="9">
        <v>9707571</v>
      </c>
      <c r="BL57" s="9">
        <v>11078757</v>
      </c>
      <c r="BM57" s="9">
        <v>11801848</v>
      </c>
      <c r="BN57" s="9">
        <v>13299232</v>
      </c>
      <c r="BO57" s="31">
        <v>13299232</v>
      </c>
      <c r="BP57" s="9">
        <v>0</v>
      </c>
      <c r="BQ57" s="9">
        <v>0</v>
      </c>
      <c r="BR57" s="9">
        <v>671571</v>
      </c>
      <c r="BS57" s="9">
        <v>947529</v>
      </c>
      <c r="BT57" s="9">
        <v>1212531</v>
      </c>
      <c r="BU57" s="9">
        <v>3074751</v>
      </c>
      <c r="BV57" s="9">
        <v>4493515</v>
      </c>
      <c r="BW57" s="9">
        <v>4493515</v>
      </c>
      <c r="BX57" s="9">
        <v>4493515</v>
      </c>
      <c r="BY57" s="9">
        <v>4493515</v>
      </c>
      <c r="BZ57" s="9">
        <v>4493515</v>
      </c>
      <c r="CA57" s="9">
        <v>4493515</v>
      </c>
      <c r="CB57" s="31">
        <v>4493515</v>
      </c>
    </row>
    <row r="58" spans="2:80" x14ac:dyDescent="0.3">
      <c r="B58" s="7" t="s">
        <v>52</v>
      </c>
      <c r="C58" s="9">
        <v>0</v>
      </c>
      <c r="D58" s="9">
        <v>145074</v>
      </c>
      <c r="E58" s="9">
        <v>1058879</v>
      </c>
      <c r="F58" s="9">
        <v>2039763</v>
      </c>
      <c r="G58" s="9">
        <v>2953907</v>
      </c>
      <c r="H58" s="9">
        <v>3778375</v>
      </c>
      <c r="I58" s="9">
        <v>4390330</v>
      </c>
      <c r="J58" s="9">
        <v>4988153</v>
      </c>
      <c r="K58" s="9">
        <v>6096186</v>
      </c>
      <c r="L58" s="9">
        <v>7319317</v>
      </c>
      <c r="M58" s="9">
        <v>8210062</v>
      </c>
      <c r="N58" s="9">
        <v>11722421</v>
      </c>
      <c r="O58" s="31">
        <v>11722421</v>
      </c>
      <c r="P58" s="9">
        <v>0</v>
      </c>
      <c r="Q58" s="9">
        <v>0</v>
      </c>
      <c r="R58" s="9">
        <v>2242990</v>
      </c>
      <c r="S58" s="9">
        <v>2913694</v>
      </c>
      <c r="T58" s="9">
        <v>3475710</v>
      </c>
      <c r="U58" s="9">
        <v>4563044</v>
      </c>
      <c r="V58" s="9">
        <v>5503722</v>
      </c>
      <c r="W58" s="9">
        <v>5982265</v>
      </c>
      <c r="X58" s="9">
        <v>7324275</v>
      </c>
      <c r="Y58" s="9">
        <v>8473012</v>
      </c>
      <c r="Z58" s="9">
        <v>9570289</v>
      </c>
      <c r="AA58" s="9">
        <v>12299225</v>
      </c>
      <c r="AB58" s="31">
        <v>12299225</v>
      </c>
      <c r="AC58" s="9">
        <v>0</v>
      </c>
      <c r="AD58" s="9">
        <v>184861</v>
      </c>
      <c r="AE58" s="9">
        <v>2550024</v>
      </c>
      <c r="AF58" s="9">
        <v>3335427</v>
      </c>
      <c r="AG58" s="9">
        <v>3954033</v>
      </c>
      <c r="AH58" s="9">
        <v>5137967</v>
      </c>
      <c r="AI58" s="9">
        <v>6515902</v>
      </c>
      <c r="AJ58" s="9">
        <v>9869211</v>
      </c>
      <c r="AK58" s="9">
        <v>11282350</v>
      </c>
      <c r="AL58" s="9">
        <v>14137020</v>
      </c>
      <c r="AM58" s="9">
        <v>16461275</v>
      </c>
      <c r="AN58" s="9">
        <v>20087982</v>
      </c>
      <c r="AO58" s="31">
        <v>20087982</v>
      </c>
      <c r="AP58" s="9">
        <v>0</v>
      </c>
      <c r="AQ58" s="9">
        <v>0</v>
      </c>
      <c r="AR58" s="9">
        <v>2563142</v>
      </c>
      <c r="AS58" s="9">
        <v>4937234</v>
      </c>
      <c r="AT58" s="9">
        <v>6455476</v>
      </c>
      <c r="AU58" s="9">
        <v>7874182</v>
      </c>
      <c r="AV58" s="9">
        <v>9537233</v>
      </c>
      <c r="AW58" s="9">
        <v>10627246</v>
      </c>
      <c r="AX58" s="9">
        <v>11749652</v>
      </c>
      <c r="AY58" s="9">
        <v>12736164</v>
      </c>
      <c r="AZ58" s="9">
        <v>14354886</v>
      </c>
      <c r="BA58" s="9">
        <v>18304746</v>
      </c>
      <c r="BB58" s="31">
        <v>18304746</v>
      </c>
      <c r="BC58" s="9">
        <v>0</v>
      </c>
      <c r="BD58" s="9">
        <v>0</v>
      </c>
      <c r="BE58" s="9">
        <v>537044</v>
      </c>
      <c r="BF58" s="9">
        <v>4624082</v>
      </c>
      <c r="BG58" s="9">
        <v>6663050</v>
      </c>
      <c r="BH58" s="9">
        <v>7372366</v>
      </c>
      <c r="BI58" s="9">
        <v>8896020</v>
      </c>
      <c r="BJ58" s="9">
        <v>10874834</v>
      </c>
      <c r="BK58" s="9">
        <v>11736753</v>
      </c>
      <c r="BL58" s="9">
        <v>13073544</v>
      </c>
      <c r="BM58" s="9">
        <v>14605811</v>
      </c>
      <c r="BN58" s="9">
        <v>17113896</v>
      </c>
      <c r="BO58" s="31">
        <v>17113896</v>
      </c>
      <c r="BP58" s="9">
        <v>0</v>
      </c>
      <c r="BQ58" s="9">
        <v>1214485</v>
      </c>
      <c r="BR58" s="9">
        <v>1998311</v>
      </c>
      <c r="BS58" s="9">
        <v>3214367</v>
      </c>
      <c r="BT58" s="9">
        <v>6370940</v>
      </c>
      <c r="BU58" s="9">
        <v>7328213</v>
      </c>
      <c r="BV58" s="9">
        <v>8973928</v>
      </c>
      <c r="BW58" s="9">
        <v>8973928</v>
      </c>
      <c r="BX58" s="9">
        <v>8973928</v>
      </c>
      <c r="BY58" s="9">
        <v>8973928</v>
      </c>
      <c r="BZ58" s="9">
        <v>8973928</v>
      </c>
      <c r="CA58" s="9">
        <v>8973928</v>
      </c>
      <c r="CB58" s="31">
        <v>8973928</v>
      </c>
    </row>
    <row r="59" spans="2:80" x14ac:dyDescent="0.3">
      <c r="B59" s="7" t="s">
        <v>53</v>
      </c>
      <c r="C59" s="9">
        <v>0</v>
      </c>
      <c r="D59" s="9">
        <v>2423327</v>
      </c>
      <c r="E59" s="9">
        <v>6782736</v>
      </c>
      <c r="F59" s="9">
        <v>15251668</v>
      </c>
      <c r="G59" s="9">
        <v>16748720</v>
      </c>
      <c r="H59" s="9">
        <v>18415304</v>
      </c>
      <c r="I59" s="9">
        <v>21339663</v>
      </c>
      <c r="J59" s="9">
        <v>23380013</v>
      </c>
      <c r="K59" s="9">
        <v>25383530</v>
      </c>
      <c r="L59" s="9">
        <v>31015191</v>
      </c>
      <c r="M59" s="9">
        <v>34807108</v>
      </c>
      <c r="N59" s="9">
        <v>41047311</v>
      </c>
      <c r="O59" s="31">
        <v>41047311</v>
      </c>
      <c r="P59" s="9">
        <v>0</v>
      </c>
      <c r="Q59" s="9">
        <v>1954310</v>
      </c>
      <c r="R59" s="9">
        <v>5437246</v>
      </c>
      <c r="S59" s="9">
        <v>9074366</v>
      </c>
      <c r="T59" s="9">
        <v>11564328</v>
      </c>
      <c r="U59" s="9">
        <v>13457755</v>
      </c>
      <c r="V59" s="9">
        <v>16052872</v>
      </c>
      <c r="W59" s="9">
        <v>18591175</v>
      </c>
      <c r="X59" s="9">
        <v>21394133</v>
      </c>
      <c r="Y59" s="9">
        <v>24741056</v>
      </c>
      <c r="Z59" s="9">
        <v>27312162</v>
      </c>
      <c r="AA59" s="9">
        <v>34255389</v>
      </c>
      <c r="AB59" s="31">
        <v>34255389</v>
      </c>
      <c r="AC59" s="9">
        <v>0</v>
      </c>
      <c r="AD59" s="9">
        <v>1073661</v>
      </c>
      <c r="AE59" s="9">
        <v>6482752</v>
      </c>
      <c r="AF59" s="9">
        <v>11046429</v>
      </c>
      <c r="AG59" s="9">
        <v>14774156</v>
      </c>
      <c r="AH59" s="9">
        <v>17141463</v>
      </c>
      <c r="AI59" s="9">
        <v>19176471</v>
      </c>
      <c r="AJ59" s="9">
        <v>22477672</v>
      </c>
      <c r="AK59" s="9">
        <v>24576750</v>
      </c>
      <c r="AL59" s="9">
        <v>28005939</v>
      </c>
      <c r="AM59" s="9">
        <v>30917189</v>
      </c>
      <c r="AN59" s="9">
        <v>43303337</v>
      </c>
      <c r="AO59" s="31">
        <v>43303337</v>
      </c>
      <c r="AP59" s="9">
        <v>0</v>
      </c>
      <c r="AQ59" s="9">
        <v>817026</v>
      </c>
      <c r="AR59" s="9">
        <v>7211294</v>
      </c>
      <c r="AS59" s="9">
        <v>10269338</v>
      </c>
      <c r="AT59" s="9">
        <v>13142557</v>
      </c>
      <c r="AU59" s="9">
        <v>16019024</v>
      </c>
      <c r="AV59" s="9">
        <v>17552175</v>
      </c>
      <c r="AW59" s="9">
        <v>20571069</v>
      </c>
      <c r="AX59" s="9">
        <v>23134677</v>
      </c>
      <c r="AY59" s="9">
        <v>25245587</v>
      </c>
      <c r="AZ59" s="9">
        <v>28348834</v>
      </c>
      <c r="BA59" s="9">
        <v>35664606</v>
      </c>
      <c r="BB59" s="31">
        <v>35664606</v>
      </c>
      <c r="BC59" s="9">
        <v>0</v>
      </c>
      <c r="BD59" s="9">
        <v>0</v>
      </c>
      <c r="BE59" s="9">
        <v>6894377</v>
      </c>
      <c r="BF59" s="9">
        <v>14671995</v>
      </c>
      <c r="BG59" s="9">
        <v>18775808</v>
      </c>
      <c r="BH59" s="9">
        <v>23907660</v>
      </c>
      <c r="BI59" s="9">
        <v>29396833</v>
      </c>
      <c r="BJ59" s="9">
        <v>33730948</v>
      </c>
      <c r="BK59" s="9">
        <v>37737801</v>
      </c>
      <c r="BL59" s="9">
        <v>42029251</v>
      </c>
      <c r="BM59" s="9">
        <v>45580303</v>
      </c>
      <c r="BN59" s="9">
        <v>55696292</v>
      </c>
      <c r="BO59" s="31">
        <v>55696292</v>
      </c>
      <c r="BP59" s="9">
        <v>0</v>
      </c>
      <c r="BQ59" s="9">
        <v>575811</v>
      </c>
      <c r="BR59" s="9">
        <v>5659243</v>
      </c>
      <c r="BS59" s="9">
        <v>9197930</v>
      </c>
      <c r="BT59" s="9">
        <v>13083654</v>
      </c>
      <c r="BU59" s="9">
        <v>16463966</v>
      </c>
      <c r="BV59" s="9">
        <v>18166057</v>
      </c>
      <c r="BW59" s="9">
        <v>18166057</v>
      </c>
      <c r="BX59" s="9">
        <v>18166057</v>
      </c>
      <c r="BY59" s="9">
        <v>18166057</v>
      </c>
      <c r="BZ59" s="9">
        <v>18166057</v>
      </c>
      <c r="CA59" s="9">
        <v>18166057</v>
      </c>
      <c r="CB59" s="31">
        <v>18166057</v>
      </c>
    </row>
    <row r="60" spans="2:80" x14ac:dyDescent="0.3">
      <c r="B60" s="7" t="s">
        <v>54</v>
      </c>
      <c r="C60" s="9">
        <v>0</v>
      </c>
      <c r="D60" s="9">
        <v>0</v>
      </c>
      <c r="E60" s="9">
        <v>9171371</v>
      </c>
      <c r="F60" s="9">
        <v>20167605</v>
      </c>
      <c r="G60" s="9">
        <v>26768507</v>
      </c>
      <c r="H60" s="9">
        <v>34468225</v>
      </c>
      <c r="I60" s="9">
        <v>41087061</v>
      </c>
      <c r="J60" s="9">
        <v>49548059</v>
      </c>
      <c r="K60" s="9">
        <v>57425159</v>
      </c>
      <c r="L60" s="9">
        <v>66050722</v>
      </c>
      <c r="M60" s="9">
        <v>74504640</v>
      </c>
      <c r="N60" s="9">
        <v>93248356</v>
      </c>
      <c r="O60" s="31">
        <v>93248356</v>
      </c>
      <c r="P60" s="9">
        <v>0</v>
      </c>
      <c r="Q60" s="9">
        <v>20</v>
      </c>
      <c r="R60" s="9">
        <v>7814847</v>
      </c>
      <c r="S60" s="9">
        <v>14488934</v>
      </c>
      <c r="T60" s="9">
        <v>20550387</v>
      </c>
      <c r="U60" s="9">
        <v>25905467</v>
      </c>
      <c r="V60" s="9">
        <v>31180285</v>
      </c>
      <c r="W60" s="9">
        <v>35454583</v>
      </c>
      <c r="X60" s="9">
        <v>43316522</v>
      </c>
      <c r="Y60" s="9">
        <v>50229978</v>
      </c>
      <c r="Z60" s="9">
        <v>60493790</v>
      </c>
      <c r="AA60" s="9">
        <v>91204741</v>
      </c>
      <c r="AB60" s="31">
        <v>91204741</v>
      </c>
      <c r="AC60" s="9">
        <v>0</v>
      </c>
      <c r="AD60" s="9">
        <v>0</v>
      </c>
      <c r="AE60" s="9">
        <v>7743578</v>
      </c>
      <c r="AF60" s="9">
        <v>12770777</v>
      </c>
      <c r="AG60" s="9">
        <v>22600345</v>
      </c>
      <c r="AH60" s="9">
        <v>29409607</v>
      </c>
      <c r="AI60" s="9">
        <v>34855974</v>
      </c>
      <c r="AJ60" s="9">
        <v>38558182</v>
      </c>
      <c r="AK60" s="9">
        <v>39905006</v>
      </c>
      <c r="AL60" s="9">
        <v>43685225</v>
      </c>
      <c r="AM60" s="9">
        <v>48485518</v>
      </c>
      <c r="AN60" s="9">
        <v>69805257</v>
      </c>
      <c r="AO60" s="31">
        <v>69805257</v>
      </c>
      <c r="AP60" s="9">
        <v>0</v>
      </c>
      <c r="AQ60" s="9">
        <v>0</v>
      </c>
      <c r="AR60" s="9">
        <v>5802062</v>
      </c>
      <c r="AS60" s="9">
        <v>26606325</v>
      </c>
      <c r="AT60" s="9">
        <v>37830174</v>
      </c>
      <c r="AU60" s="9">
        <v>47455810</v>
      </c>
      <c r="AV60" s="9">
        <v>52375257</v>
      </c>
      <c r="AW60" s="9">
        <v>56860092</v>
      </c>
      <c r="AX60" s="9">
        <v>60181952</v>
      </c>
      <c r="AY60" s="9">
        <v>63436734</v>
      </c>
      <c r="AZ60" s="9">
        <v>69842295</v>
      </c>
      <c r="BA60" s="9">
        <v>84329419</v>
      </c>
      <c r="BB60" s="31">
        <v>84329419</v>
      </c>
      <c r="BC60" s="9">
        <v>0</v>
      </c>
      <c r="BD60" s="9">
        <v>0</v>
      </c>
      <c r="BE60" s="9">
        <v>12132484</v>
      </c>
      <c r="BF60" s="9">
        <v>17263226</v>
      </c>
      <c r="BG60" s="9">
        <v>25244869</v>
      </c>
      <c r="BH60" s="9">
        <v>31340839</v>
      </c>
      <c r="BI60" s="9">
        <v>39240658</v>
      </c>
      <c r="BJ60" s="9">
        <v>41627865</v>
      </c>
      <c r="BK60" s="9">
        <v>45007011</v>
      </c>
      <c r="BL60" s="9">
        <v>56559786</v>
      </c>
      <c r="BM60" s="9">
        <v>61325912</v>
      </c>
      <c r="BN60" s="9">
        <v>79219999</v>
      </c>
      <c r="BO60" s="31">
        <v>79219999</v>
      </c>
      <c r="BP60" s="9">
        <v>0</v>
      </c>
      <c r="BQ60" s="9">
        <v>8700230</v>
      </c>
      <c r="BR60" s="9">
        <v>16017382</v>
      </c>
      <c r="BS60" s="9">
        <v>19225220</v>
      </c>
      <c r="BT60" s="9">
        <v>23499085</v>
      </c>
      <c r="BU60" s="9">
        <v>28587732</v>
      </c>
      <c r="BV60" s="9">
        <v>32956485</v>
      </c>
      <c r="BW60" s="9">
        <v>32956485</v>
      </c>
      <c r="BX60" s="9">
        <v>32956485</v>
      </c>
      <c r="BY60" s="9">
        <v>32956485</v>
      </c>
      <c r="BZ60" s="9">
        <v>32956485</v>
      </c>
      <c r="CA60" s="9">
        <v>32956485</v>
      </c>
      <c r="CB60" s="31">
        <v>32956485</v>
      </c>
    </row>
    <row r="61" spans="2:80" x14ac:dyDescent="0.3">
      <c r="B61" s="7" t="s">
        <v>55</v>
      </c>
      <c r="C61" s="9">
        <v>1000</v>
      </c>
      <c r="D61" s="9">
        <v>99098</v>
      </c>
      <c r="E61" s="9">
        <v>415702</v>
      </c>
      <c r="F61" s="9">
        <v>1181604</v>
      </c>
      <c r="G61" s="9">
        <v>2061999</v>
      </c>
      <c r="H61" s="9">
        <v>2518382</v>
      </c>
      <c r="I61" s="9">
        <v>3449968</v>
      </c>
      <c r="J61" s="9">
        <v>3878692</v>
      </c>
      <c r="K61" s="9">
        <v>6374836</v>
      </c>
      <c r="L61" s="9">
        <v>6949560</v>
      </c>
      <c r="M61" s="9">
        <v>7815000</v>
      </c>
      <c r="N61" s="9">
        <v>9473969</v>
      </c>
      <c r="O61" s="31">
        <v>9473969</v>
      </c>
      <c r="P61" s="9">
        <v>0</v>
      </c>
      <c r="Q61" s="9">
        <v>577978</v>
      </c>
      <c r="R61" s="9">
        <v>1236819</v>
      </c>
      <c r="S61" s="9">
        <v>1977797</v>
      </c>
      <c r="T61" s="9">
        <v>2357232</v>
      </c>
      <c r="U61" s="9">
        <v>2969508</v>
      </c>
      <c r="V61" s="9">
        <v>3318916</v>
      </c>
      <c r="W61" s="9">
        <v>3995498</v>
      </c>
      <c r="X61" s="9">
        <v>4545865</v>
      </c>
      <c r="Y61" s="9">
        <v>4876192</v>
      </c>
      <c r="Z61" s="9">
        <v>5746022</v>
      </c>
      <c r="AA61" s="9">
        <v>6861203</v>
      </c>
      <c r="AB61" s="31">
        <v>6861203</v>
      </c>
      <c r="AC61" s="9">
        <v>0</v>
      </c>
      <c r="AD61" s="9">
        <v>492390</v>
      </c>
      <c r="AE61" s="9">
        <v>1774370</v>
      </c>
      <c r="AF61" s="9">
        <v>2626789</v>
      </c>
      <c r="AG61" s="9">
        <v>3586562</v>
      </c>
      <c r="AH61" s="9">
        <v>4109229</v>
      </c>
      <c r="AI61" s="9">
        <v>4791193</v>
      </c>
      <c r="AJ61" s="9">
        <v>4985805</v>
      </c>
      <c r="AK61" s="9">
        <v>5467268</v>
      </c>
      <c r="AL61" s="9">
        <v>5861823</v>
      </c>
      <c r="AM61" s="9">
        <v>6425422</v>
      </c>
      <c r="AN61" s="9">
        <v>8992823</v>
      </c>
      <c r="AO61" s="31">
        <v>8992823</v>
      </c>
      <c r="AP61" s="9">
        <v>0</v>
      </c>
      <c r="AQ61" s="9">
        <v>276844</v>
      </c>
      <c r="AR61" s="9">
        <v>1164884</v>
      </c>
      <c r="AS61" s="9">
        <v>1445217</v>
      </c>
      <c r="AT61" s="9">
        <v>1635928</v>
      </c>
      <c r="AU61" s="9">
        <v>1791794</v>
      </c>
      <c r="AV61" s="9">
        <v>1875060</v>
      </c>
      <c r="AW61" s="9">
        <v>2301121</v>
      </c>
      <c r="AX61" s="9">
        <v>2703028</v>
      </c>
      <c r="AY61" s="9">
        <v>3355875</v>
      </c>
      <c r="AZ61" s="9">
        <v>4056976</v>
      </c>
      <c r="BA61" s="9">
        <v>5186229</v>
      </c>
      <c r="BB61" s="31">
        <v>5186229</v>
      </c>
      <c r="BC61" s="9">
        <v>0</v>
      </c>
      <c r="BD61" s="9">
        <v>454298</v>
      </c>
      <c r="BE61" s="9">
        <v>1364864</v>
      </c>
      <c r="BF61" s="9">
        <v>2152908</v>
      </c>
      <c r="BG61" s="9">
        <v>3067456</v>
      </c>
      <c r="BH61" s="9">
        <v>3591831</v>
      </c>
      <c r="BI61" s="9">
        <v>4024502</v>
      </c>
      <c r="BJ61" s="9">
        <v>4758598</v>
      </c>
      <c r="BK61" s="9">
        <v>6018242</v>
      </c>
      <c r="BL61" s="9">
        <v>6553969</v>
      </c>
      <c r="BM61" s="9">
        <v>7179799</v>
      </c>
      <c r="BN61" s="9">
        <v>8275294</v>
      </c>
      <c r="BO61" s="31">
        <v>8275294</v>
      </c>
      <c r="BP61" s="9">
        <v>204442</v>
      </c>
      <c r="BQ61" s="9">
        <v>1444145</v>
      </c>
      <c r="BR61" s="9">
        <v>3179839</v>
      </c>
      <c r="BS61" s="9">
        <v>3866613</v>
      </c>
      <c r="BT61" s="9">
        <v>4135039</v>
      </c>
      <c r="BU61" s="9">
        <v>4729235</v>
      </c>
      <c r="BV61" s="9">
        <v>5630349</v>
      </c>
      <c r="BW61" s="9">
        <v>5630349</v>
      </c>
      <c r="BX61" s="9">
        <v>5630349</v>
      </c>
      <c r="BY61" s="9">
        <v>5630349</v>
      </c>
      <c r="BZ61" s="9">
        <v>5630349</v>
      </c>
      <c r="CA61" s="9">
        <v>5630349</v>
      </c>
      <c r="CB61" s="31">
        <v>5630349</v>
      </c>
    </row>
    <row r="62" spans="2:80" x14ac:dyDescent="0.3">
      <c r="B62" s="7" t="s">
        <v>56</v>
      </c>
      <c r="C62" s="9">
        <v>230063</v>
      </c>
      <c r="D62" s="9">
        <v>2679421</v>
      </c>
      <c r="E62" s="9">
        <v>4420753</v>
      </c>
      <c r="F62" s="9">
        <v>5625485</v>
      </c>
      <c r="G62" s="9">
        <v>8547030</v>
      </c>
      <c r="H62" s="9">
        <v>10394218</v>
      </c>
      <c r="I62" s="9">
        <v>12259307</v>
      </c>
      <c r="J62" s="9">
        <v>13792087</v>
      </c>
      <c r="K62" s="9">
        <v>14859039</v>
      </c>
      <c r="L62" s="9">
        <v>15945761</v>
      </c>
      <c r="M62" s="9">
        <v>16872512</v>
      </c>
      <c r="N62" s="9">
        <v>21863438</v>
      </c>
      <c r="O62" s="31">
        <v>21863438</v>
      </c>
      <c r="P62" s="9">
        <v>0</v>
      </c>
      <c r="Q62" s="9">
        <v>922651</v>
      </c>
      <c r="R62" s="9">
        <v>2516611</v>
      </c>
      <c r="S62" s="9">
        <v>4242046</v>
      </c>
      <c r="T62" s="9">
        <v>5842634</v>
      </c>
      <c r="U62" s="9">
        <v>7701318</v>
      </c>
      <c r="V62" s="9">
        <v>8879148</v>
      </c>
      <c r="W62" s="9">
        <v>10547577</v>
      </c>
      <c r="X62" s="9">
        <v>11329010</v>
      </c>
      <c r="Y62" s="9">
        <v>12221517</v>
      </c>
      <c r="Z62" s="9">
        <v>14355204</v>
      </c>
      <c r="AA62" s="9">
        <v>17959345</v>
      </c>
      <c r="AB62" s="31">
        <v>17959345</v>
      </c>
      <c r="AC62" s="9">
        <v>0</v>
      </c>
      <c r="AD62" s="9">
        <v>139737</v>
      </c>
      <c r="AE62" s="9">
        <v>1933892</v>
      </c>
      <c r="AF62" s="9">
        <v>2566443</v>
      </c>
      <c r="AG62" s="9">
        <v>4806556</v>
      </c>
      <c r="AH62" s="9">
        <v>5940484</v>
      </c>
      <c r="AI62" s="9">
        <v>6960232</v>
      </c>
      <c r="AJ62" s="9">
        <v>8468944</v>
      </c>
      <c r="AK62" s="9">
        <v>9342327</v>
      </c>
      <c r="AL62" s="9">
        <v>10407121</v>
      </c>
      <c r="AM62" s="9">
        <v>10942387</v>
      </c>
      <c r="AN62" s="9">
        <v>14585744</v>
      </c>
      <c r="AO62" s="31">
        <v>14585744</v>
      </c>
      <c r="AP62" s="9">
        <v>0</v>
      </c>
      <c r="AQ62" s="9">
        <v>754193</v>
      </c>
      <c r="AR62" s="9">
        <v>3484262</v>
      </c>
      <c r="AS62" s="9">
        <v>4899524</v>
      </c>
      <c r="AT62" s="9">
        <v>6887240</v>
      </c>
      <c r="AU62" s="9">
        <v>7953500</v>
      </c>
      <c r="AV62" s="9">
        <v>9188042</v>
      </c>
      <c r="AW62" s="9">
        <v>10190994</v>
      </c>
      <c r="AX62" s="9">
        <v>15388503</v>
      </c>
      <c r="AY62" s="9">
        <v>17047081</v>
      </c>
      <c r="AZ62" s="9">
        <v>18216853</v>
      </c>
      <c r="BA62" s="9">
        <v>19302172</v>
      </c>
      <c r="BB62" s="31">
        <v>19302172</v>
      </c>
      <c r="BC62" s="9">
        <v>0</v>
      </c>
      <c r="BD62" s="9">
        <v>2936145</v>
      </c>
      <c r="BE62" s="9">
        <v>3840604</v>
      </c>
      <c r="BF62" s="9">
        <v>5205000</v>
      </c>
      <c r="BG62" s="9">
        <v>7087387</v>
      </c>
      <c r="BH62" s="9">
        <v>8761945</v>
      </c>
      <c r="BI62" s="9">
        <v>9648079</v>
      </c>
      <c r="BJ62" s="9">
        <v>11529540</v>
      </c>
      <c r="BK62" s="9">
        <v>12156420</v>
      </c>
      <c r="BL62" s="9">
        <v>13138327</v>
      </c>
      <c r="BM62" s="9">
        <v>14104360</v>
      </c>
      <c r="BN62" s="9">
        <v>16237313</v>
      </c>
      <c r="BO62" s="31">
        <v>16237313</v>
      </c>
      <c r="BP62" s="9">
        <v>0</v>
      </c>
      <c r="BQ62" s="9">
        <v>977735</v>
      </c>
      <c r="BR62" s="9">
        <v>1877551</v>
      </c>
      <c r="BS62" s="9">
        <v>2945279</v>
      </c>
      <c r="BT62" s="9">
        <v>3540409</v>
      </c>
      <c r="BU62" s="9">
        <v>4135011</v>
      </c>
      <c r="BV62" s="9">
        <v>4717171</v>
      </c>
      <c r="BW62" s="9">
        <v>4717171</v>
      </c>
      <c r="BX62" s="9">
        <v>4717171</v>
      </c>
      <c r="BY62" s="9">
        <v>4717171</v>
      </c>
      <c r="BZ62" s="9">
        <v>4717171</v>
      </c>
      <c r="CA62" s="9">
        <v>4717171</v>
      </c>
      <c r="CB62" s="31">
        <v>4717171</v>
      </c>
    </row>
    <row r="63" spans="2:80" x14ac:dyDescent="0.3">
      <c r="B63" s="7" t="s">
        <v>57</v>
      </c>
      <c r="C63" s="9">
        <v>0</v>
      </c>
      <c r="D63" s="9">
        <v>1238171</v>
      </c>
      <c r="E63" s="9">
        <v>2085725</v>
      </c>
      <c r="F63" s="9">
        <v>3009570</v>
      </c>
      <c r="G63" s="9">
        <v>4344721</v>
      </c>
      <c r="H63" s="9">
        <v>6181413</v>
      </c>
      <c r="I63" s="9">
        <v>7481590</v>
      </c>
      <c r="J63" s="9">
        <v>8923223</v>
      </c>
      <c r="K63" s="9">
        <v>9969186</v>
      </c>
      <c r="L63" s="9">
        <v>12042447</v>
      </c>
      <c r="M63" s="9">
        <v>14316036</v>
      </c>
      <c r="N63" s="9">
        <v>21083177</v>
      </c>
      <c r="O63" s="31">
        <v>21083177</v>
      </c>
      <c r="P63" s="9">
        <v>0</v>
      </c>
      <c r="Q63" s="9">
        <v>6363</v>
      </c>
      <c r="R63" s="9">
        <v>1963636</v>
      </c>
      <c r="S63" s="9">
        <v>3158663</v>
      </c>
      <c r="T63" s="9">
        <v>4714179</v>
      </c>
      <c r="U63" s="9">
        <v>6147258</v>
      </c>
      <c r="V63" s="9">
        <v>8342380</v>
      </c>
      <c r="W63" s="9">
        <v>9944276</v>
      </c>
      <c r="X63" s="9">
        <v>11786997</v>
      </c>
      <c r="Y63" s="9">
        <v>13492671</v>
      </c>
      <c r="Z63" s="9">
        <v>15132338</v>
      </c>
      <c r="AA63" s="9">
        <v>19561462</v>
      </c>
      <c r="AB63" s="31">
        <v>19561462</v>
      </c>
      <c r="AC63" s="9">
        <v>0</v>
      </c>
      <c r="AD63" s="9">
        <v>1480106</v>
      </c>
      <c r="AE63" s="9">
        <v>5251198</v>
      </c>
      <c r="AF63" s="9">
        <v>8060203</v>
      </c>
      <c r="AG63" s="9">
        <v>9695784</v>
      </c>
      <c r="AH63" s="9">
        <v>11307082</v>
      </c>
      <c r="AI63" s="9">
        <v>12618163</v>
      </c>
      <c r="AJ63" s="9">
        <v>14357900</v>
      </c>
      <c r="AK63" s="9">
        <v>16141680</v>
      </c>
      <c r="AL63" s="9">
        <v>17787508</v>
      </c>
      <c r="AM63" s="9">
        <v>19945314</v>
      </c>
      <c r="AN63" s="9">
        <v>22005775</v>
      </c>
      <c r="AO63" s="31">
        <v>22005775</v>
      </c>
      <c r="AP63" s="9">
        <v>0</v>
      </c>
      <c r="AQ63" s="9">
        <v>825335</v>
      </c>
      <c r="AR63" s="9">
        <v>3513803</v>
      </c>
      <c r="AS63" s="9">
        <v>4931246</v>
      </c>
      <c r="AT63" s="9">
        <v>7350891</v>
      </c>
      <c r="AU63" s="9">
        <v>8756033</v>
      </c>
      <c r="AV63" s="9">
        <v>9821988</v>
      </c>
      <c r="AW63" s="9">
        <v>11470086</v>
      </c>
      <c r="AX63" s="9">
        <v>12805474</v>
      </c>
      <c r="AY63" s="9">
        <v>14287326</v>
      </c>
      <c r="AZ63" s="9">
        <v>15540449</v>
      </c>
      <c r="BA63" s="9">
        <v>17950052</v>
      </c>
      <c r="BB63" s="31">
        <v>17950052</v>
      </c>
      <c r="BC63" s="9">
        <v>0</v>
      </c>
      <c r="BD63" s="9">
        <v>148253</v>
      </c>
      <c r="BE63" s="9">
        <v>3292884</v>
      </c>
      <c r="BF63" s="9">
        <v>4257053</v>
      </c>
      <c r="BG63" s="9">
        <v>7062054</v>
      </c>
      <c r="BH63" s="9">
        <v>9495200</v>
      </c>
      <c r="BI63" s="9">
        <v>11760026</v>
      </c>
      <c r="BJ63" s="9">
        <v>12709417</v>
      </c>
      <c r="BK63" s="9">
        <v>14311689</v>
      </c>
      <c r="BL63" s="9">
        <v>16551275</v>
      </c>
      <c r="BM63" s="9">
        <v>17380835</v>
      </c>
      <c r="BN63" s="9">
        <v>21033526</v>
      </c>
      <c r="BO63" s="31">
        <v>21033526</v>
      </c>
      <c r="BP63" s="9">
        <v>0</v>
      </c>
      <c r="BQ63" s="9">
        <v>3262841</v>
      </c>
      <c r="BR63" s="9">
        <v>4333743</v>
      </c>
      <c r="BS63" s="9">
        <v>5206806</v>
      </c>
      <c r="BT63" s="9">
        <v>5938083</v>
      </c>
      <c r="BU63" s="9">
        <v>6532085</v>
      </c>
      <c r="BV63" s="9">
        <v>6546839</v>
      </c>
      <c r="BW63" s="9">
        <v>6546839</v>
      </c>
      <c r="BX63" s="9">
        <v>6546839</v>
      </c>
      <c r="BY63" s="9">
        <v>6546839</v>
      </c>
      <c r="BZ63" s="9">
        <v>6546839</v>
      </c>
      <c r="CA63" s="9">
        <v>6546839</v>
      </c>
      <c r="CB63" s="31">
        <v>6546839</v>
      </c>
    </row>
    <row r="64" spans="2:80" x14ac:dyDescent="0.3">
      <c r="B64" s="7" t="s">
        <v>58</v>
      </c>
      <c r="C64" s="9">
        <v>0</v>
      </c>
      <c r="D64" s="9">
        <v>4834914</v>
      </c>
      <c r="E64" s="9">
        <v>10027885</v>
      </c>
      <c r="F64" s="9">
        <v>14307091</v>
      </c>
      <c r="G64" s="9">
        <v>17302838</v>
      </c>
      <c r="H64" s="9">
        <v>20318253</v>
      </c>
      <c r="I64" s="9">
        <v>22766035</v>
      </c>
      <c r="J64" s="9">
        <v>25035322</v>
      </c>
      <c r="K64" s="9">
        <v>27370520</v>
      </c>
      <c r="L64" s="9">
        <v>30894221</v>
      </c>
      <c r="M64" s="9">
        <v>35926399</v>
      </c>
      <c r="N64" s="9">
        <v>48359763</v>
      </c>
      <c r="O64" s="31">
        <v>48359763</v>
      </c>
      <c r="P64" s="9">
        <v>0</v>
      </c>
      <c r="Q64" s="9">
        <v>2425217</v>
      </c>
      <c r="R64" s="9">
        <v>4844399</v>
      </c>
      <c r="S64" s="9">
        <v>7548796</v>
      </c>
      <c r="T64" s="9">
        <v>10070273</v>
      </c>
      <c r="U64" s="9">
        <v>12655277</v>
      </c>
      <c r="V64" s="9">
        <v>14684386</v>
      </c>
      <c r="W64" s="9">
        <v>16547577</v>
      </c>
      <c r="X64" s="9">
        <v>18987268</v>
      </c>
      <c r="Y64" s="9">
        <v>21549530</v>
      </c>
      <c r="Z64" s="9">
        <v>25081996</v>
      </c>
      <c r="AA64" s="9">
        <v>33822165</v>
      </c>
      <c r="AB64" s="31">
        <v>33822165</v>
      </c>
      <c r="AC64" s="9">
        <v>0</v>
      </c>
      <c r="AD64" s="9">
        <v>3797947</v>
      </c>
      <c r="AE64" s="9">
        <v>8570607</v>
      </c>
      <c r="AF64" s="9">
        <v>11961525</v>
      </c>
      <c r="AG64" s="9">
        <v>14896476</v>
      </c>
      <c r="AH64" s="9">
        <v>18231034</v>
      </c>
      <c r="AI64" s="9">
        <v>21105467</v>
      </c>
      <c r="AJ64" s="9">
        <v>23824617</v>
      </c>
      <c r="AK64" s="9">
        <v>26541175</v>
      </c>
      <c r="AL64" s="9">
        <v>30297730</v>
      </c>
      <c r="AM64" s="9">
        <v>35491082</v>
      </c>
      <c r="AN64" s="9">
        <v>45062112</v>
      </c>
      <c r="AO64" s="31">
        <v>45062112</v>
      </c>
      <c r="AP64" s="9">
        <v>0</v>
      </c>
      <c r="AQ64" s="9">
        <v>4071546</v>
      </c>
      <c r="AR64" s="9">
        <v>15547930</v>
      </c>
      <c r="AS64" s="9">
        <v>21690403</v>
      </c>
      <c r="AT64" s="9">
        <v>26814291</v>
      </c>
      <c r="AU64" s="9">
        <v>29677069</v>
      </c>
      <c r="AV64" s="9">
        <v>32487288</v>
      </c>
      <c r="AW64" s="9">
        <v>37436410</v>
      </c>
      <c r="AX64" s="9">
        <v>41294199</v>
      </c>
      <c r="AY64" s="9">
        <v>45256372</v>
      </c>
      <c r="AZ64" s="9">
        <v>48500806</v>
      </c>
      <c r="BA64" s="9">
        <v>52001305</v>
      </c>
      <c r="BB64" s="31">
        <v>52001305</v>
      </c>
      <c r="BC64" s="9">
        <v>0</v>
      </c>
      <c r="BD64" s="9">
        <v>8442952</v>
      </c>
      <c r="BE64" s="9">
        <v>20658211</v>
      </c>
      <c r="BF64" s="9">
        <v>32489874</v>
      </c>
      <c r="BG64" s="9">
        <v>37533223</v>
      </c>
      <c r="BH64" s="9">
        <v>42967861</v>
      </c>
      <c r="BI64" s="9">
        <v>47201867</v>
      </c>
      <c r="BJ64" s="9">
        <v>50408552</v>
      </c>
      <c r="BK64" s="9">
        <v>53510003</v>
      </c>
      <c r="BL64" s="9">
        <v>58643949</v>
      </c>
      <c r="BM64" s="9">
        <v>60469590</v>
      </c>
      <c r="BN64" s="9">
        <v>69230852</v>
      </c>
      <c r="BO64" s="31">
        <v>69230852</v>
      </c>
      <c r="BP64" s="9">
        <v>0</v>
      </c>
      <c r="BQ64" s="9">
        <v>490004</v>
      </c>
      <c r="BR64" s="9">
        <v>9942759</v>
      </c>
      <c r="BS64" s="9">
        <v>12252174</v>
      </c>
      <c r="BT64" s="9">
        <v>13842342</v>
      </c>
      <c r="BU64" s="9">
        <v>15161466</v>
      </c>
      <c r="BV64" s="9">
        <v>17059750</v>
      </c>
      <c r="BW64" s="9">
        <v>17059750</v>
      </c>
      <c r="BX64" s="9">
        <v>17059750</v>
      </c>
      <c r="BY64" s="9">
        <v>17059750</v>
      </c>
      <c r="BZ64" s="9">
        <v>17059750</v>
      </c>
      <c r="CA64" s="9">
        <v>17059750</v>
      </c>
      <c r="CB64" s="31">
        <v>17059750</v>
      </c>
    </row>
    <row r="65" spans="2:80" x14ac:dyDescent="0.3">
      <c r="B65" s="7" t="s">
        <v>59</v>
      </c>
      <c r="C65" s="9">
        <v>0</v>
      </c>
      <c r="D65" s="9">
        <v>5181845</v>
      </c>
      <c r="E65" s="9">
        <v>9467699</v>
      </c>
      <c r="F65" s="9">
        <v>13974968</v>
      </c>
      <c r="G65" s="9">
        <v>15675271</v>
      </c>
      <c r="H65" s="9">
        <v>18612719</v>
      </c>
      <c r="I65" s="9">
        <v>21322167</v>
      </c>
      <c r="J65" s="9">
        <v>22659741</v>
      </c>
      <c r="K65" s="9">
        <v>25831691</v>
      </c>
      <c r="L65" s="9">
        <v>27773077</v>
      </c>
      <c r="M65" s="9">
        <v>29047530</v>
      </c>
      <c r="N65" s="9">
        <v>42716618</v>
      </c>
      <c r="O65" s="31">
        <v>42716618</v>
      </c>
      <c r="P65" s="9">
        <v>0</v>
      </c>
      <c r="Q65" s="9">
        <v>657362</v>
      </c>
      <c r="R65" s="9">
        <v>3183823</v>
      </c>
      <c r="S65" s="9">
        <v>4662253</v>
      </c>
      <c r="T65" s="9">
        <v>6155698</v>
      </c>
      <c r="U65" s="9">
        <v>7271485</v>
      </c>
      <c r="V65" s="9">
        <v>9031446</v>
      </c>
      <c r="W65" s="9">
        <v>12807723</v>
      </c>
      <c r="X65" s="9">
        <v>13742157</v>
      </c>
      <c r="Y65" s="9">
        <v>18463384</v>
      </c>
      <c r="Z65" s="9">
        <v>19497988</v>
      </c>
      <c r="AA65" s="9">
        <v>23859820</v>
      </c>
      <c r="AB65" s="31">
        <v>23859820</v>
      </c>
      <c r="AC65" s="9">
        <v>0</v>
      </c>
      <c r="AD65" s="9">
        <v>0</v>
      </c>
      <c r="AE65" s="9">
        <v>1759597</v>
      </c>
      <c r="AF65" s="9">
        <v>4820809</v>
      </c>
      <c r="AG65" s="9">
        <v>6439881</v>
      </c>
      <c r="AH65" s="9">
        <v>7225208</v>
      </c>
      <c r="AI65" s="9">
        <v>8273830</v>
      </c>
      <c r="AJ65" s="9">
        <v>9178235</v>
      </c>
      <c r="AK65" s="9">
        <v>10128666</v>
      </c>
      <c r="AL65" s="9">
        <v>11064936</v>
      </c>
      <c r="AM65" s="9">
        <v>12936677</v>
      </c>
      <c r="AN65" s="9">
        <v>19260006</v>
      </c>
      <c r="AO65" s="31">
        <v>19260006</v>
      </c>
      <c r="AP65" s="9">
        <v>0</v>
      </c>
      <c r="AQ65" s="9">
        <v>2285271</v>
      </c>
      <c r="AR65" s="9">
        <v>6353892</v>
      </c>
      <c r="AS65" s="9">
        <v>8808680</v>
      </c>
      <c r="AT65" s="9">
        <v>12513159</v>
      </c>
      <c r="AU65" s="9">
        <v>16159085</v>
      </c>
      <c r="AV65" s="9">
        <v>18987404</v>
      </c>
      <c r="AW65" s="9">
        <v>21464836</v>
      </c>
      <c r="AX65" s="9">
        <v>25519330</v>
      </c>
      <c r="AY65" s="9">
        <v>29523436</v>
      </c>
      <c r="AZ65" s="9">
        <v>31822430</v>
      </c>
      <c r="BA65" s="9">
        <v>36426224</v>
      </c>
      <c r="BB65" s="31">
        <v>36426224</v>
      </c>
      <c r="BC65" s="9">
        <v>0</v>
      </c>
      <c r="BD65" s="9">
        <v>621192</v>
      </c>
      <c r="BE65" s="9">
        <v>11552530</v>
      </c>
      <c r="BF65" s="9">
        <v>16193347</v>
      </c>
      <c r="BG65" s="9">
        <v>19223073</v>
      </c>
      <c r="BH65" s="9">
        <v>21735398</v>
      </c>
      <c r="BI65" s="9">
        <v>24324094</v>
      </c>
      <c r="BJ65" s="9">
        <v>26563836</v>
      </c>
      <c r="BK65" s="9">
        <v>29341068</v>
      </c>
      <c r="BL65" s="9">
        <v>31306890</v>
      </c>
      <c r="BM65" s="9">
        <v>32947404</v>
      </c>
      <c r="BN65" s="9">
        <v>38076572</v>
      </c>
      <c r="BO65" s="31">
        <v>38076572</v>
      </c>
      <c r="BP65" s="9">
        <v>0</v>
      </c>
      <c r="BQ65" s="9">
        <v>462550</v>
      </c>
      <c r="BR65" s="9">
        <v>2437039</v>
      </c>
      <c r="BS65" s="9">
        <v>4582281</v>
      </c>
      <c r="BT65" s="9">
        <v>5203766</v>
      </c>
      <c r="BU65" s="9">
        <v>7510694</v>
      </c>
      <c r="BV65" s="9">
        <v>8326344</v>
      </c>
      <c r="BW65" s="9">
        <v>8326344</v>
      </c>
      <c r="BX65" s="9">
        <v>8326344</v>
      </c>
      <c r="BY65" s="9">
        <v>8326344</v>
      </c>
      <c r="BZ65" s="9">
        <v>8326344</v>
      </c>
      <c r="CA65" s="9">
        <v>8326344</v>
      </c>
      <c r="CB65" s="31">
        <v>8326344</v>
      </c>
    </row>
    <row r="66" spans="2:80" x14ac:dyDescent="0.3">
      <c r="B66" s="7" t="s">
        <v>60</v>
      </c>
      <c r="C66" s="9">
        <v>0</v>
      </c>
      <c r="D66" s="9">
        <v>27435</v>
      </c>
      <c r="E66" s="9">
        <v>467777</v>
      </c>
      <c r="F66" s="9">
        <v>2743726</v>
      </c>
      <c r="G66" s="9">
        <v>3356489</v>
      </c>
      <c r="H66" s="9">
        <v>3709806</v>
      </c>
      <c r="I66" s="9">
        <v>4286840</v>
      </c>
      <c r="J66" s="9">
        <v>7579524</v>
      </c>
      <c r="K66" s="9">
        <v>8436086</v>
      </c>
      <c r="L66" s="9">
        <v>9134011</v>
      </c>
      <c r="M66" s="9">
        <v>10229876</v>
      </c>
      <c r="N66" s="9">
        <v>13903694</v>
      </c>
      <c r="O66" s="31">
        <v>13903694</v>
      </c>
      <c r="P66" s="9">
        <v>0</v>
      </c>
      <c r="Q66" s="9">
        <v>1010021</v>
      </c>
      <c r="R66" s="9">
        <v>2498540</v>
      </c>
      <c r="S66" s="9">
        <v>3851519</v>
      </c>
      <c r="T66" s="9">
        <v>6078244</v>
      </c>
      <c r="U66" s="9">
        <v>7635624</v>
      </c>
      <c r="V66" s="9">
        <v>8485040</v>
      </c>
      <c r="W66" s="9">
        <v>9268932</v>
      </c>
      <c r="X66" s="9">
        <v>13349886</v>
      </c>
      <c r="Y66" s="9">
        <v>14149755</v>
      </c>
      <c r="Z66" s="9">
        <v>14832392</v>
      </c>
      <c r="AA66" s="9">
        <v>17437828</v>
      </c>
      <c r="AB66" s="31">
        <v>17437828</v>
      </c>
      <c r="AC66" s="9">
        <v>0</v>
      </c>
      <c r="AD66" s="9">
        <v>0</v>
      </c>
      <c r="AE66" s="9">
        <v>2335653</v>
      </c>
      <c r="AF66" s="9">
        <v>2951583</v>
      </c>
      <c r="AG66" s="9">
        <v>3316903</v>
      </c>
      <c r="AH66" s="9">
        <v>3760714</v>
      </c>
      <c r="AI66" s="9">
        <v>4048159</v>
      </c>
      <c r="AJ66" s="9">
        <v>4559712</v>
      </c>
      <c r="AK66" s="9">
        <v>4919719</v>
      </c>
      <c r="AL66" s="9">
        <v>5407256</v>
      </c>
      <c r="AM66" s="9">
        <v>6200305</v>
      </c>
      <c r="AN66" s="9">
        <v>8838243</v>
      </c>
      <c r="AO66" s="31">
        <v>8838243</v>
      </c>
      <c r="AP66" s="9">
        <v>0</v>
      </c>
      <c r="AQ66" s="9">
        <v>7700</v>
      </c>
      <c r="AR66" s="9">
        <v>3038795</v>
      </c>
      <c r="AS66" s="9">
        <v>4226426</v>
      </c>
      <c r="AT66" s="9">
        <v>5050926</v>
      </c>
      <c r="AU66" s="9">
        <v>6055745</v>
      </c>
      <c r="AV66" s="9">
        <v>6653509</v>
      </c>
      <c r="AW66" s="9">
        <v>7461171</v>
      </c>
      <c r="AX66" s="9">
        <v>8300531</v>
      </c>
      <c r="AY66" s="9">
        <v>9566238</v>
      </c>
      <c r="AZ66" s="9">
        <v>10997168</v>
      </c>
      <c r="BA66" s="9">
        <v>12655537</v>
      </c>
      <c r="BB66" s="31">
        <v>12655537</v>
      </c>
      <c r="BC66" s="9">
        <v>0</v>
      </c>
      <c r="BD66" s="9">
        <v>0</v>
      </c>
      <c r="BE66" s="9">
        <v>193260</v>
      </c>
      <c r="BF66" s="9">
        <v>3443387</v>
      </c>
      <c r="BG66" s="9">
        <v>4404167</v>
      </c>
      <c r="BH66" s="9">
        <v>4709219</v>
      </c>
      <c r="BI66" s="9">
        <v>5193606</v>
      </c>
      <c r="BJ66" s="9">
        <v>5513800</v>
      </c>
      <c r="BK66" s="9">
        <v>6207367</v>
      </c>
      <c r="BL66" s="9">
        <v>6484370</v>
      </c>
      <c r="BM66" s="9">
        <v>6871735</v>
      </c>
      <c r="BN66" s="9">
        <v>8624945</v>
      </c>
      <c r="BO66" s="31">
        <v>8624945</v>
      </c>
      <c r="BP66" s="9">
        <v>0</v>
      </c>
      <c r="BQ66" s="9">
        <v>0</v>
      </c>
      <c r="BR66" s="9">
        <v>1168665</v>
      </c>
      <c r="BS66" s="9">
        <v>3012381</v>
      </c>
      <c r="BT66" s="9">
        <v>4000734</v>
      </c>
      <c r="BU66" s="9">
        <v>4646571</v>
      </c>
      <c r="BV66" s="9">
        <v>5357802</v>
      </c>
      <c r="BW66" s="9">
        <v>5357802</v>
      </c>
      <c r="BX66" s="9">
        <v>5357802</v>
      </c>
      <c r="BY66" s="9">
        <v>5357802</v>
      </c>
      <c r="BZ66" s="9">
        <v>5357802</v>
      </c>
      <c r="CA66" s="9">
        <v>5357802</v>
      </c>
      <c r="CB66" s="31">
        <v>5357802</v>
      </c>
    </row>
    <row r="67" spans="2:80" x14ac:dyDescent="0.3">
      <c r="B67" s="7" t="s">
        <v>61</v>
      </c>
      <c r="C67" s="9">
        <v>996487</v>
      </c>
      <c r="D67" s="9">
        <v>2043266</v>
      </c>
      <c r="E67" s="9">
        <v>4020536</v>
      </c>
      <c r="F67" s="9">
        <v>6275646</v>
      </c>
      <c r="G67" s="9">
        <v>7328899</v>
      </c>
      <c r="H67" s="9">
        <v>8194186</v>
      </c>
      <c r="I67" s="9">
        <v>9468982</v>
      </c>
      <c r="J67" s="9">
        <v>10913380</v>
      </c>
      <c r="K67" s="9">
        <v>12417213</v>
      </c>
      <c r="L67" s="9">
        <v>15385505</v>
      </c>
      <c r="M67" s="9">
        <v>17535907</v>
      </c>
      <c r="N67" s="9">
        <v>21836636</v>
      </c>
      <c r="O67" s="31">
        <v>21836636</v>
      </c>
      <c r="P67" s="9">
        <v>0</v>
      </c>
      <c r="Q67" s="9">
        <v>1898044</v>
      </c>
      <c r="R67" s="9">
        <v>3748855</v>
      </c>
      <c r="S67" s="9">
        <v>5981074</v>
      </c>
      <c r="T67" s="9">
        <v>7852783</v>
      </c>
      <c r="U67" s="9">
        <v>10182413</v>
      </c>
      <c r="V67" s="9">
        <v>12417380</v>
      </c>
      <c r="W67" s="9">
        <v>14929801</v>
      </c>
      <c r="X67" s="9">
        <v>16836563</v>
      </c>
      <c r="Y67" s="9">
        <v>18703431</v>
      </c>
      <c r="Z67" s="9">
        <v>20946638</v>
      </c>
      <c r="AA67" s="9">
        <v>24175752</v>
      </c>
      <c r="AB67" s="31">
        <v>24175752</v>
      </c>
      <c r="AC67" s="9">
        <v>0</v>
      </c>
      <c r="AD67" s="9">
        <v>439429</v>
      </c>
      <c r="AE67" s="9">
        <v>3653930</v>
      </c>
      <c r="AF67" s="9">
        <v>5425318</v>
      </c>
      <c r="AG67" s="9">
        <v>6826595</v>
      </c>
      <c r="AH67" s="9">
        <v>7934457</v>
      </c>
      <c r="AI67" s="9">
        <v>9042095</v>
      </c>
      <c r="AJ67" s="9">
        <v>10268165</v>
      </c>
      <c r="AK67" s="9">
        <v>11721084</v>
      </c>
      <c r="AL67" s="9">
        <v>12463765</v>
      </c>
      <c r="AM67" s="9">
        <v>15088975</v>
      </c>
      <c r="AN67" s="9">
        <v>18038656</v>
      </c>
      <c r="AO67" s="31">
        <v>18038656</v>
      </c>
      <c r="AP67" s="9">
        <v>0</v>
      </c>
      <c r="AQ67" s="9">
        <v>85525</v>
      </c>
      <c r="AR67" s="9">
        <v>3808215</v>
      </c>
      <c r="AS67" s="9">
        <v>6052141</v>
      </c>
      <c r="AT67" s="9">
        <v>7089017</v>
      </c>
      <c r="AU67" s="9">
        <v>7804598</v>
      </c>
      <c r="AV67" s="9">
        <v>8459942</v>
      </c>
      <c r="AW67" s="9">
        <v>9411168</v>
      </c>
      <c r="AX67" s="9">
        <v>10320441</v>
      </c>
      <c r="AY67" s="9">
        <v>11294472</v>
      </c>
      <c r="AZ67" s="9">
        <v>12568946</v>
      </c>
      <c r="BA67" s="9">
        <v>16578842</v>
      </c>
      <c r="BB67" s="31">
        <v>16578842</v>
      </c>
      <c r="BC67" s="9">
        <v>0</v>
      </c>
      <c r="BD67" s="9">
        <v>0</v>
      </c>
      <c r="BE67" s="9">
        <v>2933902</v>
      </c>
      <c r="BF67" s="9">
        <v>3530295</v>
      </c>
      <c r="BG67" s="9">
        <v>4379069</v>
      </c>
      <c r="BH67" s="9">
        <v>5099188</v>
      </c>
      <c r="BI67" s="9">
        <v>5972178</v>
      </c>
      <c r="BJ67" s="9">
        <v>7046961</v>
      </c>
      <c r="BK67" s="9">
        <v>8090235</v>
      </c>
      <c r="BL67" s="9">
        <v>9289014</v>
      </c>
      <c r="BM67" s="9">
        <v>10551843</v>
      </c>
      <c r="BN67" s="9">
        <v>13871396</v>
      </c>
      <c r="BO67" s="31">
        <v>13871396</v>
      </c>
      <c r="BP67" s="9">
        <v>0</v>
      </c>
      <c r="BQ67" s="9">
        <v>96726</v>
      </c>
      <c r="BR67" s="9">
        <v>1392605</v>
      </c>
      <c r="BS67" s="9">
        <v>2906542</v>
      </c>
      <c r="BT67" s="9">
        <v>3332831</v>
      </c>
      <c r="BU67" s="9">
        <v>3844505</v>
      </c>
      <c r="BV67" s="9">
        <v>4487280</v>
      </c>
      <c r="BW67" s="9">
        <v>4487280</v>
      </c>
      <c r="BX67" s="9">
        <v>4487280</v>
      </c>
      <c r="BY67" s="9">
        <v>4487280</v>
      </c>
      <c r="BZ67" s="9">
        <v>4487280</v>
      </c>
      <c r="CA67" s="9">
        <v>4487280</v>
      </c>
      <c r="CB67" s="31">
        <v>4487280</v>
      </c>
    </row>
    <row r="68" spans="2:80" x14ac:dyDescent="0.3">
      <c r="B68" s="7" t="s">
        <v>62</v>
      </c>
      <c r="C68" s="9">
        <v>0</v>
      </c>
      <c r="D68" s="9">
        <v>1844972</v>
      </c>
      <c r="E68" s="9">
        <v>2980291</v>
      </c>
      <c r="F68" s="9">
        <v>3911425</v>
      </c>
      <c r="G68" s="9">
        <v>4668165</v>
      </c>
      <c r="H68" s="9">
        <v>5530256</v>
      </c>
      <c r="I68" s="9">
        <v>6492621</v>
      </c>
      <c r="J68" s="9">
        <v>7015153</v>
      </c>
      <c r="K68" s="9">
        <v>7721800</v>
      </c>
      <c r="L68" s="9">
        <v>8180927</v>
      </c>
      <c r="M68" s="9">
        <v>8292205</v>
      </c>
      <c r="N68" s="9">
        <v>9649410</v>
      </c>
      <c r="O68" s="31">
        <v>9649410</v>
      </c>
      <c r="P68" s="9">
        <v>0</v>
      </c>
      <c r="Q68" s="9">
        <v>718578</v>
      </c>
      <c r="R68" s="9">
        <v>1229113</v>
      </c>
      <c r="S68" s="9">
        <v>1651954</v>
      </c>
      <c r="T68" s="9">
        <v>1867508</v>
      </c>
      <c r="U68" s="9">
        <v>2126715</v>
      </c>
      <c r="V68" s="9">
        <v>2490807</v>
      </c>
      <c r="W68" s="9">
        <v>2717171</v>
      </c>
      <c r="X68" s="9">
        <v>3353547</v>
      </c>
      <c r="Y68" s="9">
        <v>3962955</v>
      </c>
      <c r="Z68" s="9">
        <v>4581541</v>
      </c>
      <c r="AA68" s="9">
        <v>5155650</v>
      </c>
      <c r="AB68" s="31">
        <v>5155650</v>
      </c>
      <c r="AC68" s="9">
        <v>0</v>
      </c>
      <c r="AD68" s="9">
        <v>689936</v>
      </c>
      <c r="AE68" s="9">
        <v>2502173</v>
      </c>
      <c r="AF68" s="9">
        <v>2849773</v>
      </c>
      <c r="AG68" s="9">
        <v>3189668</v>
      </c>
      <c r="AH68" s="9">
        <v>3348927</v>
      </c>
      <c r="AI68" s="9">
        <v>3400352</v>
      </c>
      <c r="AJ68" s="9">
        <v>4186629</v>
      </c>
      <c r="AK68" s="9">
        <v>4466306</v>
      </c>
      <c r="AL68" s="9">
        <v>4749091</v>
      </c>
      <c r="AM68" s="9">
        <v>5080327</v>
      </c>
      <c r="AN68" s="9">
        <v>5693269</v>
      </c>
      <c r="AO68" s="31">
        <v>5693269</v>
      </c>
      <c r="AP68" s="9">
        <v>0</v>
      </c>
      <c r="AQ68" s="9">
        <v>13338</v>
      </c>
      <c r="AR68" s="9">
        <v>2113530</v>
      </c>
      <c r="AS68" s="9">
        <v>2657230</v>
      </c>
      <c r="AT68" s="9">
        <v>3267050</v>
      </c>
      <c r="AU68" s="9">
        <v>3738634</v>
      </c>
      <c r="AV68" s="9">
        <v>4195604</v>
      </c>
      <c r="AW68" s="9">
        <v>4944777</v>
      </c>
      <c r="AX68" s="9">
        <v>5784209</v>
      </c>
      <c r="AY68" s="9">
        <v>6407848</v>
      </c>
      <c r="AZ68" s="9">
        <v>6823454</v>
      </c>
      <c r="BA68" s="9">
        <v>7636879</v>
      </c>
      <c r="BB68" s="31">
        <v>7636879</v>
      </c>
      <c r="BC68" s="9">
        <v>0</v>
      </c>
      <c r="BD68" s="9">
        <v>0</v>
      </c>
      <c r="BE68" s="9">
        <v>773456</v>
      </c>
      <c r="BF68" s="9">
        <v>1228452</v>
      </c>
      <c r="BG68" s="9">
        <v>1463264</v>
      </c>
      <c r="BH68" s="9">
        <v>1843650</v>
      </c>
      <c r="BI68" s="9">
        <v>2269505</v>
      </c>
      <c r="BJ68" s="9">
        <v>2548202</v>
      </c>
      <c r="BK68" s="9">
        <v>2878045</v>
      </c>
      <c r="BL68" s="9">
        <v>3291372</v>
      </c>
      <c r="BM68" s="9">
        <v>3836142</v>
      </c>
      <c r="BN68" s="9">
        <v>5294326</v>
      </c>
      <c r="BO68" s="31">
        <v>5294326</v>
      </c>
      <c r="BP68" s="9">
        <v>0</v>
      </c>
      <c r="BQ68" s="9">
        <v>0</v>
      </c>
      <c r="BR68" s="9">
        <v>1059921</v>
      </c>
      <c r="BS68" s="9">
        <v>1655837</v>
      </c>
      <c r="BT68" s="9">
        <v>2238440</v>
      </c>
      <c r="BU68" s="9">
        <v>2714836</v>
      </c>
      <c r="BV68" s="9">
        <v>2830250</v>
      </c>
      <c r="BW68" s="9">
        <v>2830250</v>
      </c>
      <c r="BX68" s="9">
        <v>2830250</v>
      </c>
      <c r="BY68" s="9">
        <v>2830250</v>
      </c>
      <c r="BZ68" s="9">
        <v>2830250</v>
      </c>
      <c r="CA68" s="9">
        <v>2830250</v>
      </c>
      <c r="CB68" s="31">
        <v>2830250</v>
      </c>
    </row>
    <row r="69" spans="2:80" x14ac:dyDescent="0.3">
      <c r="B69" s="7" t="s">
        <v>63</v>
      </c>
      <c r="C69" s="9">
        <v>0</v>
      </c>
      <c r="D69" s="9">
        <v>780964</v>
      </c>
      <c r="E69" s="9">
        <v>2329121</v>
      </c>
      <c r="F69" s="9">
        <v>2781402</v>
      </c>
      <c r="G69" s="9">
        <v>3961113</v>
      </c>
      <c r="H69" s="9">
        <v>4999318</v>
      </c>
      <c r="I69" s="9">
        <v>5729292</v>
      </c>
      <c r="J69" s="9">
        <v>6450230</v>
      </c>
      <c r="K69" s="9">
        <v>7246756</v>
      </c>
      <c r="L69" s="9">
        <v>8083876</v>
      </c>
      <c r="M69" s="9">
        <v>9157163</v>
      </c>
      <c r="N69" s="9">
        <v>10738590</v>
      </c>
      <c r="O69" s="31">
        <v>10738590</v>
      </c>
      <c r="P69" s="9">
        <v>0</v>
      </c>
      <c r="Q69" s="9">
        <v>531868</v>
      </c>
      <c r="R69" s="9">
        <v>979900</v>
      </c>
      <c r="S69" s="9">
        <v>1668995</v>
      </c>
      <c r="T69" s="9">
        <v>2067161</v>
      </c>
      <c r="U69" s="9">
        <v>2495250</v>
      </c>
      <c r="V69" s="9">
        <v>2833549</v>
      </c>
      <c r="W69" s="9">
        <v>3310447</v>
      </c>
      <c r="X69" s="9">
        <v>4180470</v>
      </c>
      <c r="Y69" s="9">
        <v>5410940</v>
      </c>
      <c r="Z69" s="9">
        <v>6546938</v>
      </c>
      <c r="AA69" s="9">
        <v>9221232</v>
      </c>
      <c r="AB69" s="31">
        <v>9221232</v>
      </c>
      <c r="AC69" s="9">
        <v>0</v>
      </c>
      <c r="AD69" s="9">
        <v>242363</v>
      </c>
      <c r="AE69" s="9">
        <v>2468853</v>
      </c>
      <c r="AF69" s="9">
        <v>3552694</v>
      </c>
      <c r="AG69" s="9">
        <v>4986547</v>
      </c>
      <c r="AH69" s="9">
        <v>6240668</v>
      </c>
      <c r="AI69" s="9">
        <v>7483453</v>
      </c>
      <c r="AJ69" s="9">
        <v>8011980</v>
      </c>
      <c r="AK69" s="9">
        <v>9004344</v>
      </c>
      <c r="AL69" s="9">
        <v>10464944</v>
      </c>
      <c r="AM69" s="9">
        <v>11221564</v>
      </c>
      <c r="AN69" s="9">
        <v>12894724</v>
      </c>
      <c r="AO69" s="31">
        <v>12894724</v>
      </c>
      <c r="AP69" s="9">
        <v>0</v>
      </c>
      <c r="AQ69" s="9">
        <v>0</v>
      </c>
      <c r="AR69" s="9">
        <v>3256958</v>
      </c>
      <c r="AS69" s="9">
        <v>5254963</v>
      </c>
      <c r="AT69" s="9">
        <v>7343946</v>
      </c>
      <c r="AU69" s="9">
        <v>8984252</v>
      </c>
      <c r="AV69" s="9">
        <v>11604334</v>
      </c>
      <c r="AW69" s="9">
        <v>12582118</v>
      </c>
      <c r="AX69" s="9">
        <v>13958919</v>
      </c>
      <c r="AY69" s="9">
        <v>15014924</v>
      </c>
      <c r="AZ69" s="9">
        <v>16146052</v>
      </c>
      <c r="BA69" s="9">
        <v>17938143</v>
      </c>
      <c r="BB69" s="31">
        <v>17938143</v>
      </c>
      <c r="BC69" s="9">
        <v>0</v>
      </c>
      <c r="BD69" s="9">
        <v>656162</v>
      </c>
      <c r="BE69" s="9">
        <v>1462430</v>
      </c>
      <c r="BF69" s="9">
        <v>2617816</v>
      </c>
      <c r="BG69" s="9">
        <v>3672318</v>
      </c>
      <c r="BH69" s="9">
        <v>4549506</v>
      </c>
      <c r="BI69" s="9">
        <v>5755024</v>
      </c>
      <c r="BJ69" s="9">
        <v>6518863</v>
      </c>
      <c r="BK69" s="9">
        <v>8081693</v>
      </c>
      <c r="BL69" s="9">
        <v>9963180</v>
      </c>
      <c r="BM69" s="9">
        <v>11073504</v>
      </c>
      <c r="BN69" s="9">
        <v>14403339</v>
      </c>
      <c r="BO69" s="31">
        <v>14403339</v>
      </c>
      <c r="BP69" s="9">
        <v>0</v>
      </c>
      <c r="BQ69" s="9">
        <v>2033211</v>
      </c>
      <c r="BR69" s="9">
        <v>4073385</v>
      </c>
      <c r="BS69" s="9">
        <v>5482094</v>
      </c>
      <c r="BT69" s="9">
        <v>6965527</v>
      </c>
      <c r="BU69" s="9">
        <v>10120647</v>
      </c>
      <c r="BV69" s="9">
        <v>11843248</v>
      </c>
      <c r="BW69" s="9">
        <v>11843248</v>
      </c>
      <c r="BX69" s="9">
        <v>11843248</v>
      </c>
      <c r="BY69" s="9">
        <v>11843248</v>
      </c>
      <c r="BZ69" s="9">
        <v>11843248</v>
      </c>
      <c r="CA69" s="9">
        <v>11843248</v>
      </c>
      <c r="CB69" s="31">
        <v>11843248</v>
      </c>
    </row>
    <row r="70" spans="2:80" x14ac:dyDescent="0.3">
      <c r="B70" s="11" t="s">
        <v>107</v>
      </c>
      <c r="C70" s="13">
        <f t="shared" ref="C70:AH70" si="6">SUM(C52:C69)</f>
        <v>1227550</v>
      </c>
      <c r="D70" s="13">
        <f t="shared" si="6"/>
        <v>23205600</v>
      </c>
      <c r="E70" s="13">
        <f t="shared" si="6"/>
        <v>70585804</v>
      </c>
      <c r="F70" s="13">
        <f t="shared" si="6"/>
        <v>116596570</v>
      </c>
      <c r="G70" s="13">
        <f t="shared" si="6"/>
        <v>147285990</v>
      </c>
      <c r="H70" s="13">
        <f t="shared" si="6"/>
        <v>178003787</v>
      </c>
      <c r="I70" s="13">
        <f t="shared" si="6"/>
        <v>208095844</v>
      </c>
      <c r="J70" s="13">
        <f t="shared" si="6"/>
        <v>240830600</v>
      </c>
      <c r="K70" s="13">
        <f t="shared" si="6"/>
        <v>275077882</v>
      </c>
      <c r="L70" s="13">
        <f t="shared" si="6"/>
        <v>314578963</v>
      </c>
      <c r="M70" s="13">
        <f t="shared" si="6"/>
        <v>351228752</v>
      </c>
      <c r="N70" s="13">
        <f t="shared" si="6"/>
        <v>459047874</v>
      </c>
      <c r="O70" s="13">
        <f t="shared" si="6"/>
        <v>459047874</v>
      </c>
      <c r="P70" s="13">
        <f t="shared" si="6"/>
        <v>0</v>
      </c>
      <c r="Q70" s="13">
        <f t="shared" si="6"/>
        <v>15937508</v>
      </c>
      <c r="R70" s="13">
        <f t="shared" si="6"/>
        <v>53939941</v>
      </c>
      <c r="S70" s="13">
        <f t="shared" si="6"/>
        <v>86006136</v>
      </c>
      <c r="T70" s="13">
        <f t="shared" si="6"/>
        <v>113991726</v>
      </c>
      <c r="U70" s="13">
        <f t="shared" si="6"/>
        <v>144118770</v>
      </c>
      <c r="V70" s="13">
        <f t="shared" si="6"/>
        <v>170065489</v>
      </c>
      <c r="W70" s="13">
        <f t="shared" si="6"/>
        <v>196472717</v>
      </c>
      <c r="X70" s="13">
        <f t="shared" si="6"/>
        <v>228211281</v>
      </c>
      <c r="Y70" s="13">
        <f t="shared" si="6"/>
        <v>260208477</v>
      </c>
      <c r="Z70" s="13">
        <f t="shared" si="6"/>
        <v>294925986</v>
      </c>
      <c r="AA70" s="13">
        <f t="shared" si="6"/>
        <v>385420730</v>
      </c>
      <c r="AB70" s="13">
        <f t="shared" si="6"/>
        <v>385420730</v>
      </c>
      <c r="AC70" s="13">
        <f t="shared" si="6"/>
        <v>0</v>
      </c>
      <c r="AD70" s="13">
        <f t="shared" si="6"/>
        <v>9126217</v>
      </c>
      <c r="AE70" s="13">
        <f t="shared" si="6"/>
        <v>53484083</v>
      </c>
      <c r="AF70" s="13">
        <f t="shared" si="6"/>
        <v>84743676</v>
      </c>
      <c r="AG70" s="13">
        <f t="shared" si="6"/>
        <v>119482475</v>
      </c>
      <c r="AH70" s="13">
        <f t="shared" si="6"/>
        <v>147778699</v>
      </c>
      <c r="AI70" s="13">
        <f t="shared" ref="AI70:BN70" si="7">SUM(AI52:AI69)</f>
        <v>171361237</v>
      </c>
      <c r="AJ70" s="13">
        <f t="shared" si="7"/>
        <v>197992385</v>
      </c>
      <c r="AK70" s="13">
        <f t="shared" si="7"/>
        <v>218566789</v>
      </c>
      <c r="AL70" s="13">
        <f t="shared" si="7"/>
        <v>243066350</v>
      </c>
      <c r="AM70" s="13">
        <f t="shared" si="7"/>
        <v>274654101</v>
      </c>
      <c r="AN70" s="13">
        <f t="shared" si="7"/>
        <v>363051838</v>
      </c>
      <c r="AO70" s="13">
        <f t="shared" si="7"/>
        <v>363051838</v>
      </c>
      <c r="AP70" s="13">
        <f t="shared" si="7"/>
        <v>0</v>
      </c>
      <c r="AQ70" s="13">
        <f t="shared" si="7"/>
        <v>10091232</v>
      </c>
      <c r="AR70" s="13">
        <f t="shared" si="7"/>
        <v>65119288</v>
      </c>
      <c r="AS70" s="13">
        <f t="shared" si="7"/>
        <v>116494414</v>
      </c>
      <c r="AT70" s="13">
        <f t="shared" si="7"/>
        <v>154812807</v>
      </c>
      <c r="AU70" s="13">
        <f t="shared" si="7"/>
        <v>185718005</v>
      </c>
      <c r="AV70" s="13">
        <f t="shared" si="7"/>
        <v>210799179</v>
      </c>
      <c r="AW70" s="13">
        <f t="shared" si="7"/>
        <v>237549250</v>
      </c>
      <c r="AX70" s="13">
        <f t="shared" si="7"/>
        <v>266509037</v>
      </c>
      <c r="AY70" s="13">
        <f t="shared" si="7"/>
        <v>292857224</v>
      </c>
      <c r="AZ70" s="13">
        <f t="shared" si="7"/>
        <v>321792904</v>
      </c>
      <c r="BA70" s="13">
        <f t="shared" si="7"/>
        <v>388712182</v>
      </c>
      <c r="BB70" s="13">
        <f t="shared" si="7"/>
        <v>388712182</v>
      </c>
      <c r="BC70" s="13">
        <f t="shared" si="7"/>
        <v>0</v>
      </c>
      <c r="BD70" s="13">
        <f t="shared" si="7"/>
        <v>15961675</v>
      </c>
      <c r="BE70" s="13">
        <f t="shared" si="7"/>
        <v>75098688</v>
      </c>
      <c r="BF70" s="13">
        <f t="shared" si="7"/>
        <v>127209565</v>
      </c>
      <c r="BG70" s="13">
        <f t="shared" si="7"/>
        <v>165256720</v>
      </c>
      <c r="BH70" s="13">
        <f t="shared" si="7"/>
        <v>198246550</v>
      </c>
      <c r="BI70" s="13">
        <f t="shared" si="7"/>
        <v>234857305</v>
      </c>
      <c r="BJ70" s="13">
        <f t="shared" si="7"/>
        <v>260653577</v>
      </c>
      <c r="BK70" s="13">
        <f t="shared" si="7"/>
        <v>286668116</v>
      </c>
      <c r="BL70" s="13">
        <f t="shared" si="7"/>
        <v>326400154</v>
      </c>
      <c r="BM70" s="13">
        <f t="shared" si="7"/>
        <v>350774992</v>
      </c>
      <c r="BN70" s="13">
        <f t="shared" si="7"/>
        <v>423841945</v>
      </c>
      <c r="BO70" s="13">
        <f t="shared" ref="BO70:CT70" si="8">SUM(BO52:BO69)</f>
        <v>423841945</v>
      </c>
      <c r="BP70" s="13">
        <f t="shared" si="8"/>
        <v>204442</v>
      </c>
      <c r="BQ70" s="13">
        <f t="shared" si="8"/>
        <v>20389701</v>
      </c>
      <c r="BR70" s="13">
        <f t="shared" si="8"/>
        <v>61056221</v>
      </c>
      <c r="BS70" s="13">
        <f t="shared" si="8"/>
        <v>87064052</v>
      </c>
      <c r="BT70" s="13">
        <f t="shared" si="8"/>
        <v>109327219</v>
      </c>
      <c r="BU70" s="13">
        <f t="shared" si="8"/>
        <v>134059355</v>
      </c>
      <c r="BV70" s="13">
        <f t="shared" si="8"/>
        <v>155690398</v>
      </c>
      <c r="BW70" s="13">
        <f t="shared" si="8"/>
        <v>155690398</v>
      </c>
      <c r="BX70" s="13">
        <f t="shared" si="8"/>
        <v>155690398</v>
      </c>
      <c r="BY70" s="13">
        <f t="shared" si="8"/>
        <v>155690398</v>
      </c>
      <c r="BZ70" s="13">
        <f t="shared" si="8"/>
        <v>155690398</v>
      </c>
      <c r="CA70" s="13">
        <f t="shared" si="8"/>
        <v>155690398</v>
      </c>
      <c r="CB70" s="13">
        <f t="shared" si="8"/>
        <v>155690398</v>
      </c>
    </row>
    <row r="73" spans="2:80" ht="17.399999999999999" x14ac:dyDescent="0.35">
      <c r="B73" s="29" t="s">
        <v>108</v>
      </c>
    </row>
    <row r="74" spans="2:80" x14ac:dyDescent="0.3">
      <c r="B74" s="5" t="s">
        <v>109</v>
      </c>
    </row>
    <row r="75" spans="2:80" x14ac:dyDescent="0.3">
      <c r="C75" s="49" t="s">
        <v>90</v>
      </c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49" t="s">
        <v>91</v>
      </c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49" t="s">
        <v>92</v>
      </c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49" t="s">
        <v>93</v>
      </c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49" t="s">
        <v>94</v>
      </c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49" t="s">
        <v>95</v>
      </c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</row>
    <row r="76" spans="2:80" x14ac:dyDescent="0.3">
      <c r="B76" s="19" t="s">
        <v>96</v>
      </c>
      <c r="C76" s="30" t="s">
        <v>67</v>
      </c>
      <c r="D76" s="30" t="s">
        <v>68</v>
      </c>
      <c r="E76" s="30" t="s">
        <v>69</v>
      </c>
      <c r="F76" s="30" t="s">
        <v>70</v>
      </c>
      <c r="G76" s="30" t="s">
        <v>71</v>
      </c>
      <c r="H76" s="30" t="s">
        <v>72</v>
      </c>
      <c r="I76" s="30" t="s">
        <v>73</v>
      </c>
      <c r="J76" s="30" t="s">
        <v>74</v>
      </c>
      <c r="K76" s="30" t="s">
        <v>75</v>
      </c>
      <c r="L76" s="30" t="s">
        <v>76</v>
      </c>
      <c r="M76" s="30" t="s">
        <v>77</v>
      </c>
      <c r="N76" s="30" t="s">
        <v>78</v>
      </c>
      <c r="O76" s="30" t="s">
        <v>97</v>
      </c>
      <c r="P76" s="30" t="s">
        <v>67</v>
      </c>
      <c r="Q76" s="30" t="s">
        <v>68</v>
      </c>
      <c r="R76" s="30" t="s">
        <v>69</v>
      </c>
      <c r="S76" s="30" t="s">
        <v>70</v>
      </c>
      <c r="T76" s="30" t="s">
        <v>71</v>
      </c>
      <c r="U76" s="30" t="s">
        <v>72</v>
      </c>
      <c r="V76" s="30" t="s">
        <v>73</v>
      </c>
      <c r="W76" s="30" t="s">
        <v>74</v>
      </c>
      <c r="X76" s="30" t="s">
        <v>75</v>
      </c>
      <c r="Y76" s="30" t="s">
        <v>76</v>
      </c>
      <c r="Z76" s="30" t="s">
        <v>77</v>
      </c>
      <c r="AA76" s="30" t="s">
        <v>78</v>
      </c>
      <c r="AB76" s="30" t="s">
        <v>98</v>
      </c>
      <c r="AC76" s="30" t="s">
        <v>67</v>
      </c>
      <c r="AD76" s="30" t="s">
        <v>68</v>
      </c>
      <c r="AE76" s="30" t="s">
        <v>69</v>
      </c>
      <c r="AF76" s="30" t="s">
        <v>70</v>
      </c>
      <c r="AG76" s="30" t="s">
        <v>71</v>
      </c>
      <c r="AH76" s="30" t="s">
        <v>72</v>
      </c>
      <c r="AI76" s="30" t="s">
        <v>73</v>
      </c>
      <c r="AJ76" s="30" t="s">
        <v>74</v>
      </c>
      <c r="AK76" s="30" t="s">
        <v>75</v>
      </c>
      <c r="AL76" s="30" t="s">
        <v>76</v>
      </c>
      <c r="AM76" s="30" t="s">
        <v>77</v>
      </c>
      <c r="AN76" s="30" t="s">
        <v>78</v>
      </c>
      <c r="AO76" s="30" t="s">
        <v>99</v>
      </c>
      <c r="AP76" s="30" t="s">
        <v>67</v>
      </c>
      <c r="AQ76" s="30" t="s">
        <v>68</v>
      </c>
      <c r="AR76" s="30" t="s">
        <v>69</v>
      </c>
      <c r="AS76" s="30" t="s">
        <v>70</v>
      </c>
      <c r="AT76" s="30" t="s">
        <v>71</v>
      </c>
      <c r="AU76" s="30" t="s">
        <v>72</v>
      </c>
      <c r="AV76" s="30" t="s">
        <v>73</v>
      </c>
      <c r="AW76" s="30" t="s">
        <v>74</v>
      </c>
      <c r="AX76" s="30" t="s">
        <v>75</v>
      </c>
      <c r="AY76" s="30" t="s">
        <v>76</v>
      </c>
      <c r="AZ76" s="30" t="s">
        <v>77</v>
      </c>
      <c r="BA76" s="30" t="s">
        <v>78</v>
      </c>
      <c r="BB76" s="30" t="s">
        <v>100</v>
      </c>
      <c r="BC76" s="30" t="s">
        <v>67</v>
      </c>
      <c r="BD76" s="30" t="s">
        <v>68</v>
      </c>
      <c r="BE76" s="30" t="s">
        <v>69</v>
      </c>
      <c r="BF76" s="30" t="s">
        <v>70</v>
      </c>
      <c r="BG76" s="30" t="s">
        <v>71</v>
      </c>
      <c r="BH76" s="30" t="s">
        <v>72</v>
      </c>
      <c r="BI76" s="30" t="s">
        <v>73</v>
      </c>
      <c r="BJ76" s="30" t="s">
        <v>74</v>
      </c>
      <c r="BK76" s="30" t="s">
        <v>75</v>
      </c>
      <c r="BL76" s="30" t="s">
        <v>76</v>
      </c>
      <c r="BM76" s="30" t="s">
        <v>77</v>
      </c>
      <c r="BN76" s="30" t="s">
        <v>78</v>
      </c>
      <c r="BO76" s="30" t="s">
        <v>101</v>
      </c>
      <c r="BP76" s="30" t="s">
        <v>67</v>
      </c>
      <c r="BQ76" s="30" t="s">
        <v>68</v>
      </c>
      <c r="BR76" s="30" t="s">
        <v>69</v>
      </c>
      <c r="BS76" s="30" t="s">
        <v>70</v>
      </c>
      <c r="BT76" s="30" t="s">
        <v>71</v>
      </c>
      <c r="BU76" s="30" t="s">
        <v>72</v>
      </c>
      <c r="BV76" s="30" t="s">
        <v>73</v>
      </c>
      <c r="BW76" s="30" t="s">
        <v>74</v>
      </c>
      <c r="BX76" s="30" t="s">
        <v>75</v>
      </c>
      <c r="BY76" s="30" t="s">
        <v>76</v>
      </c>
      <c r="BZ76" s="30" t="s">
        <v>77</v>
      </c>
      <c r="CA76" s="30" t="s">
        <v>78</v>
      </c>
      <c r="CB76" s="30" t="s">
        <v>102</v>
      </c>
    </row>
    <row r="77" spans="2:80" x14ac:dyDescent="0.3">
      <c r="B77" s="7" t="s">
        <v>46</v>
      </c>
      <c r="C77" s="9">
        <v>3879109</v>
      </c>
      <c r="D77" s="9">
        <v>3879109</v>
      </c>
      <c r="E77" s="9">
        <v>3879109</v>
      </c>
      <c r="F77" s="9">
        <v>3879109</v>
      </c>
      <c r="G77" s="9">
        <v>3879109</v>
      </c>
      <c r="H77" s="9">
        <v>3879109</v>
      </c>
      <c r="I77" s="9">
        <v>3879109</v>
      </c>
      <c r="J77" s="9">
        <v>3879109</v>
      </c>
      <c r="K77" s="9">
        <v>3879109</v>
      </c>
      <c r="L77" s="9">
        <v>3879109</v>
      </c>
      <c r="M77" s="9">
        <v>3879109</v>
      </c>
      <c r="N77" s="9">
        <v>3879109</v>
      </c>
      <c r="O77" s="31">
        <v>3879109</v>
      </c>
      <c r="P77" s="9">
        <v>3677484</v>
      </c>
      <c r="Q77" s="9">
        <v>3677484</v>
      </c>
      <c r="R77" s="9">
        <v>3677484</v>
      </c>
      <c r="S77" s="9">
        <v>3677484</v>
      </c>
      <c r="T77" s="9">
        <v>3677484</v>
      </c>
      <c r="U77" s="9">
        <v>3677484</v>
      </c>
      <c r="V77" s="9">
        <v>3677484</v>
      </c>
      <c r="W77" s="9">
        <v>3677484</v>
      </c>
      <c r="X77" s="9">
        <v>3677484</v>
      </c>
      <c r="Y77" s="9">
        <v>3677484</v>
      </c>
      <c r="Z77" s="9">
        <v>3677484</v>
      </c>
      <c r="AA77" s="9">
        <v>3677484</v>
      </c>
      <c r="AB77" s="31">
        <v>3677484</v>
      </c>
      <c r="AC77" s="9">
        <v>4127526</v>
      </c>
      <c r="AD77" s="9">
        <v>4127526</v>
      </c>
      <c r="AE77" s="9">
        <v>4127526</v>
      </c>
      <c r="AF77" s="9">
        <v>4127526</v>
      </c>
      <c r="AG77" s="9">
        <v>4127526</v>
      </c>
      <c r="AH77" s="9">
        <v>4127526</v>
      </c>
      <c r="AI77" s="9">
        <v>4127526</v>
      </c>
      <c r="AJ77" s="9">
        <v>4127526</v>
      </c>
      <c r="AK77" s="9">
        <v>4127526</v>
      </c>
      <c r="AL77" s="9">
        <v>4127526</v>
      </c>
      <c r="AM77" s="9">
        <v>4127526</v>
      </c>
      <c r="AN77" s="9">
        <v>4127526</v>
      </c>
      <c r="AO77" s="31">
        <v>4127526</v>
      </c>
      <c r="AP77" s="9">
        <v>30674754</v>
      </c>
      <c r="AQ77" s="9">
        <v>30674754</v>
      </c>
      <c r="AR77" s="9">
        <v>30674754</v>
      </c>
      <c r="AS77" s="9">
        <v>30674754</v>
      </c>
      <c r="AT77" s="9">
        <v>30674754</v>
      </c>
      <c r="AU77" s="9">
        <v>30674754</v>
      </c>
      <c r="AV77" s="9">
        <v>30674754</v>
      </c>
      <c r="AW77" s="9">
        <v>30674754</v>
      </c>
      <c r="AX77" s="9">
        <v>30674754</v>
      </c>
      <c r="AY77" s="9">
        <v>30674754</v>
      </c>
      <c r="AZ77" s="9">
        <v>30674754</v>
      </c>
      <c r="BA77" s="9">
        <v>30674754</v>
      </c>
      <c r="BB77" s="31">
        <v>30674754</v>
      </c>
      <c r="BC77" s="9">
        <v>4669285</v>
      </c>
      <c r="BD77" s="9">
        <v>4669285</v>
      </c>
      <c r="BE77" s="9">
        <v>4669285</v>
      </c>
      <c r="BF77" s="9">
        <v>4669285</v>
      </c>
      <c r="BG77" s="9">
        <v>4669285</v>
      </c>
      <c r="BH77" s="9">
        <v>4669285</v>
      </c>
      <c r="BI77" s="9">
        <v>4669285</v>
      </c>
      <c r="BJ77" s="9">
        <v>4669285</v>
      </c>
      <c r="BK77" s="9">
        <v>4669285</v>
      </c>
      <c r="BL77" s="9">
        <v>4669285</v>
      </c>
      <c r="BM77" s="9">
        <v>4669285</v>
      </c>
      <c r="BN77" s="9">
        <v>4669285</v>
      </c>
      <c r="BO77" s="31">
        <v>4669285</v>
      </c>
      <c r="BP77" s="9">
        <v>4182704</v>
      </c>
      <c r="BQ77" s="9">
        <v>4182704</v>
      </c>
      <c r="BR77" s="9">
        <v>4182704</v>
      </c>
      <c r="BS77" s="9">
        <v>4182704</v>
      </c>
      <c r="BT77" s="9">
        <v>4182704</v>
      </c>
      <c r="BU77" s="9">
        <v>4182704</v>
      </c>
      <c r="BV77" s="9">
        <v>4182704</v>
      </c>
      <c r="BW77" s="9">
        <v>4182704</v>
      </c>
      <c r="BX77" s="9">
        <v>4182704</v>
      </c>
      <c r="BY77" s="9">
        <v>4182704</v>
      </c>
      <c r="BZ77" s="9">
        <v>4182704</v>
      </c>
      <c r="CA77" s="9">
        <v>4182704</v>
      </c>
      <c r="CB77" s="31">
        <v>4182704</v>
      </c>
    </row>
    <row r="78" spans="2:80" x14ac:dyDescent="0.3">
      <c r="B78" s="7" t="s">
        <v>47</v>
      </c>
      <c r="C78" s="9">
        <v>71111</v>
      </c>
      <c r="D78" s="9">
        <v>71111</v>
      </c>
      <c r="E78" s="9">
        <v>71111</v>
      </c>
      <c r="F78" s="9">
        <v>71111</v>
      </c>
      <c r="G78" s="9">
        <v>71111</v>
      </c>
      <c r="H78" s="9">
        <v>71111</v>
      </c>
      <c r="I78" s="9">
        <v>71111</v>
      </c>
      <c r="J78" s="9">
        <v>71111</v>
      </c>
      <c r="K78" s="9">
        <v>71111</v>
      </c>
      <c r="L78" s="9">
        <v>71111</v>
      </c>
      <c r="M78" s="9">
        <v>71111</v>
      </c>
      <c r="N78" s="9">
        <v>71111</v>
      </c>
      <c r="O78" s="31">
        <v>71111</v>
      </c>
      <c r="P78" s="9">
        <v>33328</v>
      </c>
      <c r="Q78" s="9">
        <v>33328</v>
      </c>
      <c r="R78" s="9">
        <v>33328</v>
      </c>
      <c r="S78" s="9">
        <v>33328</v>
      </c>
      <c r="T78" s="9">
        <v>33328</v>
      </c>
      <c r="U78" s="9">
        <v>33328</v>
      </c>
      <c r="V78" s="9">
        <v>33328</v>
      </c>
      <c r="W78" s="9">
        <v>33328</v>
      </c>
      <c r="X78" s="9">
        <v>33328</v>
      </c>
      <c r="Y78" s="9">
        <v>33328</v>
      </c>
      <c r="Z78" s="9">
        <v>33328</v>
      </c>
      <c r="AA78" s="9">
        <v>33328</v>
      </c>
      <c r="AB78" s="31">
        <v>33328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31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31">
        <v>0</v>
      </c>
      <c r="BC78" s="9">
        <v>7294</v>
      </c>
      <c r="BD78" s="9">
        <v>7294</v>
      </c>
      <c r="BE78" s="9">
        <v>7294</v>
      </c>
      <c r="BF78" s="9">
        <v>7294</v>
      </c>
      <c r="BG78" s="9">
        <v>7294</v>
      </c>
      <c r="BH78" s="9">
        <v>7294</v>
      </c>
      <c r="BI78" s="9">
        <v>7294</v>
      </c>
      <c r="BJ78" s="9">
        <v>7294</v>
      </c>
      <c r="BK78" s="9">
        <v>7294</v>
      </c>
      <c r="BL78" s="9">
        <v>7294</v>
      </c>
      <c r="BM78" s="9">
        <v>7294</v>
      </c>
      <c r="BN78" s="9">
        <v>7294</v>
      </c>
      <c r="BO78" s="31">
        <v>7294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31">
        <v>0</v>
      </c>
    </row>
    <row r="79" spans="2:80" x14ac:dyDescent="0.3">
      <c r="B79" s="7" t="s">
        <v>48</v>
      </c>
      <c r="C79" s="9">
        <v>8967</v>
      </c>
      <c r="D79" s="9">
        <v>8967</v>
      </c>
      <c r="E79" s="9">
        <v>8967</v>
      </c>
      <c r="F79" s="9">
        <v>8967</v>
      </c>
      <c r="G79" s="9">
        <v>8967</v>
      </c>
      <c r="H79" s="9">
        <v>8967</v>
      </c>
      <c r="I79" s="9">
        <v>8967</v>
      </c>
      <c r="J79" s="9">
        <v>8967</v>
      </c>
      <c r="K79" s="9">
        <v>8967</v>
      </c>
      <c r="L79" s="9">
        <v>8967</v>
      </c>
      <c r="M79" s="9">
        <v>8967</v>
      </c>
      <c r="N79" s="9">
        <v>8967</v>
      </c>
      <c r="O79" s="31">
        <v>8967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1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31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31">
        <v>0</v>
      </c>
      <c r="BC79" s="9">
        <v>3126</v>
      </c>
      <c r="BD79" s="9">
        <v>3126</v>
      </c>
      <c r="BE79" s="9">
        <v>3126</v>
      </c>
      <c r="BF79" s="9">
        <v>3126</v>
      </c>
      <c r="BG79" s="9">
        <v>3126</v>
      </c>
      <c r="BH79" s="9">
        <v>3126</v>
      </c>
      <c r="BI79" s="9">
        <v>3126</v>
      </c>
      <c r="BJ79" s="9">
        <v>3126</v>
      </c>
      <c r="BK79" s="9">
        <v>3126</v>
      </c>
      <c r="BL79" s="9">
        <v>3126</v>
      </c>
      <c r="BM79" s="9">
        <v>3126</v>
      </c>
      <c r="BN79" s="9">
        <v>3126</v>
      </c>
      <c r="BO79" s="31">
        <v>3126</v>
      </c>
      <c r="BP79" s="9">
        <v>10</v>
      </c>
      <c r="BQ79" s="9">
        <v>10</v>
      </c>
      <c r="BR79" s="9">
        <v>10</v>
      </c>
      <c r="BS79" s="9">
        <v>10</v>
      </c>
      <c r="BT79" s="9">
        <v>10</v>
      </c>
      <c r="BU79" s="9">
        <v>10</v>
      </c>
      <c r="BV79" s="9">
        <v>10</v>
      </c>
      <c r="BW79" s="9">
        <v>10</v>
      </c>
      <c r="BX79" s="9">
        <v>10</v>
      </c>
      <c r="BY79" s="9">
        <v>10</v>
      </c>
      <c r="BZ79" s="9">
        <v>10</v>
      </c>
      <c r="CA79" s="9">
        <v>10</v>
      </c>
      <c r="CB79" s="31">
        <v>10</v>
      </c>
    </row>
    <row r="80" spans="2:80" x14ac:dyDescent="0.3">
      <c r="B80" s="7" t="s">
        <v>49</v>
      </c>
      <c r="C80" s="9">
        <v>13147</v>
      </c>
      <c r="D80" s="9">
        <v>13147</v>
      </c>
      <c r="E80" s="9">
        <v>13147</v>
      </c>
      <c r="F80" s="9">
        <v>13147</v>
      </c>
      <c r="G80" s="9">
        <v>13147</v>
      </c>
      <c r="H80" s="9">
        <v>13147</v>
      </c>
      <c r="I80" s="9">
        <v>13147</v>
      </c>
      <c r="J80" s="9">
        <v>13147</v>
      </c>
      <c r="K80" s="9">
        <v>13147</v>
      </c>
      <c r="L80" s="9">
        <v>13147</v>
      </c>
      <c r="M80" s="9">
        <v>13147</v>
      </c>
      <c r="N80" s="9">
        <v>13147</v>
      </c>
      <c r="O80" s="31">
        <v>13147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1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31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31">
        <v>0</v>
      </c>
      <c r="BC80" s="9">
        <v>6172</v>
      </c>
      <c r="BD80" s="9">
        <v>6172</v>
      </c>
      <c r="BE80" s="9">
        <v>6172</v>
      </c>
      <c r="BF80" s="9">
        <v>6172</v>
      </c>
      <c r="BG80" s="9">
        <v>6172</v>
      </c>
      <c r="BH80" s="9">
        <v>6172</v>
      </c>
      <c r="BI80" s="9">
        <v>6172</v>
      </c>
      <c r="BJ80" s="9">
        <v>6172</v>
      </c>
      <c r="BK80" s="9">
        <v>6172</v>
      </c>
      <c r="BL80" s="9">
        <v>6172</v>
      </c>
      <c r="BM80" s="9">
        <v>6172</v>
      </c>
      <c r="BN80" s="9">
        <v>6172</v>
      </c>
      <c r="BO80" s="31">
        <v>6172</v>
      </c>
      <c r="BP80" s="9">
        <v>10</v>
      </c>
      <c r="BQ80" s="9">
        <v>10</v>
      </c>
      <c r="BR80" s="9">
        <v>10</v>
      </c>
      <c r="BS80" s="9">
        <v>10</v>
      </c>
      <c r="BT80" s="9">
        <v>10</v>
      </c>
      <c r="BU80" s="9">
        <v>10</v>
      </c>
      <c r="BV80" s="9">
        <v>10</v>
      </c>
      <c r="BW80" s="9">
        <v>10</v>
      </c>
      <c r="BX80" s="9">
        <v>10</v>
      </c>
      <c r="BY80" s="9">
        <v>10</v>
      </c>
      <c r="BZ80" s="9">
        <v>10</v>
      </c>
      <c r="CA80" s="9">
        <v>10</v>
      </c>
      <c r="CB80" s="31">
        <v>10</v>
      </c>
    </row>
    <row r="81" spans="2:80" x14ac:dyDescent="0.3">
      <c r="B81" s="7" t="s">
        <v>50</v>
      </c>
      <c r="C81" s="9">
        <v>1616</v>
      </c>
      <c r="D81" s="9">
        <v>1616</v>
      </c>
      <c r="E81" s="9">
        <v>1616</v>
      </c>
      <c r="F81" s="9">
        <v>1616</v>
      </c>
      <c r="G81" s="9">
        <v>1616</v>
      </c>
      <c r="H81" s="9">
        <v>1616</v>
      </c>
      <c r="I81" s="9">
        <v>1616</v>
      </c>
      <c r="J81" s="9">
        <v>1616</v>
      </c>
      <c r="K81" s="9">
        <v>1616</v>
      </c>
      <c r="L81" s="9">
        <v>1616</v>
      </c>
      <c r="M81" s="9">
        <v>1616</v>
      </c>
      <c r="N81" s="9">
        <v>1616</v>
      </c>
      <c r="O81" s="31">
        <v>1616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1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31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31">
        <v>0</v>
      </c>
      <c r="BC81" s="9">
        <v>747</v>
      </c>
      <c r="BD81" s="9">
        <v>747</v>
      </c>
      <c r="BE81" s="9">
        <v>747</v>
      </c>
      <c r="BF81" s="9">
        <v>747</v>
      </c>
      <c r="BG81" s="9">
        <v>747</v>
      </c>
      <c r="BH81" s="9">
        <v>747</v>
      </c>
      <c r="BI81" s="9">
        <v>747</v>
      </c>
      <c r="BJ81" s="9">
        <v>747</v>
      </c>
      <c r="BK81" s="9">
        <v>747</v>
      </c>
      <c r="BL81" s="9">
        <v>747</v>
      </c>
      <c r="BM81" s="9">
        <v>747</v>
      </c>
      <c r="BN81" s="9">
        <v>747</v>
      </c>
      <c r="BO81" s="31">
        <v>747</v>
      </c>
      <c r="BP81" s="9">
        <v>10</v>
      </c>
      <c r="BQ81" s="9">
        <v>10</v>
      </c>
      <c r="BR81" s="9">
        <v>10</v>
      </c>
      <c r="BS81" s="9">
        <v>10</v>
      </c>
      <c r="BT81" s="9">
        <v>10</v>
      </c>
      <c r="BU81" s="9">
        <v>10</v>
      </c>
      <c r="BV81" s="9">
        <v>10</v>
      </c>
      <c r="BW81" s="9">
        <v>10</v>
      </c>
      <c r="BX81" s="9">
        <v>10</v>
      </c>
      <c r="BY81" s="9">
        <v>10</v>
      </c>
      <c r="BZ81" s="9">
        <v>10</v>
      </c>
      <c r="CA81" s="9">
        <v>10</v>
      </c>
      <c r="CB81" s="31">
        <v>10</v>
      </c>
    </row>
    <row r="82" spans="2:80" x14ac:dyDescent="0.3">
      <c r="B82" s="7" t="s">
        <v>51</v>
      </c>
      <c r="C82" s="9">
        <v>7771</v>
      </c>
      <c r="D82" s="9">
        <v>7771</v>
      </c>
      <c r="E82" s="9">
        <v>7771</v>
      </c>
      <c r="F82" s="9">
        <v>7771</v>
      </c>
      <c r="G82" s="9">
        <v>7771</v>
      </c>
      <c r="H82" s="9">
        <v>7771</v>
      </c>
      <c r="I82" s="9">
        <v>7771</v>
      </c>
      <c r="J82" s="9">
        <v>7771</v>
      </c>
      <c r="K82" s="9">
        <v>7771</v>
      </c>
      <c r="L82" s="9">
        <v>7771</v>
      </c>
      <c r="M82" s="9">
        <v>7771</v>
      </c>
      <c r="N82" s="9">
        <v>7771</v>
      </c>
      <c r="O82" s="31">
        <v>7771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1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31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31">
        <v>0</v>
      </c>
      <c r="BC82" s="9">
        <v>6884</v>
      </c>
      <c r="BD82" s="9">
        <v>6884</v>
      </c>
      <c r="BE82" s="9">
        <v>6884</v>
      </c>
      <c r="BF82" s="9">
        <v>6884</v>
      </c>
      <c r="BG82" s="9">
        <v>6884</v>
      </c>
      <c r="BH82" s="9">
        <v>6884</v>
      </c>
      <c r="BI82" s="9">
        <v>6884</v>
      </c>
      <c r="BJ82" s="9">
        <v>6884</v>
      </c>
      <c r="BK82" s="9">
        <v>6884</v>
      </c>
      <c r="BL82" s="9">
        <v>6884</v>
      </c>
      <c r="BM82" s="9">
        <v>6884</v>
      </c>
      <c r="BN82" s="9">
        <v>6884</v>
      </c>
      <c r="BO82" s="31">
        <v>6884</v>
      </c>
      <c r="BP82" s="9">
        <v>10</v>
      </c>
      <c r="BQ82" s="9">
        <v>10</v>
      </c>
      <c r="BR82" s="9">
        <v>10</v>
      </c>
      <c r="BS82" s="9">
        <v>10</v>
      </c>
      <c r="BT82" s="9">
        <v>10</v>
      </c>
      <c r="BU82" s="9">
        <v>10</v>
      </c>
      <c r="BV82" s="9">
        <v>10</v>
      </c>
      <c r="BW82" s="9">
        <v>10</v>
      </c>
      <c r="BX82" s="9">
        <v>10</v>
      </c>
      <c r="BY82" s="9">
        <v>10</v>
      </c>
      <c r="BZ82" s="9">
        <v>10</v>
      </c>
      <c r="CA82" s="9">
        <v>10</v>
      </c>
      <c r="CB82" s="31">
        <v>10</v>
      </c>
    </row>
    <row r="83" spans="2:80" x14ac:dyDescent="0.3">
      <c r="B83" s="7" t="s">
        <v>52</v>
      </c>
      <c r="C83" s="9">
        <v>9458</v>
      </c>
      <c r="D83" s="9">
        <v>9458</v>
      </c>
      <c r="E83" s="9">
        <v>9458</v>
      </c>
      <c r="F83" s="9">
        <v>9458</v>
      </c>
      <c r="G83" s="9">
        <v>9458</v>
      </c>
      <c r="H83" s="9">
        <v>9458</v>
      </c>
      <c r="I83" s="9">
        <v>9458</v>
      </c>
      <c r="J83" s="9">
        <v>9458</v>
      </c>
      <c r="K83" s="9">
        <v>9458</v>
      </c>
      <c r="L83" s="9">
        <v>9458</v>
      </c>
      <c r="M83" s="9">
        <v>9458</v>
      </c>
      <c r="N83" s="9">
        <v>9458</v>
      </c>
      <c r="O83" s="31">
        <v>9458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1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31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31">
        <v>0</v>
      </c>
      <c r="BC83" s="9">
        <v>6351</v>
      </c>
      <c r="BD83" s="9">
        <v>6351</v>
      </c>
      <c r="BE83" s="9">
        <v>6351</v>
      </c>
      <c r="BF83" s="9">
        <v>6351</v>
      </c>
      <c r="BG83" s="9">
        <v>6351</v>
      </c>
      <c r="BH83" s="9">
        <v>6351</v>
      </c>
      <c r="BI83" s="9">
        <v>6351</v>
      </c>
      <c r="BJ83" s="9">
        <v>6351</v>
      </c>
      <c r="BK83" s="9">
        <v>6351</v>
      </c>
      <c r="BL83" s="9">
        <v>6351</v>
      </c>
      <c r="BM83" s="9">
        <v>6351</v>
      </c>
      <c r="BN83" s="9">
        <v>6351</v>
      </c>
      <c r="BO83" s="31">
        <v>6351</v>
      </c>
      <c r="BP83" s="9">
        <v>10</v>
      </c>
      <c r="BQ83" s="9">
        <v>10</v>
      </c>
      <c r="BR83" s="9">
        <v>10</v>
      </c>
      <c r="BS83" s="9">
        <v>10</v>
      </c>
      <c r="BT83" s="9">
        <v>10</v>
      </c>
      <c r="BU83" s="9">
        <v>10</v>
      </c>
      <c r="BV83" s="9">
        <v>10</v>
      </c>
      <c r="BW83" s="9">
        <v>10</v>
      </c>
      <c r="BX83" s="9">
        <v>10</v>
      </c>
      <c r="BY83" s="9">
        <v>10</v>
      </c>
      <c r="BZ83" s="9">
        <v>10</v>
      </c>
      <c r="CA83" s="9">
        <v>10</v>
      </c>
      <c r="CB83" s="31">
        <v>10</v>
      </c>
    </row>
    <row r="84" spans="2:80" x14ac:dyDescent="0.3">
      <c r="B84" s="7" t="s">
        <v>53</v>
      </c>
      <c r="C84" s="9">
        <v>16432</v>
      </c>
      <c r="D84" s="9">
        <v>16432</v>
      </c>
      <c r="E84" s="9">
        <v>16432</v>
      </c>
      <c r="F84" s="9">
        <v>16432</v>
      </c>
      <c r="G84" s="9">
        <v>16432</v>
      </c>
      <c r="H84" s="9">
        <v>16432</v>
      </c>
      <c r="I84" s="9">
        <v>16432</v>
      </c>
      <c r="J84" s="9">
        <v>16432</v>
      </c>
      <c r="K84" s="9">
        <v>16432</v>
      </c>
      <c r="L84" s="9">
        <v>16432</v>
      </c>
      <c r="M84" s="9">
        <v>16432</v>
      </c>
      <c r="N84" s="9">
        <v>16432</v>
      </c>
      <c r="O84" s="31">
        <v>16432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1">
        <v>0</v>
      </c>
      <c r="AC84" s="9">
        <v>3986250</v>
      </c>
      <c r="AD84" s="9">
        <v>3986250</v>
      </c>
      <c r="AE84" s="9">
        <v>3986250</v>
      </c>
      <c r="AF84" s="9">
        <v>3986250</v>
      </c>
      <c r="AG84" s="9">
        <v>3986250</v>
      </c>
      <c r="AH84" s="9">
        <v>3986250</v>
      </c>
      <c r="AI84" s="9">
        <v>3986250</v>
      </c>
      <c r="AJ84" s="9">
        <v>3986250</v>
      </c>
      <c r="AK84" s="9">
        <v>3986250</v>
      </c>
      <c r="AL84" s="9">
        <v>3986250</v>
      </c>
      <c r="AM84" s="9">
        <v>3986250</v>
      </c>
      <c r="AN84" s="9">
        <v>3986250</v>
      </c>
      <c r="AO84" s="31">
        <v>3986250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31">
        <v>0</v>
      </c>
      <c r="BC84" s="9">
        <v>7515</v>
      </c>
      <c r="BD84" s="9">
        <v>7515</v>
      </c>
      <c r="BE84" s="9">
        <v>7515</v>
      </c>
      <c r="BF84" s="9">
        <v>7515</v>
      </c>
      <c r="BG84" s="9">
        <v>7515</v>
      </c>
      <c r="BH84" s="9">
        <v>7515</v>
      </c>
      <c r="BI84" s="9">
        <v>7515</v>
      </c>
      <c r="BJ84" s="9">
        <v>7515</v>
      </c>
      <c r="BK84" s="9">
        <v>7515</v>
      </c>
      <c r="BL84" s="9">
        <v>7515</v>
      </c>
      <c r="BM84" s="9">
        <v>7515</v>
      </c>
      <c r="BN84" s="9">
        <v>7515</v>
      </c>
      <c r="BO84" s="31">
        <v>7515</v>
      </c>
      <c r="BP84" s="9">
        <v>10</v>
      </c>
      <c r="BQ84" s="9">
        <v>10</v>
      </c>
      <c r="BR84" s="9">
        <v>10</v>
      </c>
      <c r="BS84" s="9">
        <v>10</v>
      </c>
      <c r="BT84" s="9">
        <v>10</v>
      </c>
      <c r="BU84" s="9">
        <v>10</v>
      </c>
      <c r="BV84" s="9">
        <v>10</v>
      </c>
      <c r="BW84" s="9">
        <v>10</v>
      </c>
      <c r="BX84" s="9">
        <v>10</v>
      </c>
      <c r="BY84" s="9">
        <v>10</v>
      </c>
      <c r="BZ84" s="9">
        <v>10</v>
      </c>
      <c r="CA84" s="9">
        <v>10</v>
      </c>
      <c r="CB84" s="31">
        <v>10</v>
      </c>
    </row>
    <row r="85" spans="2:80" x14ac:dyDescent="0.3">
      <c r="B85" s="7" t="s">
        <v>54</v>
      </c>
      <c r="C85" s="9">
        <v>45774</v>
      </c>
      <c r="D85" s="9">
        <v>45774</v>
      </c>
      <c r="E85" s="9">
        <v>45774</v>
      </c>
      <c r="F85" s="9">
        <v>45774</v>
      </c>
      <c r="G85" s="9">
        <v>45774</v>
      </c>
      <c r="H85" s="9">
        <v>45774</v>
      </c>
      <c r="I85" s="9">
        <v>45774</v>
      </c>
      <c r="J85" s="9">
        <v>45774</v>
      </c>
      <c r="K85" s="9">
        <v>45774</v>
      </c>
      <c r="L85" s="9">
        <v>45774</v>
      </c>
      <c r="M85" s="9">
        <v>45774</v>
      </c>
      <c r="N85" s="9">
        <v>45774</v>
      </c>
      <c r="O85" s="31">
        <v>45774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1">
        <v>0</v>
      </c>
      <c r="AC85" s="9">
        <v>9301250</v>
      </c>
      <c r="AD85" s="9">
        <v>9301250</v>
      </c>
      <c r="AE85" s="9">
        <v>9301250</v>
      </c>
      <c r="AF85" s="9">
        <v>9301250</v>
      </c>
      <c r="AG85" s="9">
        <v>9301250</v>
      </c>
      <c r="AH85" s="9">
        <v>9301250</v>
      </c>
      <c r="AI85" s="9">
        <v>9301250</v>
      </c>
      <c r="AJ85" s="9">
        <v>9301250</v>
      </c>
      <c r="AK85" s="9">
        <v>9301250</v>
      </c>
      <c r="AL85" s="9">
        <v>9301250</v>
      </c>
      <c r="AM85" s="9">
        <v>9301250</v>
      </c>
      <c r="AN85" s="9">
        <v>9301250</v>
      </c>
      <c r="AO85" s="31">
        <v>9301250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31">
        <v>0</v>
      </c>
      <c r="BC85" s="9">
        <v>18756</v>
      </c>
      <c r="BD85" s="9">
        <v>18756</v>
      </c>
      <c r="BE85" s="9">
        <v>18756</v>
      </c>
      <c r="BF85" s="9">
        <v>18756</v>
      </c>
      <c r="BG85" s="9">
        <v>18756</v>
      </c>
      <c r="BH85" s="9">
        <v>18756</v>
      </c>
      <c r="BI85" s="9">
        <v>18756</v>
      </c>
      <c r="BJ85" s="9">
        <v>18756</v>
      </c>
      <c r="BK85" s="9">
        <v>18756</v>
      </c>
      <c r="BL85" s="9">
        <v>18756</v>
      </c>
      <c r="BM85" s="9">
        <v>18756</v>
      </c>
      <c r="BN85" s="9">
        <v>18756</v>
      </c>
      <c r="BO85" s="31">
        <v>18756</v>
      </c>
      <c r="BP85" s="9">
        <v>10</v>
      </c>
      <c r="BQ85" s="9">
        <v>10</v>
      </c>
      <c r="BR85" s="9">
        <v>10</v>
      </c>
      <c r="BS85" s="9">
        <v>10</v>
      </c>
      <c r="BT85" s="9">
        <v>10</v>
      </c>
      <c r="BU85" s="9">
        <v>10</v>
      </c>
      <c r="BV85" s="9">
        <v>10</v>
      </c>
      <c r="BW85" s="9">
        <v>10</v>
      </c>
      <c r="BX85" s="9">
        <v>10</v>
      </c>
      <c r="BY85" s="9">
        <v>10</v>
      </c>
      <c r="BZ85" s="9">
        <v>10</v>
      </c>
      <c r="CA85" s="9">
        <v>10</v>
      </c>
      <c r="CB85" s="31">
        <v>10</v>
      </c>
    </row>
    <row r="86" spans="2:80" x14ac:dyDescent="0.3">
      <c r="B86" s="7" t="s">
        <v>55</v>
      </c>
      <c r="C86" s="9">
        <v>11095</v>
      </c>
      <c r="D86" s="9">
        <v>11095</v>
      </c>
      <c r="E86" s="9">
        <v>11095</v>
      </c>
      <c r="F86" s="9">
        <v>11095</v>
      </c>
      <c r="G86" s="9">
        <v>11095</v>
      </c>
      <c r="H86" s="9">
        <v>11095</v>
      </c>
      <c r="I86" s="9">
        <v>11095</v>
      </c>
      <c r="J86" s="9">
        <v>11095</v>
      </c>
      <c r="K86" s="9">
        <v>11095</v>
      </c>
      <c r="L86" s="9">
        <v>11095</v>
      </c>
      <c r="M86" s="9">
        <v>11095</v>
      </c>
      <c r="N86" s="9">
        <v>11095</v>
      </c>
      <c r="O86" s="31">
        <v>11095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1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31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31">
        <v>0</v>
      </c>
      <c r="BC86" s="9">
        <v>7815</v>
      </c>
      <c r="BD86" s="9">
        <v>7815</v>
      </c>
      <c r="BE86" s="9">
        <v>7815</v>
      </c>
      <c r="BF86" s="9">
        <v>7815</v>
      </c>
      <c r="BG86" s="9">
        <v>7815</v>
      </c>
      <c r="BH86" s="9">
        <v>7815</v>
      </c>
      <c r="BI86" s="9">
        <v>7815</v>
      </c>
      <c r="BJ86" s="9">
        <v>7815</v>
      </c>
      <c r="BK86" s="9">
        <v>7815</v>
      </c>
      <c r="BL86" s="9">
        <v>7815</v>
      </c>
      <c r="BM86" s="9">
        <v>7815</v>
      </c>
      <c r="BN86" s="9">
        <v>7815</v>
      </c>
      <c r="BO86" s="31">
        <v>7815</v>
      </c>
      <c r="BP86" s="9">
        <v>10</v>
      </c>
      <c r="BQ86" s="9">
        <v>10</v>
      </c>
      <c r="BR86" s="9">
        <v>10</v>
      </c>
      <c r="BS86" s="9">
        <v>10</v>
      </c>
      <c r="BT86" s="9">
        <v>10</v>
      </c>
      <c r="BU86" s="9">
        <v>10</v>
      </c>
      <c r="BV86" s="9">
        <v>10</v>
      </c>
      <c r="BW86" s="9">
        <v>10</v>
      </c>
      <c r="BX86" s="9">
        <v>10</v>
      </c>
      <c r="BY86" s="9">
        <v>10</v>
      </c>
      <c r="BZ86" s="9">
        <v>10</v>
      </c>
      <c r="CA86" s="9">
        <v>10</v>
      </c>
      <c r="CB86" s="31">
        <v>10</v>
      </c>
    </row>
    <row r="87" spans="2:80" x14ac:dyDescent="0.3">
      <c r="B87" s="7" t="s">
        <v>56</v>
      </c>
      <c r="C87" s="9">
        <v>7055</v>
      </c>
      <c r="D87" s="9">
        <v>7055</v>
      </c>
      <c r="E87" s="9">
        <v>7055</v>
      </c>
      <c r="F87" s="9">
        <v>7055</v>
      </c>
      <c r="G87" s="9">
        <v>7055</v>
      </c>
      <c r="H87" s="9">
        <v>7055</v>
      </c>
      <c r="I87" s="9">
        <v>7055</v>
      </c>
      <c r="J87" s="9">
        <v>7055</v>
      </c>
      <c r="K87" s="9">
        <v>7055</v>
      </c>
      <c r="L87" s="9">
        <v>7055</v>
      </c>
      <c r="M87" s="9">
        <v>7055</v>
      </c>
      <c r="N87" s="9">
        <v>7055</v>
      </c>
      <c r="O87" s="31">
        <v>7055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1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31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31">
        <v>0</v>
      </c>
      <c r="BC87" s="9">
        <v>3126</v>
      </c>
      <c r="BD87" s="9">
        <v>3126</v>
      </c>
      <c r="BE87" s="9">
        <v>3126</v>
      </c>
      <c r="BF87" s="9">
        <v>3126</v>
      </c>
      <c r="BG87" s="9">
        <v>3126</v>
      </c>
      <c r="BH87" s="9">
        <v>3126</v>
      </c>
      <c r="BI87" s="9">
        <v>3126</v>
      </c>
      <c r="BJ87" s="9">
        <v>3126</v>
      </c>
      <c r="BK87" s="9">
        <v>3126</v>
      </c>
      <c r="BL87" s="9">
        <v>3126</v>
      </c>
      <c r="BM87" s="9">
        <v>3126</v>
      </c>
      <c r="BN87" s="9">
        <v>3126</v>
      </c>
      <c r="BO87" s="31">
        <v>3126</v>
      </c>
      <c r="BP87" s="9">
        <v>10</v>
      </c>
      <c r="BQ87" s="9">
        <v>10</v>
      </c>
      <c r="BR87" s="9">
        <v>10</v>
      </c>
      <c r="BS87" s="9">
        <v>10</v>
      </c>
      <c r="BT87" s="9">
        <v>10</v>
      </c>
      <c r="BU87" s="9">
        <v>10</v>
      </c>
      <c r="BV87" s="9">
        <v>10</v>
      </c>
      <c r="BW87" s="9">
        <v>10</v>
      </c>
      <c r="BX87" s="9">
        <v>10</v>
      </c>
      <c r="BY87" s="9">
        <v>10</v>
      </c>
      <c r="BZ87" s="9">
        <v>10</v>
      </c>
      <c r="CA87" s="9">
        <v>10</v>
      </c>
      <c r="CB87" s="31">
        <v>10</v>
      </c>
    </row>
    <row r="88" spans="2:80" x14ac:dyDescent="0.3">
      <c r="B88" s="7" t="s">
        <v>57</v>
      </c>
      <c r="C88" s="9">
        <v>15569</v>
      </c>
      <c r="D88" s="9">
        <v>15569</v>
      </c>
      <c r="E88" s="9">
        <v>15569</v>
      </c>
      <c r="F88" s="9">
        <v>15569</v>
      </c>
      <c r="G88" s="9">
        <v>15569</v>
      </c>
      <c r="H88" s="9">
        <v>15569</v>
      </c>
      <c r="I88" s="9">
        <v>15569</v>
      </c>
      <c r="J88" s="9">
        <v>15569</v>
      </c>
      <c r="K88" s="9">
        <v>15569</v>
      </c>
      <c r="L88" s="9">
        <v>15569</v>
      </c>
      <c r="M88" s="9">
        <v>15569</v>
      </c>
      <c r="N88" s="9">
        <v>15569</v>
      </c>
      <c r="O88" s="31">
        <v>15569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1">
        <v>0</v>
      </c>
      <c r="AC88" s="9">
        <v>3986250</v>
      </c>
      <c r="AD88" s="9">
        <v>3986250</v>
      </c>
      <c r="AE88" s="9">
        <v>3986250</v>
      </c>
      <c r="AF88" s="9">
        <v>3986250</v>
      </c>
      <c r="AG88" s="9">
        <v>3986250</v>
      </c>
      <c r="AH88" s="9">
        <v>3986250</v>
      </c>
      <c r="AI88" s="9">
        <v>3986250</v>
      </c>
      <c r="AJ88" s="9">
        <v>3986250</v>
      </c>
      <c r="AK88" s="9">
        <v>3986250</v>
      </c>
      <c r="AL88" s="9">
        <v>3986250</v>
      </c>
      <c r="AM88" s="9">
        <v>3986250</v>
      </c>
      <c r="AN88" s="9">
        <v>3986250</v>
      </c>
      <c r="AO88" s="31">
        <v>3986250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31">
        <v>0</v>
      </c>
      <c r="BC88" s="9">
        <v>9378</v>
      </c>
      <c r="BD88" s="9">
        <v>9378</v>
      </c>
      <c r="BE88" s="9">
        <v>9378</v>
      </c>
      <c r="BF88" s="9">
        <v>9378</v>
      </c>
      <c r="BG88" s="9">
        <v>9378</v>
      </c>
      <c r="BH88" s="9">
        <v>9378</v>
      </c>
      <c r="BI88" s="9">
        <v>9378</v>
      </c>
      <c r="BJ88" s="9">
        <v>9378</v>
      </c>
      <c r="BK88" s="9">
        <v>9378</v>
      </c>
      <c r="BL88" s="9">
        <v>9378</v>
      </c>
      <c r="BM88" s="9">
        <v>9378</v>
      </c>
      <c r="BN88" s="9">
        <v>9378</v>
      </c>
      <c r="BO88" s="31">
        <v>9378</v>
      </c>
      <c r="BP88" s="9">
        <v>10</v>
      </c>
      <c r="BQ88" s="9">
        <v>10</v>
      </c>
      <c r="BR88" s="9">
        <v>10</v>
      </c>
      <c r="BS88" s="9">
        <v>10</v>
      </c>
      <c r="BT88" s="9">
        <v>10</v>
      </c>
      <c r="BU88" s="9">
        <v>10</v>
      </c>
      <c r="BV88" s="9">
        <v>10</v>
      </c>
      <c r="BW88" s="9">
        <v>10</v>
      </c>
      <c r="BX88" s="9">
        <v>10</v>
      </c>
      <c r="BY88" s="9">
        <v>10</v>
      </c>
      <c r="BZ88" s="9">
        <v>10</v>
      </c>
      <c r="CA88" s="9">
        <v>10</v>
      </c>
      <c r="CB88" s="31">
        <v>10</v>
      </c>
    </row>
    <row r="89" spans="2:80" x14ac:dyDescent="0.3">
      <c r="B89" s="7" t="s">
        <v>58</v>
      </c>
      <c r="C89" s="9">
        <v>13073</v>
      </c>
      <c r="D89" s="9">
        <v>13073</v>
      </c>
      <c r="E89" s="9">
        <v>13073</v>
      </c>
      <c r="F89" s="9">
        <v>13073</v>
      </c>
      <c r="G89" s="9">
        <v>13073</v>
      </c>
      <c r="H89" s="9">
        <v>13073</v>
      </c>
      <c r="I89" s="9">
        <v>13073</v>
      </c>
      <c r="J89" s="9">
        <v>13073</v>
      </c>
      <c r="K89" s="9">
        <v>13073</v>
      </c>
      <c r="L89" s="9">
        <v>13073</v>
      </c>
      <c r="M89" s="9">
        <v>13073</v>
      </c>
      <c r="N89" s="9">
        <v>13073</v>
      </c>
      <c r="O89" s="31">
        <v>13073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1">
        <v>0</v>
      </c>
      <c r="AC89" s="9">
        <v>9301250</v>
      </c>
      <c r="AD89" s="9">
        <v>9301250</v>
      </c>
      <c r="AE89" s="9">
        <v>9301250</v>
      </c>
      <c r="AF89" s="9">
        <v>9301250</v>
      </c>
      <c r="AG89" s="9">
        <v>9301250</v>
      </c>
      <c r="AH89" s="9">
        <v>9301250</v>
      </c>
      <c r="AI89" s="9">
        <v>9301250</v>
      </c>
      <c r="AJ89" s="9">
        <v>9301250</v>
      </c>
      <c r="AK89" s="9">
        <v>9301250</v>
      </c>
      <c r="AL89" s="9">
        <v>9301250</v>
      </c>
      <c r="AM89" s="9">
        <v>9301250</v>
      </c>
      <c r="AN89" s="9">
        <v>9301250</v>
      </c>
      <c r="AO89" s="31">
        <v>9301250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31">
        <v>0</v>
      </c>
      <c r="BC89" s="9">
        <v>12504</v>
      </c>
      <c r="BD89" s="9">
        <v>12504</v>
      </c>
      <c r="BE89" s="9">
        <v>12504</v>
      </c>
      <c r="BF89" s="9">
        <v>12504</v>
      </c>
      <c r="BG89" s="9">
        <v>12504</v>
      </c>
      <c r="BH89" s="9">
        <v>12504</v>
      </c>
      <c r="BI89" s="9">
        <v>12504</v>
      </c>
      <c r="BJ89" s="9">
        <v>12504</v>
      </c>
      <c r="BK89" s="9">
        <v>12504</v>
      </c>
      <c r="BL89" s="9">
        <v>12504</v>
      </c>
      <c r="BM89" s="9">
        <v>12504</v>
      </c>
      <c r="BN89" s="9">
        <v>12504</v>
      </c>
      <c r="BO89" s="31">
        <v>12504</v>
      </c>
      <c r="BP89" s="9">
        <v>10</v>
      </c>
      <c r="BQ89" s="9">
        <v>10</v>
      </c>
      <c r="BR89" s="9">
        <v>10</v>
      </c>
      <c r="BS89" s="9">
        <v>10</v>
      </c>
      <c r="BT89" s="9">
        <v>10</v>
      </c>
      <c r="BU89" s="9">
        <v>10</v>
      </c>
      <c r="BV89" s="9">
        <v>10</v>
      </c>
      <c r="BW89" s="9">
        <v>10</v>
      </c>
      <c r="BX89" s="9">
        <v>10</v>
      </c>
      <c r="BY89" s="9">
        <v>10</v>
      </c>
      <c r="BZ89" s="9">
        <v>10</v>
      </c>
      <c r="CA89" s="9">
        <v>10</v>
      </c>
      <c r="CB89" s="31">
        <v>10</v>
      </c>
    </row>
    <row r="90" spans="2:80" x14ac:dyDescent="0.3">
      <c r="B90" s="7" t="s">
        <v>59</v>
      </c>
      <c r="C90" s="9">
        <v>18558</v>
      </c>
      <c r="D90" s="9">
        <v>18558</v>
      </c>
      <c r="E90" s="9">
        <v>18558</v>
      </c>
      <c r="F90" s="9">
        <v>18558</v>
      </c>
      <c r="G90" s="9">
        <v>18558</v>
      </c>
      <c r="H90" s="9">
        <v>18558</v>
      </c>
      <c r="I90" s="9">
        <v>18558</v>
      </c>
      <c r="J90" s="9">
        <v>18558</v>
      </c>
      <c r="K90" s="9">
        <v>18558</v>
      </c>
      <c r="L90" s="9">
        <v>18558</v>
      </c>
      <c r="M90" s="9">
        <v>18558</v>
      </c>
      <c r="N90" s="9">
        <v>18558</v>
      </c>
      <c r="O90" s="31">
        <v>18558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31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31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31">
        <v>0</v>
      </c>
      <c r="BC90" s="9">
        <v>7294</v>
      </c>
      <c r="BD90" s="9">
        <v>7294</v>
      </c>
      <c r="BE90" s="9">
        <v>7294</v>
      </c>
      <c r="BF90" s="9">
        <v>7294</v>
      </c>
      <c r="BG90" s="9">
        <v>7294</v>
      </c>
      <c r="BH90" s="9">
        <v>7294</v>
      </c>
      <c r="BI90" s="9">
        <v>7294</v>
      </c>
      <c r="BJ90" s="9">
        <v>7294</v>
      </c>
      <c r="BK90" s="9">
        <v>7294</v>
      </c>
      <c r="BL90" s="9">
        <v>7294</v>
      </c>
      <c r="BM90" s="9">
        <v>7294</v>
      </c>
      <c r="BN90" s="9">
        <v>7294</v>
      </c>
      <c r="BO90" s="31">
        <v>7294</v>
      </c>
      <c r="BP90" s="9">
        <v>10</v>
      </c>
      <c r="BQ90" s="9">
        <v>10</v>
      </c>
      <c r="BR90" s="9">
        <v>10</v>
      </c>
      <c r="BS90" s="9">
        <v>10</v>
      </c>
      <c r="BT90" s="9">
        <v>10</v>
      </c>
      <c r="BU90" s="9">
        <v>10</v>
      </c>
      <c r="BV90" s="9">
        <v>10</v>
      </c>
      <c r="BW90" s="9">
        <v>10</v>
      </c>
      <c r="BX90" s="9">
        <v>10</v>
      </c>
      <c r="BY90" s="9">
        <v>10</v>
      </c>
      <c r="BZ90" s="9">
        <v>10</v>
      </c>
      <c r="CA90" s="9">
        <v>10</v>
      </c>
      <c r="CB90" s="31">
        <v>10</v>
      </c>
    </row>
    <row r="91" spans="2:80" x14ac:dyDescent="0.3">
      <c r="B91" s="7" t="s">
        <v>60</v>
      </c>
      <c r="C91" s="9">
        <v>13786</v>
      </c>
      <c r="D91" s="9">
        <v>13786</v>
      </c>
      <c r="E91" s="9">
        <v>13786</v>
      </c>
      <c r="F91" s="9">
        <v>13786</v>
      </c>
      <c r="G91" s="9">
        <v>13786</v>
      </c>
      <c r="H91" s="9">
        <v>13786</v>
      </c>
      <c r="I91" s="9">
        <v>13786</v>
      </c>
      <c r="J91" s="9">
        <v>13786</v>
      </c>
      <c r="K91" s="9">
        <v>13786</v>
      </c>
      <c r="L91" s="9">
        <v>13786</v>
      </c>
      <c r="M91" s="9">
        <v>13786</v>
      </c>
      <c r="N91" s="9">
        <v>13786</v>
      </c>
      <c r="O91" s="31">
        <v>13786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1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31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31">
        <v>0</v>
      </c>
      <c r="BC91" s="9">
        <v>6200</v>
      </c>
      <c r="BD91" s="9">
        <v>6200</v>
      </c>
      <c r="BE91" s="9">
        <v>6200</v>
      </c>
      <c r="BF91" s="9">
        <v>6200</v>
      </c>
      <c r="BG91" s="9">
        <v>6200</v>
      </c>
      <c r="BH91" s="9">
        <v>6200</v>
      </c>
      <c r="BI91" s="9">
        <v>6200</v>
      </c>
      <c r="BJ91" s="9">
        <v>6200</v>
      </c>
      <c r="BK91" s="9">
        <v>6200</v>
      </c>
      <c r="BL91" s="9">
        <v>6200</v>
      </c>
      <c r="BM91" s="9">
        <v>6200</v>
      </c>
      <c r="BN91" s="9">
        <v>6200</v>
      </c>
      <c r="BO91" s="31">
        <v>6200</v>
      </c>
      <c r="BP91" s="9">
        <v>10</v>
      </c>
      <c r="BQ91" s="9">
        <v>10</v>
      </c>
      <c r="BR91" s="9">
        <v>10</v>
      </c>
      <c r="BS91" s="9">
        <v>10</v>
      </c>
      <c r="BT91" s="9">
        <v>10</v>
      </c>
      <c r="BU91" s="9">
        <v>10</v>
      </c>
      <c r="BV91" s="9">
        <v>10</v>
      </c>
      <c r="BW91" s="9">
        <v>10</v>
      </c>
      <c r="BX91" s="9">
        <v>10</v>
      </c>
      <c r="BY91" s="9">
        <v>10</v>
      </c>
      <c r="BZ91" s="9">
        <v>10</v>
      </c>
      <c r="CA91" s="9">
        <v>10</v>
      </c>
      <c r="CB91" s="31">
        <v>10</v>
      </c>
    </row>
    <row r="92" spans="2:80" x14ac:dyDescent="0.3">
      <c r="B92" s="7" t="s">
        <v>61</v>
      </c>
      <c r="C92" s="9">
        <v>9479</v>
      </c>
      <c r="D92" s="9">
        <v>9479</v>
      </c>
      <c r="E92" s="9">
        <v>9479</v>
      </c>
      <c r="F92" s="9">
        <v>9479</v>
      </c>
      <c r="G92" s="9">
        <v>9479</v>
      </c>
      <c r="H92" s="9">
        <v>9479</v>
      </c>
      <c r="I92" s="9">
        <v>9479</v>
      </c>
      <c r="J92" s="9">
        <v>9479</v>
      </c>
      <c r="K92" s="9">
        <v>9479</v>
      </c>
      <c r="L92" s="9">
        <v>9479</v>
      </c>
      <c r="M92" s="9">
        <v>9479</v>
      </c>
      <c r="N92" s="9">
        <v>9479</v>
      </c>
      <c r="O92" s="31">
        <v>9479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1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31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31">
        <v>0</v>
      </c>
      <c r="BC92" s="9">
        <v>2084</v>
      </c>
      <c r="BD92" s="9">
        <v>2084</v>
      </c>
      <c r="BE92" s="9">
        <v>2084</v>
      </c>
      <c r="BF92" s="9">
        <v>2084</v>
      </c>
      <c r="BG92" s="9">
        <v>2084</v>
      </c>
      <c r="BH92" s="9">
        <v>2084</v>
      </c>
      <c r="BI92" s="9">
        <v>2084</v>
      </c>
      <c r="BJ92" s="9">
        <v>2084</v>
      </c>
      <c r="BK92" s="9">
        <v>2084</v>
      </c>
      <c r="BL92" s="9">
        <v>2084</v>
      </c>
      <c r="BM92" s="9">
        <v>2084</v>
      </c>
      <c r="BN92" s="9">
        <v>2084</v>
      </c>
      <c r="BO92" s="31">
        <v>2084</v>
      </c>
      <c r="BP92" s="9">
        <v>10</v>
      </c>
      <c r="BQ92" s="9">
        <v>10</v>
      </c>
      <c r="BR92" s="9">
        <v>10</v>
      </c>
      <c r="BS92" s="9">
        <v>10</v>
      </c>
      <c r="BT92" s="9">
        <v>10</v>
      </c>
      <c r="BU92" s="9">
        <v>10</v>
      </c>
      <c r="BV92" s="9">
        <v>10</v>
      </c>
      <c r="BW92" s="9">
        <v>10</v>
      </c>
      <c r="BX92" s="9">
        <v>10</v>
      </c>
      <c r="BY92" s="9">
        <v>10</v>
      </c>
      <c r="BZ92" s="9">
        <v>10</v>
      </c>
      <c r="CA92" s="9">
        <v>10</v>
      </c>
      <c r="CB92" s="31">
        <v>10</v>
      </c>
    </row>
    <row r="93" spans="2:80" x14ac:dyDescent="0.3">
      <c r="B93" s="7" t="s">
        <v>62</v>
      </c>
      <c r="C93" s="9">
        <v>6340</v>
      </c>
      <c r="D93" s="9">
        <v>6340</v>
      </c>
      <c r="E93" s="9">
        <v>6340</v>
      </c>
      <c r="F93" s="9">
        <v>6340</v>
      </c>
      <c r="G93" s="9">
        <v>6340</v>
      </c>
      <c r="H93" s="9">
        <v>6340</v>
      </c>
      <c r="I93" s="9">
        <v>6340</v>
      </c>
      <c r="J93" s="9">
        <v>6340</v>
      </c>
      <c r="K93" s="9">
        <v>6340</v>
      </c>
      <c r="L93" s="9">
        <v>6340</v>
      </c>
      <c r="M93" s="9">
        <v>6340</v>
      </c>
      <c r="N93" s="9">
        <v>6340</v>
      </c>
      <c r="O93" s="31">
        <v>6340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1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31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31">
        <v>0</v>
      </c>
      <c r="BC93" s="9">
        <v>4168</v>
      </c>
      <c r="BD93" s="9">
        <v>4168</v>
      </c>
      <c r="BE93" s="9">
        <v>4168</v>
      </c>
      <c r="BF93" s="9">
        <v>4168</v>
      </c>
      <c r="BG93" s="9">
        <v>4168</v>
      </c>
      <c r="BH93" s="9">
        <v>4168</v>
      </c>
      <c r="BI93" s="9">
        <v>4168</v>
      </c>
      <c r="BJ93" s="9">
        <v>4168</v>
      </c>
      <c r="BK93" s="9">
        <v>4168</v>
      </c>
      <c r="BL93" s="9">
        <v>4168</v>
      </c>
      <c r="BM93" s="9">
        <v>4168</v>
      </c>
      <c r="BN93" s="9">
        <v>4168</v>
      </c>
      <c r="BO93" s="31">
        <v>4168</v>
      </c>
      <c r="BP93" s="9">
        <v>10</v>
      </c>
      <c r="BQ93" s="9">
        <v>10</v>
      </c>
      <c r="BR93" s="9">
        <v>10</v>
      </c>
      <c r="BS93" s="9">
        <v>10</v>
      </c>
      <c r="BT93" s="9">
        <v>10</v>
      </c>
      <c r="BU93" s="9">
        <v>10</v>
      </c>
      <c r="BV93" s="9">
        <v>10</v>
      </c>
      <c r="BW93" s="9">
        <v>10</v>
      </c>
      <c r="BX93" s="9">
        <v>10</v>
      </c>
      <c r="BY93" s="9">
        <v>10</v>
      </c>
      <c r="BZ93" s="9">
        <v>10</v>
      </c>
      <c r="CA93" s="9">
        <v>10</v>
      </c>
      <c r="CB93" s="31">
        <v>10</v>
      </c>
    </row>
    <row r="94" spans="2:80" x14ac:dyDescent="0.3">
      <c r="B94" s="7" t="s">
        <v>63</v>
      </c>
      <c r="C94" s="9">
        <v>8750</v>
      </c>
      <c r="D94" s="9">
        <v>8750</v>
      </c>
      <c r="E94" s="9">
        <v>8750</v>
      </c>
      <c r="F94" s="9">
        <v>8750</v>
      </c>
      <c r="G94" s="9">
        <v>8750</v>
      </c>
      <c r="H94" s="9">
        <v>8750</v>
      </c>
      <c r="I94" s="9">
        <v>8750</v>
      </c>
      <c r="J94" s="9">
        <v>8750</v>
      </c>
      <c r="K94" s="9">
        <v>8750</v>
      </c>
      <c r="L94" s="9">
        <v>8750</v>
      </c>
      <c r="M94" s="9">
        <v>8750</v>
      </c>
      <c r="N94" s="9">
        <v>8750</v>
      </c>
      <c r="O94" s="31">
        <v>8750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1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31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31">
        <v>0</v>
      </c>
      <c r="BC94" s="9">
        <v>4168</v>
      </c>
      <c r="BD94" s="9">
        <v>4168</v>
      </c>
      <c r="BE94" s="9">
        <v>4168</v>
      </c>
      <c r="BF94" s="9">
        <v>4168</v>
      </c>
      <c r="BG94" s="9">
        <v>4168</v>
      </c>
      <c r="BH94" s="9">
        <v>4168</v>
      </c>
      <c r="BI94" s="9">
        <v>4168</v>
      </c>
      <c r="BJ94" s="9">
        <v>4168</v>
      </c>
      <c r="BK94" s="9">
        <v>4168</v>
      </c>
      <c r="BL94" s="9">
        <v>4168</v>
      </c>
      <c r="BM94" s="9">
        <v>4168</v>
      </c>
      <c r="BN94" s="9">
        <v>4168</v>
      </c>
      <c r="BO94" s="31">
        <v>4168</v>
      </c>
      <c r="BP94" s="9">
        <v>10</v>
      </c>
      <c r="BQ94" s="9">
        <v>10</v>
      </c>
      <c r="BR94" s="9">
        <v>10</v>
      </c>
      <c r="BS94" s="9">
        <v>10</v>
      </c>
      <c r="BT94" s="9">
        <v>10</v>
      </c>
      <c r="BU94" s="9">
        <v>10</v>
      </c>
      <c r="BV94" s="9">
        <v>10</v>
      </c>
      <c r="BW94" s="9">
        <v>10</v>
      </c>
      <c r="BX94" s="9">
        <v>10</v>
      </c>
      <c r="BY94" s="9">
        <v>10</v>
      </c>
      <c r="BZ94" s="9">
        <v>10</v>
      </c>
      <c r="CA94" s="9">
        <v>10</v>
      </c>
      <c r="CB94" s="31">
        <v>10</v>
      </c>
    </row>
    <row r="95" spans="2:80" x14ac:dyDescent="0.3">
      <c r="B95" s="11" t="s">
        <v>110</v>
      </c>
      <c r="C95" s="13">
        <f t="shared" ref="C95:AH95" si="9">SUM(C77:C94)</f>
        <v>4157090</v>
      </c>
      <c r="D95" s="13">
        <f t="shared" si="9"/>
        <v>4157090</v>
      </c>
      <c r="E95" s="13">
        <f t="shared" si="9"/>
        <v>4157090</v>
      </c>
      <c r="F95" s="13">
        <f t="shared" si="9"/>
        <v>4157090</v>
      </c>
      <c r="G95" s="13">
        <f t="shared" si="9"/>
        <v>4157090</v>
      </c>
      <c r="H95" s="13">
        <f t="shared" si="9"/>
        <v>4157090</v>
      </c>
      <c r="I95" s="13">
        <f t="shared" si="9"/>
        <v>4157090</v>
      </c>
      <c r="J95" s="13">
        <f t="shared" si="9"/>
        <v>4157090</v>
      </c>
      <c r="K95" s="13">
        <f t="shared" si="9"/>
        <v>4157090</v>
      </c>
      <c r="L95" s="13">
        <f t="shared" si="9"/>
        <v>4157090</v>
      </c>
      <c r="M95" s="13">
        <f t="shared" si="9"/>
        <v>4157090</v>
      </c>
      <c r="N95" s="13">
        <f t="shared" si="9"/>
        <v>4157090</v>
      </c>
      <c r="O95" s="13">
        <f t="shared" si="9"/>
        <v>4157090</v>
      </c>
      <c r="P95" s="13">
        <f t="shared" si="9"/>
        <v>3710812</v>
      </c>
      <c r="Q95" s="13">
        <f t="shared" si="9"/>
        <v>3710812</v>
      </c>
      <c r="R95" s="13">
        <f t="shared" si="9"/>
        <v>3710812</v>
      </c>
      <c r="S95" s="13">
        <f t="shared" si="9"/>
        <v>3710812</v>
      </c>
      <c r="T95" s="13">
        <f t="shared" si="9"/>
        <v>3710812</v>
      </c>
      <c r="U95" s="13">
        <f t="shared" si="9"/>
        <v>3710812</v>
      </c>
      <c r="V95" s="13">
        <f t="shared" si="9"/>
        <v>3710812</v>
      </c>
      <c r="W95" s="13">
        <f t="shared" si="9"/>
        <v>3710812</v>
      </c>
      <c r="X95" s="13">
        <f t="shared" si="9"/>
        <v>3710812</v>
      </c>
      <c r="Y95" s="13">
        <f t="shared" si="9"/>
        <v>3710812</v>
      </c>
      <c r="Z95" s="13">
        <f t="shared" si="9"/>
        <v>3710812</v>
      </c>
      <c r="AA95" s="13">
        <f t="shared" si="9"/>
        <v>3710812</v>
      </c>
      <c r="AB95" s="13">
        <f t="shared" si="9"/>
        <v>3710812</v>
      </c>
      <c r="AC95" s="13">
        <f t="shared" si="9"/>
        <v>30702526</v>
      </c>
      <c r="AD95" s="13">
        <f t="shared" si="9"/>
        <v>30702526</v>
      </c>
      <c r="AE95" s="13">
        <f t="shared" si="9"/>
        <v>30702526</v>
      </c>
      <c r="AF95" s="13">
        <f t="shared" si="9"/>
        <v>30702526</v>
      </c>
      <c r="AG95" s="13">
        <f t="shared" si="9"/>
        <v>30702526</v>
      </c>
      <c r="AH95" s="13">
        <f t="shared" si="9"/>
        <v>30702526</v>
      </c>
      <c r="AI95" s="13">
        <f t="shared" ref="AI95:BN95" si="10">SUM(AI77:AI94)</f>
        <v>30702526</v>
      </c>
      <c r="AJ95" s="13">
        <f t="shared" si="10"/>
        <v>30702526</v>
      </c>
      <c r="AK95" s="13">
        <f t="shared" si="10"/>
        <v>30702526</v>
      </c>
      <c r="AL95" s="13">
        <f t="shared" si="10"/>
        <v>30702526</v>
      </c>
      <c r="AM95" s="13">
        <f t="shared" si="10"/>
        <v>30702526</v>
      </c>
      <c r="AN95" s="13">
        <f t="shared" si="10"/>
        <v>30702526</v>
      </c>
      <c r="AO95" s="13">
        <f t="shared" si="10"/>
        <v>30702526</v>
      </c>
      <c r="AP95" s="13">
        <f t="shared" si="10"/>
        <v>30674754</v>
      </c>
      <c r="AQ95" s="13">
        <f t="shared" si="10"/>
        <v>30674754</v>
      </c>
      <c r="AR95" s="13">
        <f t="shared" si="10"/>
        <v>30674754</v>
      </c>
      <c r="AS95" s="13">
        <f t="shared" si="10"/>
        <v>30674754</v>
      </c>
      <c r="AT95" s="13">
        <f t="shared" si="10"/>
        <v>30674754</v>
      </c>
      <c r="AU95" s="13">
        <f t="shared" si="10"/>
        <v>30674754</v>
      </c>
      <c r="AV95" s="13">
        <f t="shared" si="10"/>
        <v>30674754</v>
      </c>
      <c r="AW95" s="13">
        <f t="shared" si="10"/>
        <v>30674754</v>
      </c>
      <c r="AX95" s="13">
        <f t="shared" si="10"/>
        <v>30674754</v>
      </c>
      <c r="AY95" s="13">
        <f t="shared" si="10"/>
        <v>30674754</v>
      </c>
      <c r="AZ95" s="13">
        <f t="shared" si="10"/>
        <v>30674754</v>
      </c>
      <c r="BA95" s="13">
        <f t="shared" si="10"/>
        <v>30674754</v>
      </c>
      <c r="BB95" s="13">
        <f t="shared" si="10"/>
        <v>30674754</v>
      </c>
      <c r="BC95" s="13">
        <f t="shared" si="10"/>
        <v>4782867</v>
      </c>
      <c r="BD95" s="13">
        <f t="shared" si="10"/>
        <v>4782867</v>
      </c>
      <c r="BE95" s="13">
        <f t="shared" si="10"/>
        <v>4782867</v>
      </c>
      <c r="BF95" s="13">
        <f t="shared" si="10"/>
        <v>4782867</v>
      </c>
      <c r="BG95" s="13">
        <f t="shared" si="10"/>
        <v>4782867</v>
      </c>
      <c r="BH95" s="13">
        <f t="shared" si="10"/>
        <v>4782867</v>
      </c>
      <c r="BI95" s="13">
        <f t="shared" si="10"/>
        <v>4782867</v>
      </c>
      <c r="BJ95" s="13">
        <f t="shared" si="10"/>
        <v>4782867</v>
      </c>
      <c r="BK95" s="13">
        <f t="shared" si="10"/>
        <v>4782867</v>
      </c>
      <c r="BL95" s="13">
        <f t="shared" si="10"/>
        <v>4782867</v>
      </c>
      <c r="BM95" s="13">
        <f t="shared" si="10"/>
        <v>4782867</v>
      </c>
      <c r="BN95" s="13">
        <f t="shared" si="10"/>
        <v>4782867</v>
      </c>
      <c r="BO95" s="13">
        <f t="shared" ref="BO95:CT95" si="11">SUM(BO77:BO94)</f>
        <v>4782867</v>
      </c>
      <c r="BP95" s="13">
        <f t="shared" si="11"/>
        <v>4182864</v>
      </c>
      <c r="BQ95" s="13">
        <f t="shared" si="11"/>
        <v>4182864</v>
      </c>
      <c r="BR95" s="13">
        <f t="shared" si="11"/>
        <v>4182864</v>
      </c>
      <c r="BS95" s="13">
        <f t="shared" si="11"/>
        <v>4182864</v>
      </c>
      <c r="BT95" s="13">
        <f t="shared" si="11"/>
        <v>4182864</v>
      </c>
      <c r="BU95" s="13">
        <f t="shared" si="11"/>
        <v>4182864</v>
      </c>
      <c r="BV95" s="13">
        <f t="shared" si="11"/>
        <v>4182864</v>
      </c>
      <c r="BW95" s="13">
        <f t="shared" si="11"/>
        <v>4182864</v>
      </c>
      <c r="BX95" s="13">
        <f t="shared" si="11"/>
        <v>4182864</v>
      </c>
      <c r="BY95" s="13">
        <f t="shared" si="11"/>
        <v>4182864</v>
      </c>
      <c r="BZ95" s="13">
        <f t="shared" si="11"/>
        <v>4182864</v>
      </c>
      <c r="CA95" s="13">
        <f t="shared" si="11"/>
        <v>4182864</v>
      </c>
      <c r="CB95" s="13">
        <f t="shared" si="11"/>
        <v>4182864</v>
      </c>
    </row>
    <row r="96" spans="2:80" x14ac:dyDescent="0.3">
      <c r="B96" s="5" t="s">
        <v>111</v>
      </c>
    </row>
    <row r="97" spans="2:80" x14ac:dyDescent="0.3">
      <c r="C97" s="49" t="s">
        <v>90</v>
      </c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49" t="s">
        <v>91</v>
      </c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49" t="s">
        <v>92</v>
      </c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49" t="s">
        <v>93</v>
      </c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49" t="s">
        <v>94</v>
      </c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49" t="s">
        <v>95</v>
      </c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</row>
    <row r="98" spans="2:80" x14ac:dyDescent="0.3">
      <c r="B98" s="19" t="s">
        <v>96</v>
      </c>
      <c r="C98" s="30" t="s">
        <v>67</v>
      </c>
      <c r="D98" s="30" t="s">
        <v>68</v>
      </c>
      <c r="E98" s="30" t="s">
        <v>69</v>
      </c>
      <c r="F98" s="30" t="s">
        <v>70</v>
      </c>
      <c r="G98" s="30" t="s">
        <v>71</v>
      </c>
      <c r="H98" s="30" t="s">
        <v>72</v>
      </c>
      <c r="I98" s="30" t="s">
        <v>73</v>
      </c>
      <c r="J98" s="30" t="s">
        <v>74</v>
      </c>
      <c r="K98" s="30" t="s">
        <v>75</v>
      </c>
      <c r="L98" s="30" t="s">
        <v>76</v>
      </c>
      <c r="M98" s="30" t="s">
        <v>77</v>
      </c>
      <c r="N98" s="30" t="s">
        <v>78</v>
      </c>
      <c r="O98" s="30" t="s">
        <v>97</v>
      </c>
      <c r="P98" s="30" t="s">
        <v>67</v>
      </c>
      <c r="Q98" s="30" t="s">
        <v>68</v>
      </c>
      <c r="R98" s="30" t="s">
        <v>69</v>
      </c>
      <c r="S98" s="30" t="s">
        <v>70</v>
      </c>
      <c r="T98" s="30" t="s">
        <v>71</v>
      </c>
      <c r="U98" s="30" t="s">
        <v>72</v>
      </c>
      <c r="V98" s="30" t="s">
        <v>73</v>
      </c>
      <c r="W98" s="30" t="s">
        <v>74</v>
      </c>
      <c r="X98" s="30" t="s">
        <v>75</v>
      </c>
      <c r="Y98" s="30" t="s">
        <v>76</v>
      </c>
      <c r="Z98" s="30" t="s">
        <v>77</v>
      </c>
      <c r="AA98" s="30" t="s">
        <v>78</v>
      </c>
      <c r="AB98" s="30" t="s">
        <v>98</v>
      </c>
      <c r="AC98" s="30" t="s">
        <v>67</v>
      </c>
      <c r="AD98" s="30" t="s">
        <v>68</v>
      </c>
      <c r="AE98" s="30" t="s">
        <v>69</v>
      </c>
      <c r="AF98" s="30" t="s">
        <v>70</v>
      </c>
      <c r="AG98" s="30" t="s">
        <v>71</v>
      </c>
      <c r="AH98" s="30" t="s">
        <v>72</v>
      </c>
      <c r="AI98" s="30" t="s">
        <v>73</v>
      </c>
      <c r="AJ98" s="30" t="s">
        <v>74</v>
      </c>
      <c r="AK98" s="30" t="s">
        <v>75</v>
      </c>
      <c r="AL98" s="30" t="s">
        <v>76</v>
      </c>
      <c r="AM98" s="30" t="s">
        <v>77</v>
      </c>
      <c r="AN98" s="30" t="s">
        <v>78</v>
      </c>
      <c r="AO98" s="30" t="s">
        <v>99</v>
      </c>
      <c r="AP98" s="30" t="s">
        <v>67</v>
      </c>
      <c r="AQ98" s="30" t="s">
        <v>68</v>
      </c>
      <c r="AR98" s="30" t="s">
        <v>69</v>
      </c>
      <c r="AS98" s="30" t="s">
        <v>70</v>
      </c>
      <c r="AT98" s="30" t="s">
        <v>71</v>
      </c>
      <c r="AU98" s="30" t="s">
        <v>72</v>
      </c>
      <c r="AV98" s="30" t="s">
        <v>73</v>
      </c>
      <c r="AW98" s="30" t="s">
        <v>74</v>
      </c>
      <c r="AX98" s="30" t="s">
        <v>75</v>
      </c>
      <c r="AY98" s="30" t="s">
        <v>76</v>
      </c>
      <c r="AZ98" s="30" t="s">
        <v>77</v>
      </c>
      <c r="BA98" s="30" t="s">
        <v>78</v>
      </c>
      <c r="BB98" s="30" t="s">
        <v>100</v>
      </c>
      <c r="BC98" s="30" t="s">
        <v>67</v>
      </c>
      <c r="BD98" s="30" t="s">
        <v>68</v>
      </c>
      <c r="BE98" s="30" t="s">
        <v>69</v>
      </c>
      <c r="BF98" s="30" t="s">
        <v>70</v>
      </c>
      <c r="BG98" s="30" t="s">
        <v>71</v>
      </c>
      <c r="BH98" s="30" t="s">
        <v>72</v>
      </c>
      <c r="BI98" s="30" t="s">
        <v>73</v>
      </c>
      <c r="BJ98" s="30" t="s">
        <v>74</v>
      </c>
      <c r="BK98" s="30" t="s">
        <v>75</v>
      </c>
      <c r="BL98" s="30" t="s">
        <v>76</v>
      </c>
      <c r="BM98" s="30" t="s">
        <v>77</v>
      </c>
      <c r="BN98" s="30" t="s">
        <v>78</v>
      </c>
      <c r="BO98" s="30" t="s">
        <v>101</v>
      </c>
      <c r="BP98" s="30" t="s">
        <v>67</v>
      </c>
      <c r="BQ98" s="30" t="s">
        <v>68</v>
      </c>
      <c r="BR98" s="30" t="s">
        <v>69</v>
      </c>
      <c r="BS98" s="30" t="s">
        <v>70</v>
      </c>
      <c r="BT98" s="30" t="s">
        <v>71</v>
      </c>
      <c r="BU98" s="30" t="s">
        <v>72</v>
      </c>
      <c r="BV98" s="30" t="s">
        <v>73</v>
      </c>
      <c r="BW98" s="30" t="s">
        <v>74</v>
      </c>
      <c r="BX98" s="30" t="s">
        <v>75</v>
      </c>
      <c r="BY98" s="30" t="s">
        <v>76</v>
      </c>
      <c r="BZ98" s="30" t="s">
        <v>77</v>
      </c>
      <c r="CA98" s="30" t="s">
        <v>78</v>
      </c>
      <c r="CB98" s="30" t="s">
        <v>102</v>
      </c>
    </row>
    <row r="99" spans="2:80" x14ac:dyDescent="0.3">
      <c r="B99" s="7" t="s">
        <v>46</v>
      </c>
      <c r="C99" s="9">
        <v>3949109</v>
      </c>
      <c r="D99" s="9">
        <v>3949109</v>
      </c>
      <c r="E99" s="9">
        <v>3949109</v>
      </c>
      <c r="F99" s="9">
        <v>3949109</v>
      </c>
      <c r="G99" s="9">
        <v>3949109</v>
      </c>
      <c r="H99" s="9">
        <v>3938465</v>
      </c>
      <c r="I99" s="9">
        <v>3938465</v>
      </c>
      <c r="J99" s="9">
        <v>3938465</v>
      </c>
      <c r="K99" s="9">
        <v>3938465</v>
      </c>
      <c r="L99" s="9">
        <v>3938465</v>
      </c>
      <c r="M99" s="9">
        <v>3928965</v>
      </c>
      <c r="N99" s="9">
        <v>3199280</v>
      </c>
      <c r="O99" s="31">
        <v>3199280</v>
      </c>
      <c r="P99" s="9">
        <v>3677484</v>
      </c>
      <c r="Q99" s="9">
        <v>3677484</v>
      </c>
      <c r="R99" s="9">
        <v>3677484</v>
      </c>
      <c r="S99" s="9">
        <v>3677484</v>
      </c>
      <c r="T99" s="9">
        <v>3771152</v>
      </c>
      <c r="U99" s="9">
        <v>3841152</v>
      </c>
      <c r="V99" s="9">
        <v>3841152</v>
      </c>
      <c r="W99" s="9">
        <v>3841152</v>
      </c>
      <c r="X99" s="9">
        <v>3841152</v>
      </c>
      <c r="Y99" s="9">
        <v>3928152</v>
      </c>
      <c r="Z99" s="9">
        <v>3928152</v>
      </c>
      <c r="AA99" s="9">
        <v>3784939</v>
      </c>
      <c r="AB99" s="31">
        <v>3784939</v>
      </c>
      <c r="AC99" s="9">
        <v>4127526</v>
      </c>
      <c r="AD99" s="9">
        <v>4127526</v>
      </c>
      <c r="AE99" s="9">
        <v>4127526</v>
      </c>
      <c r="AF99" s="9">
        <v>4127526</v>
      </c>
      <c r="AG99" s="9">
        <v>4127526</v>
      </c>
      <c r="AH99" s="9">
        <v>4127526</v>
      </c>
      <c r="AI99" s="9">
        <v>4127526</v>
      </c>
      <c r="AJ99" s="9">
        <v>4127526</v>
      </c>
      <c r="AK99" s="9">
        <v>4127526</v>
      </c>
      <c r="AL99" s="9">
        <v>4127526</v>
      </c>
      <c r="AM99" s="9">
        <v>4127526</v>
      </c>
      <c r="AN99" s="9">
        <v>3999809</v>
      </c>
      <c r="AO99" s="31">
        <v>3999809</v>
      </c>
      <c r="AP99" s="9">
        <v>30674754</v>
      </c>
      <c r="AQ99" s="9">
        <v>30674754</v>
      </c>
      <c r="AR99" s="9">
        <v>30674754</v>
      </c>
      <c r="AS99" s="9">
        <v>30674754</v>
      </c>
      <c r="AT99" s="9">
        <v>30710139</v>
      </c>
      <c r="AU99" s="9">
        <v>27678180</v>
      </c>
      <c r="AV99" s="9">
        <v>27678180</v>
      </c>
      <c r="AW99" s="9">
        <v>27678180</v>
      </c>
      <c r="AX99" s="9">
        <v>27678180</v>
      </c>
      <c r="AY99" s="9">
        <v>27641880</v>
      </c>
      <c r="AZ99" s="9">
        <v>3168714</v>
      </c>
      <c r="BA99" s="9">
        <v>3168714</v>
      </c>
      <c r="BB99" s="31">
        <v>3168714</v>
      </c>
      <c r="BC99" s="9">
        <v>4435821</v>
      </c>
      <c r="BD99" s="9">
        <v>4435821</v>
      </c>
      <c r="BE99" s="9">
        <v>4435821</v>
      </c>
      <c r="BF99" s="9">
        <v>4435821</v>
      </c>
      <c r="BG99" s="9">
        <v>4435821</v>
      </c>
      <c r="BH99" s="9">
        <v>4435821</v>
      </c>
      <c r="BI99" s="9">
        <v>4435821</v>
      </c>
      <c r="BJ99" s="9">
        <v>4435821</v>
      </c>
      <c r="BK99" s="9">
        <v>4435821</v>
      </c>
      <c r="BL99" s="9">
        <v>4435821</v>
      </c>
      <c r="BM99" s="9">
        <v>4435821</v>
      </c>
      <c r="BN99" s="9">
        <v>4435821</v>
      </c>
      <c r="BO99" s="31">
        <v>4435821</v>
      </c>
      <c r="BP99" s="9">
        <v>4182704</v>
      </c>
      <c r="BQ99" s="9">
        <v>4182704</v>
      </c>
      <c r="BR99" s="9">
        <v>4182704</v>
      </c>
      <c r="BS99" s="9">
        <v>4182704</v>
      </c>
      <c r="BT99" s="9">
        <v>4182704</v>
      </c>
      <c r="BU99" s="9">
        <v>4182704</v>
      </c>
      <c r="BV99" s="9">
        <v>4182704</v>
      </c>
      <c r="BW99" s="9">
        <v>4182704</v>
      </c>
      <c r="BX99" s="9">
        <v>4182704</v>
      </c>
      <c r="BY99" s="9">
        <v>4182704</v>
      </c>
      <c r="BZ99" s="9">
        <v>4182704</v>
      </c>
      <c r="CA99" s="9">
        <v>4182704</v>
      </c>
      <c r="CB99" s="31">
        <v>4182704</v>
      </c>
    </row>
    <row r="100" spans="2:80" x14ac:dyDescent="0.3">
      <c r="B100" s="7" t="s">
        <v>47</v>
      </c>
      <c r="C100" s="9">
        <v>71111</v>
      </c>
      <c r="D100" s="9">
        <v>71111</v>
      </c>
      <c r="E100" s="9">
        <v>71111</v>
      </c>
      <c r="F100" s="9">
        <v>71111</v>
      </c>
      <c r="G100" s="9">
        <v>71111</v>
      </c>
      <c r="H100" s="9">
        <v>71111</v>
      </c>
      <c r="I100" s="9">
        <v>71111</v>
      </c>
      <c r="J100" s="9">
        <v>71111</v>
      </c>
      <c r="K100" s="9">
        <v>71111</v>
      </c>
      <c r="L100" s="9">
        <v>71111</v>
      </c>
      <c r="M100" s="9">
        <v>80111</v>
      </c>
      <c r="N100" s="9">
        <v>80111</v>
      </c>
      <c r="O100" s="31">
        <v>80111</v>
      </c>
      <c r="P100" s="9">
        <v>33328</v>
      </c>
      <c r="Q100" s="9">
        <v>33328</v>
      </c>
      <c r="R100" s="9">
        <v>33328</v>
      </c>
      <c r="S100" s="9">
        <v>33328</v>
      </c>
      <c r="T100" s="9">
        <v>33328</v>
      </c>
      <c r="U100" s="9">
        <v>33328</v>
      </c>
      <c r="V100" s="9">
        <v>33328</v>
      </c>
      <c r="W100" s="9">
        <v>33328</v>
      </c>
      <c r="X100" s="9">
        <v>33328</v>
      </c>
      <c r="Y100" s="9">
        <v>33328</v>
      </c>
      <c r="Z100" s="9">
        <v>33328</v>
      </c>
      <c r="AA100" s="9">
        <v>33328</v>
      </c>
      <c r="AB100" s="31">
        <v>33328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31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6773</v>
      </c>
      <c r="AU100" s="9">
        <v>6773</v>
      </c>
      <c r="AV100" s="9">
        <v>6773</v>
      </c>
      <c r="AW100" s="9">
        <v>240920</v>
      </c>
      <c r="AX100" s="9">
        <v>240920</v>
      </c>
      <c r="AY100" s="9">
        <v>240920</v>
      </c>
      <c r="AZ100" s="9">
        <v>240920</v>
      </c>
      <c r="BA100" s="9">
        <v>240920</v>
      </c>
      <c r="BB100" s="31">
        <v>240920</v>
      </c>
      <c r="BC100" s="9">
        <v>6929</v>
      </c>
      <c r="BD100" s="9">
        <v>6929</v>
      </c>
      <c r="BE100" s="9">
        <v>6929</v>
      </c>
      <c r="BF100" s="9">
        <v>6929</v>
      </c>
      <c r="BG100" s="9">
        <v>6929</v>
      </c>
      <c r="BH100" s="9">
        <v>6929</v>
      </c>
      <c r="BI100" s="9">
        <v>6929</v>
      </c>
      <c r="BJ100" s="9">
        <v>6929</v>
      </c>
      <c r="BK100" s="9">
        <v>6929</v>
      </c>
      <c r="BL100" s="9">
        <v>6929</v>
      </c>
      <c r="BM100" s="9">
        <v>6929</v>
      </c>
      <c r="BN100" s="9">
        <v>6929</v>
      </c>
      <c r="BO100" s="31">
        <v>6929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31">
        <v>0</v>
      </c>
    </row>
    <row r="101" spans="2:80" x14ac:dyDescent="0.3">
      <c r="B101" s="7" t="s">
        <v>48</v>
      </c>
      <c r="C101" s="9">
        <v>8967</v>
      </c>
      <c r="D101" s="9">
        <v>8967</v>
      </c>
      <c r="E101" s="9">
        <v>8967</v>
      </c>
      <c r="F101" s="9">
        <v>8967</v>
      </c>
      <c r="G101" s="9">
        <v>8967</v>
      </c>
      <c r="H101" s="9">
        <v>8967</v>
      </c>
      <c r="I101" s="9">
        <v>8967</v>
      </c>
      <c r="J101" s="9">
        <v>8967</v>
      </c>
      <c r="K101" s="9">
        <v>8967</v>
      </c>
      <c r="L101" s="9">
        <v>8967</v>
      </c>
      <c r="M101" s="9">
        <v>6258817</v>
      </c>
      <c r="N101" s="9">
        <v>6258817</v>
      </c>
      <c r="O101" s="31">
        <v>6258817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7943900</v>
      </c>
      <c r="Y101" s="9">
        <v>7943900</v>
      </c>
      <c r="Z101" s="9">
        <v>9744243</v>
      </c>
      <c r="AA101" s="9">
        <v>9744243</v>
      </c>
      <c r="AB101" s="31">
        <v>9744243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31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5926</v>
      </c>
      <c r="AU101" s="9">
        <v>5926</v>
      </c>
      <c r="AV101" s="9">
        <v>5926</v>
      </c>
      <c r="AW101" s="9">
        <v>5926</v>
      </c>
      <c r="AX101" s="9">
        <v>5926</v>
      </c>
      <c r="AY101" s="9">
        <v>7496</v>
      </c>
      <c r="AZ101" s="9">
        <v>7496</v>
      </c>
      <c r="BA101" s="9">
        <v>7496</v>
      </c>
      <c r="BB101" s="31">
        <v>7496</v>
      </c>
      <c r="BC101" s="9">
        <v>2970</v>
      </c>
      <c r="BD101" s="9">
        <v>2970</v>
      </c>
      <c r="BE101" s="9">
        <v>2970</v>
      </c>
      <c r="BF101" s="9">
        <v>2970</v>
      </c>
      <c r="BG101" s="9">
        <v>2970</v>
      </c>
      <c r="BH101" s="9">
        <v>2970</v>
      </c>
      <c r="BI101" s="9">
        <v>2970</v>
      </c>
      <c r="BJ101" s="9">
        <v>2970</v>
      </c>
      <c r="BK101" s="9">
        <v>2970</v>
      </c>
      <c r="BL101" s="9">
        <v>2970</v>
      </c>
      <c r="BM101" s="9">
        <v>2970</v>
      </c>
      <c r="BN101" s="9">
        <v>2970</v>
      </c>
      <c r="BO101" s="31">
        <v>2970</v>
      </c>
      <c r="BP101" s="9">
        <v>10</v>
      </c>
      <c r="BQ101" s="9">
        <v>10</v>
      </c>
      <c r="BR101" s="9">
        <v>10</v>
      </c>
      <c r="BS101" s="9">
        <v>10</v>
      </c>
      <c r="BT101" s="9">
        <v>10</v>
      </c>
      <c r="BU101" s="9">
        <v>10</v>
      </c>
      <c r="BV101" s="9">
        <v>10</v>
      </c>
      <c r="BW101" s="9">
        <v>10</v>
      </c>
      <c r="BX101" s="9">
        <v>10</v>
      </c>
      <c r="BY101" s="9">
        <v>10</v>
      </c>
      <c r="BZ101" s="9">
        <v>10</v>
      </c>
      <c r="CA101" s="9">
        <v>10</v>
      </c>
      <c r="CB101" s="31">
        <v>10</v>
      </c>
    </row>
    <row r="102" spans="2:80" x14ac:dyDescent="0.3">
      <c r="B102" s="7" t="s">
        <v>49</v>
      </c>
      <c r="C102" s="9">
        <v>13147</v>
      </c>
      <c r="D102" s="9">
        <v>13147</v>
      </c>
      <c r="E102" s="9">
        <v>13147</v>
      </c>
      <c r="F102" s="9">
        <v>13147</v>
      </c>
      <c r="G102" s="9">
        <v>13147</v>
      </c>
      <c r="H102" s="9">
        <v>13147</v>
      </c>
      <c r="I102" s="9">
        <v>13147</v>
      </c>
      <c r="J102" s="9">
        <v>13147</v>
      </c>
      <c r="K102" s="9">
        <v>77908</v>
      </c>
      <c r="L102" s="9">
        <v>77908</v>
      </c>
      <c r="M102" s="9">
        <v>78408</v>
      </c>
      <c r="N102" s="9">
        <v>78408</v>
      </c>
      <c r="O102" s="31">
        <v>78408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1">
        <v>0</v>
      </c>
      <c r="AC102" s="9">
        <v>0</v>
      </c>
      <c r="AD102" s="9">
        <v>3978246</v>
      </c>
      <c r="AE102" s="9">
        <v>3978246</v>
      </c>
      <c r="AF102" s="9">
        <v>3978246</v>
      </c>
      <c r="AG102" s="9">
        <v>3978246</v>
      </c>
      <c r="AH102" s="9">
        <v>3978246</v>
      </c>
      <c r="AI102" s="9">
        <v>3978246</v>
      </c>
      <c r="AJ102" s="9">
        <v>3978246</v>
      </c>
      <c r="AK102" s="9">
        <v>3978246</v>
      </c>
      <c r="AL102" s="9">
        <v>3978246</v>
      </c>
      <c r="AM102" s="9">
        <v>3978246</v>
      </c>
      <c r="AN102" s="9">
        <v>3978246</v>
      </c>
      <c r="AO102" s="31">
        <v>3978246</v>
      </c>
      <c r="AP102" s="9">
        <v>0</v>
      </c>
      <c r="AQ102" s="9">
        <v>0</v>
      </c>
      <c r="AR102" s="9">
        <v>0</v>
      </c>
      <c r="AS102" s="9">
        <v>0</v>
      </c>
      <c r="AT102" s="9">
        <v>1694</v>
      </c>
      <c r="AU102" s="9">
        <v>1694</v>
      </c>
      <c r="AV102" s="9">
        <v>1694</v>
      </c>
      <c r="AW102" s="9">
        <v>1694</v>
      </c>
      <c r="AX102" s="9">
        <v>1694</v>
      </c>
      <c r="AY102" s="9">
        <v>3479</v>
      </c>
      <c r="AZ102" s="9">
        <v>3479</v>
      </c>
      <c r="BA102" s="9">
        <v>3479</v>
      </c>
      <c r="BB102" s="31">
        <v>3479</v>
      </c>
      <c r="BC102" s="9">
        <v>5863</v>
      </c>
      <c r="BD102" s="9">
        <v>5863</v>
      </c>
      <c r="BE102" s="9">
        <v>5863</v>
      </c>
      <c r="BF102" s="9">
        <v>5863</v>
      </c>
      <c r="BG102" s="9">
        <v>5863</v>
      </c>
      <c r="BH102" s="9">
        <v>5863</v>
      </c>
      <c r="BI102" s="9">
        <v>5863</v>
      </c>
      <c r="BJ102" s="9">
        <v>5863</v>
      </c>
      <c r="BK102" s="9">
        <v>5863</v>
      </c>
      <c r="BL102" s="9">
        <v>5863</v>
      </c>
      <c r="BM102" s="9">
        <v>5863</v>
      </c>
      <c r="BN102" s="9">
        <v>5863</v>
      </c>
      <c r="BO102" s="31">
        <v>5863</v>
      </c>
      <c r="BP102" s="9">
        <v>10</v>
      </c>
      <c r="BQ102" s="9">
        <v>10</v>
      </c>
      <c r="BR102" s="9">
        <v>10</v>
      </c>
      <c r="BS102" s="9">
        <v>10</v>
      </c>
      <c r="BT102" s="9">
        <v>10</v>
      </c>
      <c r="BU102" s="9">
        <v>10</v>
      </c>
      <c r="BV102" s="9">
        <v>10</v>
      </c>
      <c r="BW102" s="9">
        <v>10</v>
      </c>
      <c r="BX102" s="9">
        <v>10</v>
      </c>
      <c r="BY102" s="9">
        <v>10</v>
      </c>
      <c r="BZ102" s="9">
        <v>10</v>
      </c>
      <c r="CA102" s="9">
        <v>10</v>
      </c>
      <c r="CB102" s="31">
        <v>10</v>
      </c>
    </row>
    <row r="103" spans="2:80" x14ac:dyDescent="0.3">
      <c r="B103" s="7" t="s">
        <v>50</v>
      </c>
      <c r="C103" s="9">
        <v>1616</v>
      </c>
      <c r="D103" s="9">
        <v>1616</v>
      </c>
      <c r="E103" s="9">
        <v>1616</v>
      </c>
      <c r="F103" s="9">
        <v>1616</v>
      </c>
      <c r="G103" s="9">
        <v>1616</v>
      </c>
      <c r="H103" s="9">
        <v>1926</v>
      </c>
      <c r="I103" s="9">
        <v>1926</v>
      </c>
      <c r="J103" s="9">
        <v>1926</v>
      </c>
      <c r="K103" s="9">
        <v>1926</v>
      </c>
      <c r="L103" s="9">
        <v>1926</v>
      </c>
      <c r="M103" s="9">
        <v>1926</v>
      </c>
      <c r="N103" s="9">
        <v>1926</v>
      </c>
      <c r="O103" s="31">
        <v>1926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5960113</v>
      </c>
      <c r="AA103" s="9">
        <v>5960113</v>
      </c>
      <c r="AB103" s="31">
        <v>5960113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31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5080</v>
      </c>
      <c r="AU103" s="9">
        <v>5080</v>
      </c>
      <c r="AV103" s="9">
        <v>5080</v>
      </c>
      <c r="AW103" s="9">
        <v>5080</v>
      </c>
      <c r="AX103" s="9">
        <v>5080</v>
      </c>
      <c r="AY103" s="9">
        <v>6270</v>
      </c>
      <c r="AZ103" s="9">
        <v>6270</v>
      </c>
      <c r="BA103" s="9">
        <v>6270</v>
      </c>
      <c r="BB103" s="31">
        <v>6270</v>
      </c>
      <c r="BC103" s="9">
        <v>710</v>
      </c>
      <c r="BD103" s="9">
        <v>710</v>
      </c>
      <c r="BE103" s="9">
        <v>710</v>
      </c>
      <c r="BF103" s="9">
        <v>710</v>
      </c>
      <c r="BG103" s="9">
        <v>710</v>
      </c>
      <c r="BH103" s="9">
        <v>710</v>
      </c>
      <c r="BI103" s="9">
        <v>710</v>
      </c>
      <c r="BJ103" s="9">
        <v>710</v>
      </c>
      <c r="BK103" s="9">
        <v>710</v>
      </c>
      <c r="BL103" s="9">
        <v>710</v>
      </c>
      <c r="BM103" s="9">
        <v>710</v>
      </c>
      <c r="BN103" s="9">
        <v>710</v>
      </c>
      <c r="BO103" s="31">
        <v>710</v>
      </c>
      <c r="BP103" s="9">
        <v>10</v>
      </c>
      <c r="BQ103" s="9">
        <v>10</v>
      </c>
      <c r="BR103" s="9">
        <v>10</v>
      </c>
      <c r="BS103" s="9">
        <v>10</v>
      </c>
      <c r="BT103" s="9">
        <v>10</v>
      </c>
      <c r="BU103" s="9">
        <v>10</v>
      </c>
      <c r="BV103" s="9">
        <v>10</v>
      </c>
      <c r="BW103" s="9">
        <v>10</v>
      </c>
      <c r="BX103" s="9">
        <v>10</v>
      </c>
      <c r="BY103" s="9">
        <v>10</v>
      </c>
      <c r="BZ103" s="9">
        <v>10</v>
      </c>
      <c r="CA103" s="9">
        <v>10</v>
      </c>
      <c r="CB103" s="31">
        <v>10</v>
      </c>
    </row>
    <row r="104" spans="2:80" x14ac:dyDescent="0.3">
      <c r="B104" s="7" t="s">
        <v>51</v>
      </c>
      <c r="C104" s="9">
        <v>7771</v>
      </c>
      <c r="D104" s="9">
        <v>7771</v>
      </c>
      <c r="E104" s="9">
        <v>7771</v>
      </c>
      <c r="F104" s="9">
        <v>7771</v>
      </c>
      <c r="G104" s="9">
        <v>7771</v>
      </c>
      <c r="H104" s="9">
        <v>7771</v>
      </c>
      <c r="I104" s="9">
        <v>7771</v>
      </c>
      <c r="J104" s="9">
        <v>7771</v>
      </c>
      <c r="K104" s="9">
        <v>7771</v>
      </c>
      <c r="L104" s="9">
        <v>7771</v>
      </c>
      <c r="M104" s="9">
        <v>7771</v>
      </c>
      <c r="N104" s="9">
        <v>7771</v>
      </c>
      <c r="O104" s="31">
        <v>7771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8335525</v>
      </c>
      <c r="AA104" s="9">
        <v>8335525</v>
      </c>
      <c r="AB104" s="31">
        <v>8335525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329064</v>
      </c>
      <c r="AO104" s="31">
        <v>329064</v>
      </c>
      <c r="AP104" s="9">
        <v>0</v>
      </c>
      <c r="AQ104" s="9">
        <v>0</v>
      </c>
      <c r="AR104" s="9">
        <v>0</v>
      </c>
      <c r="AS104" s="9">
        <v>0</v>
      </c>
      <c r="AT104" s="9">
        <v>5926</v>
      </c>
      <c r="AU104" s="9">
        <v>5926</v>
      </c>
      <c r="AV104" s="9">
        <v>5926</v>
      </c>
      <c r="AW104" s="9">
        <v>5926</v>
      </c>
      <c r="AX104" s="9">
        <v>5926</v>
      </c>
      <c r="AY104" s="9">
        <v>6646</v>
      </c>
      <c r="AZ104" s="9">
        <v>6646</v>
      </c>
      <c r="BA104" s="9">
        <v>6646</v>
      </c>
      <c r="BB104" s="31">
        <v>6646</v>
      </c>
      <c r="BC104" s="9">
        <v>6540</v>
      </c>
      <c r="BD104" s="9">
        <v>6540</v>
      </c>
      <c r="BE104" s="9">
        <v>6540</v>
      </c>
      <c r="BF104" s="9">
        <v>6540</v>
      </c>
      <c r="BG104" s="9">
        <v>6540</v>
      </c>
      <c r="BH104" s="9">
        <v>6540</v>
      </c>
      <c r="BI104" s="9">
        <v>6540</v>
      </c>
      <c r="BJ104" s="9">
        <v>6540</v>
      </c>
      <c r="BK104" s="9">
        <v>6540</v>
      </c>
      <c r="BL104" s="9">
        <v>6540</v>
      </c>
      <c r="BM104" s="9">
        <v>6540</v>
      </c>
      <c r="BN104" s="9">
        <v>6540</v>
      </c>
      <c r="BO104" s="31">
        <v>6540</v>
      </c>
      <c r="BP104" s="9">
        <v>10</v>
      </c>
      <c r="BQ104" s="9">
        <v>10</v>
      </c>
      <c r="BR104" s="9">
        <v>10</v>
      </c>
      <c r="BS104" s="9">
        <v>10</v>
      </c>
      <c r="BT104" s="9">
        <v>10</v>
      </c>
      <c r="BU104" s="9">
        <v>10</v>
      </c>
      <c r="BV104" s="9">
        <v>10</v>
      </c>
      <c r="BW104" s="9">
        <v>10</v>
      </c>
      <c r="BX104" s="9">
        <v>10</v>
      </c>
      <c r="BY104" s="9">
        <v>10</v>
      </c>
      <c r="BZ104" s="9">
        <v>10</v>
      </c>
      <c r="CA104" s="9">
        <v>10</v>
      </c>
      <c r="CB104" s="31">
        <v>10</v>
      </c>
    </row>
    <row r="105" spans="2:80" x14ac:dyDescent="0.3">
      <c r="B105" s="7" t="s">
        <v>52</v>
      </c>
      <c r="C105" s="9">
        <v>9458</v>
      </c>
      <c r="D105" s="9">
        <v>9458</v>
      </c>
      <c r="E105" s="9">
        <v>9458</v>
      </c>
      <c r="F105" s="9">
        <v>9458</v>
      </c>
      <c r="G105" s="9">
        <v>1661590</v>
      </c>
      <c r="H105" s="9">
        <v>1662157</v>
      </c>
      <c r="I105" s="9">
        <v>1662157</v>
      </c>
      <c r="J105" s="9">
        <v>1662157</v>
      </c>
      <c r="K105" s="9">
        <v>1662157</v>
      </c>
      <c r="L105" s="9">
        <v>1662778</v>
      </c>
      <c r="M105" s="9">
        <v>1662778</v>
      </c>
      <c r="N105" s="9">
        <v>1662778</v>
      </c>
      <c r="O105" s="31">
        <v>1662778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5385954</v>
      </c>
      <c r="AA105" s="9">
        <v>25574386</v>
      </c>
      <c r="AB105" s="31">
        <v>25574386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115827</v>
      </c>
      <c r="AO105" s="31">
        <v>115827</v>
      </c>
      <c r="AP105" s="9">
        <v>0</v>
      </c>
      <c r="AQ105" s="9">
        <v>0</v>
      </c>
      <c r="AR105" s="9">
        <v>0</v>
      </c>
      <c r="AS105" s="9">
        <v>0</v>
      </c>
      <c r="AT105" s="9">
        <v>8466</v>
      </c>
      <c r="AU105" s="9">
        <v>6091623</v>
      </c>
      <c r="AV105" s="9">
        <v>6091623</v>
      </c>
      <c r="AW105" s="9">
        <v>6091623</v>
      </c>
      <c r="AX105" s="9">
        <v>6091623</v>
      </c>
      <c r="AY105" s="9">
        <v>6092813</v>
      </c>
      <c r="AZ105" s="9">
        <v>6092813</v>
      </c>
      <c r="BA105" s="9">
        <v>6092813</v>
      </c>
      <c r="BB105" s="31">
        <v>6092813</v>
      </c>
      <c r="BC105" s="9">
        <v>6033</v>
      </c>
      <c r="BD105" s="9">
        <v>6033</v>
      </c>
      <c r="BE105" s="9">
        <v>6033</v>
      </c>
      <c r="BF105" s="9">
        <v>6033</v>
      </c>
      <c r="BG105" s="9">
        <v>6033</v>
      </c>
      <c r="BH105" s="9">
        <v>6033</v>
      </c>
      <c r="BI105" s="9">
        <v>6033</v>
      </c>
      <c r="BJ105" s="9">
        <v>6033</v>
      </c>
      <c r="BK105" s="9">
        <v>6033</v>
      </c>
      <c r="BL105" s="9">
        <v>6033</v>
      </c>
      <c r="BM105" s="9">
        <v>6033</v>
      </c>
      <c r="BN105" s="9">
        <v>6033</v>
      </c>
      <c r="BO105" s="31">
        <v>6033</v>
      </c>
      <c r="BP105" s="9">
        <v>10</v>
      </c>
      <c r="BQ105" s="9">
        <v>10</v>
      </c>
      <c r="BR105" s="9">
        <v>10</v>
      </c>
      <c r="BS105" s="9">
        <v>10</v>
      </c>
      <c r="BT105" s="9">
        <v>10</v>
      </c>
      <c r="BU105" s="9">
        <v>10</v>
      </c>
      <c r="BV105" s="9">
        <v>10</v>
      </c>
      <c r="BW105" s="9">
        <v>10</v>
      </c>
      <c r="BX105" s="9">
        <v>10</v>
      </c>
      <c r="BY105" s="9">
        <v>10</v>
      </c>
      <c r="BZ105" s="9">
        <v>10</v>
      </c>
      <c r="CA105" s="9">
        <v>10</v>
      </c>
      <c r="CB105" s="31">
        <v>10</v>
      </c>
    </row>
    <row r="106" spans="2:80" x14ac:dyDescent="0.3">
      <c r="B106" s="7" t="s">
        <v>53</v>
      </c>
      <c r="C106" s="9">
        <v>16432</v>
      </c>
      <c r="D106" s="9">
        <v>16432</v>
      </c>
      <c r="E106" s="9">
        <v>16432</v>
      </c>
      <c r="F106" s="9">
        <v>16432</v>
      </c>
      <c r="G106" s="9">
        <v>16432</v>
      </c>
      <c r="H106" s="9">
        <v>16432</v>
      </c>
      <c r="I106" s="9">
        <v>16432</v>
      </c>
      <c r="J106" s="9">
        <v>1463147</v>
      </c>
      <c r="K106" s="9">
        <v>1463147</v>
      </c>
      <c r="L106" s="9">
        <v>1463147</v>
      </c>
      <c r="M106" s="9">
        <v>1463147</v>
      </c>
      <c r="N106" s="9">
        <v>1985593</v>
      </c>
      <c r="O106" s="31">
        <v>1985593</v>
      </c>
      <c r="P106" s="9">
        <v>0</v>
      </c>
      <c r="Q106" s="9">
        <v>0</v>
      </c>
      <c r="R106" s="9">
        <v>0</v>
      </c>
      <c r="S106" s="9">
        <v>0</v>
      </c>
      <c r="T106" s="9">
        <v>4326119</v>
      </c>
      <c r="U106" s="9">
        <v>4326119</v>
      </c>
      <c r="V106" s="9">
        <v>4326119</v>
      </c>
      <c r="W106" s="9">
        <v>4326119</v>
      </c>
      <c r="X106" s="9">
        <v>4645716</v>
      </c>
      <c r="Y106" s="9">
        <v>4645716</v>
      </c>
      <c r="Z106" s="9">
        <v>16485804</v>
      </c>
      <c r="AA106" s="9">
        <v>17202625</v>
      </c>
      <c r="AB106" s="31">
        <v>17202625</v>
      </c>
      <c r="AC106" s="9">
        <v>3986250</v>
      </c>
      <c r="AD106" s="9">
        <v>3986250</v>
      </c>
      <c r="AE106" s="9">
        <v>3986250</v>
      </c>
      <c r="AF106" s="9">
        <v>3986250</v>
      </c>
      <c r="AG106" s="9">
        <v>3986250</v>
      </c>
      <c r="AH106" s="9">
        <v>3986250</v>
      </c>
      <c r="AI106" s="9">
        <v>3986250</v>
      </c>
      <c r="AJ106" s="9">
        <v>3986250</v>
      </c>
      <c r="AK106" s="9">
        <v>3986250</v>
      </c>
      <c r="AL106" s="9">
        <v>3986250</v>
      </c>
      <c r="AM106" s="9">
        <v>3986250</v>
      </c>
      <c r="AN106" s="9">
        <v>3986250</v>
      </c>
      <c r="AO106" s="31">
        <v>3986250</v>
      </c>
      <c r="AP106" s="9">
        <v>0</v>
      </c>
      <c r="AQ106" s="9">
        <v>0</v>
      </c>
      <c r="AR106" s="9">
        <v>0</v>
      </c>
      <c r="AS106" s="9">
        <v>0</v>
      </c>
      <c r="AT106" s="9">
        <v>20317</v>
      </c>
      <c r="AU106" s="9">
        <v>20317</v>
      </c>
      <c r="AV106" s="9">
        <v>20317</v>
      </c>
      <c r="AW106" s="9">
        <v>20317</v>
      </c>
      <c r="AX106" s="9">
        <v>20317</v>
      </c>
      <c r="AY106" s="9">
        <v>21887</v>
      </c>
      <c r="AZ106" s="9">
        <v>21887</v>
      </c>
      <c r="BA106" s="9">
        <v>21887</v>
      </c>
      <c r="BB106" s="31">
        <v>21887</v>
      </c>
      <c r="BC106" s="9">
        <v>7139</v>
      </c>
      <c r="BD106" s="9">
        <v>7139</v>
      </c>
      <c r="BE106" s="9">
        <v>7139</v>
      </c>
      <c r="BF106" s="9">
        <v>7139</v>
      </c>
      <c r="BG106" s="9">
        <v>7139</v>
      </c>
      <c r="BH106" s="9">
        <v>7139</v>
      </c>
      <c r="BI106" s="9">
        <v>7139</v>
      </c>
      <c r="BJ106" s="9">
        <v>7139</v>
      </c>
      <c r="BK106" s="9">
        <v>7139</v>
      </c>
      <c r="BL106" s="9">
        <v>7139</v>
      </c>
      <c r="BM106" s="9">
        <v>7139</v>
      </c>
      <c r="BN106" s="9">
        <v>10998043</v>
      </c>
      <c r="BO106" s="31">
        <v>10998043</v>
      </c>
      <c r="BP106" s="9">
        <v>10</v>
      </c>
      <c r="BQ106" s="9">
        <v>10</v>
      </c>
      <c r="BR106" s="9">
        <v>10</v>
      </c>
      <c r="BS106" s="9">
        <v>10</v>
      </c>
      <c r="BT106" s="9">
        <v>10</v>
      </c>
      <c r="BU106" s="9">
        <v>10</v>
      </c>
      <c r="BV106" s="9">
        <v>10</v>
      </c>
      <c r="BW106" s="9">
        <v>10</v>
      </c>
      <c r="BX106" s="9">
        <v>10</v>
      </c>
      <c r="BY106" s="9">
        <v>10</v>
      </c>
      <c r="BZ106" s="9">
        <v>10</v>
      </c>
      <c r="CA106" s="9">
        <v>10</v>
      </c>
      <c r="CB106" s="31">
        <v>10</v>
      </c>
    </row>
    <row r="107" spans="2:80" x14ac:dyDescent="0.3">
      <c r="B107" s="7" t="s">
        <v>54</v>
      </c>
      <c r="C107" s="9">
        <v>45774</v>
      </c>
      <c r="D107" s="9">
        <v>45774</v>
      </c>
      <c r="E107" s="9">
        <v>45774</v>
      </c>
      <c r="F107" s="9">
        <v>45774</v>
      </c>
      <c r="G107" s="9">
        <v>10722943</v>
      </c>
      <c r="H107" s="9">
        <v>10722943</v>
      </c>
      <c r="I107" s="9">
        <v>10722943</v>
      </c>
      <c r="J107" s="9">
        <v>10722943</v>
      </c>
      <c r="K107" s="9">
        <v>10722943</v>
      </c>
      <c r="L107" s="9">
        <v>10722943</v>
      </c>
      <c r="M107" s="9">
        <v>10722943</v>
      </c>
      <c r="N107" s="9">
        <v>11741384</v>
      </c>
      <c r="O107" s="31">
        <v>11741384</v>
      </c>
      <c r="P107" s="9">
        <v>0</v>
      </c>
      <c r="Q107" s="9">
        <v>0</v>
      </c>
      <c r="R107" s="9">
        <v>0</v>
      </c>
      <c r="S107" s="9">
        <v>2514515</v>
      </c>
      <c r="T107" s="9">
        <v>6983585</v>
      </c>
      <c r="U107" s="9">
        <v>6983585</v>
      </c>
      <c r="V107" s="9">
        <v>6983585</v>
      </c>
      <c r="W107" s="9">
        <v>6983585</v>
      </c>
      <c r="X107" s="9">
        <v>6983585</v>
      </c>
      <c r="Y107" s="9">
        <v>51902800</v>
      </c>
      <c r="Z107" s="9">
        <v>80310595</v>
      </c>
      <c r="AA107" s="9">
        <v>78492160</v>
      </c>
      <c r="AB107" s="31">
        <v>78492160</v>
      </c>
      <c r="AC107" s="9">
        <v>9301250</v>
      </c>
      <c r="AD107" s="9">
        <v>9301250</v>
      </c>
      <c r="AE107" s="9">
        <v>9301250</v>
      </c>
      <c r="AF107" s="9">
        <v>9301250</v>
      </c>
      <c r="AG107" s="9">
        <v>9301250</v>
      </c>
      <c r="AH107" s="9">
        <v>9301250</v>
      </c>
      <c r="AI107" s="9">
        <v>9301250</v>
      </c>
      <c r="AJ107" s="9">
        <v>9301250</v>
      </c>
      <c r="AK107" s="9">
        <v>9301250</v>
      </c>
      <c r="AL107" s="9">
        <v>9301250</v>
      </c>
      <c r="AM107" s="9">
        <v>9301250</v>
      </c>
      <c r="AN107" s="9">
        <v>9462117</v>
      </c>
      <c r="AO107" s="31">
        <v>9462117</v>
      </c>
      <c r="AP107" s="9">
        <v>0</v>
      </c>
      <c r="AQ107" s="9">
        <v>0</v>
      </c>
      <c r="AR107" s="9">
        <v>0</v>
      </c>
      <c r="AS107" s="9">
        <v>0</v>
      </c>
      <c r="AT107" s="9">
        <v>32168</v>
      </c>
      <c r="AU107" s="9">
        <v>32168</v>
      </c>
      <c r="AV107" s="9">
        <v>32168</v>
      </c>
      <c r="AW107" s="9">
        <v>32168</v>
      </c>
      <c r="AX107" s="9">
        <v>32168</v>
      </c>
      <c r="AY107" s="9">
        <v>44560</v>
      </c>
      <c r="AZ107" s="9">
        <v>44560</v>
      </c>
      <c r="BA107" s="9">
        <v>44560</v>
      </c>
      <c r="BB107" s="31">
        <v>44560</v>
      </c>
      <c r="BC107" s="9">
        <v>17818</v>
      </c>
      <c r="BD107" s="9">
        <v>17818</v>
      </c>
      <c r="BE107" s="9">
        <v>17818</v>
      </c>
      <c r="BF107" s="9">
        <v>17818</v>
      </c>
      <c r="BG107" s="9">
        <v>17818</v>
      </c>
      <c r="BH107" s="9">
        <v>17818</v>
      </c>
      <c r="BI107" s="9">
        <v>17818</v>
      </c>
      <c r="BJ107" s="9">
        <v>17818</v>
      </c>
      <c r="BK107" s="9">
        <v>17818</v>
      </c>
      <c r="BL107" s="9">
        <v>17818</v>
      </c>
      <c r="BM107" s="9">
        <v>17818</v>
      </c>
      <c r="BN107" s="9">
        <v>17818</v>
      </c>
      <c r="BO107" s="31">
        <v>17818</v>
      </c>
      <c r="BP107" s="9">
        <v>10</v>
      </c>
      <c r="BQ107" s="9">
        <v>10</v>
      </c>
      <c r="BR107" s="9">
        <v>10</v>
      </c>
      <c r="BS107" s="9">
        <v>10</v>
      </c>
      <c r="BT107" s="9">
        <v>10</v>
      </c>
      <c r="BU107" s="9">
        <v>10</v>
      </c>
      <c r="BV107" s="9">
        <v>10</v>
      </c>
      <c r="BW107" s="9">
        <v>10</v>
      </c>
      <c r="BX107" s="9">
        <v>10</v>
      </c>
      <c r="BY107" s="9">
        <v>10</v>
      </c>
      <c r="BZ107" s="9">
        <v>10</v>
      </c>
      <c r="CA107" s="9">
        <v>10</v>
      </c>
      <c r="CB107" s="31">
        <v>10</v>
      </c>
    </row>
    <row r="108" spans="2:80" x14ac:dyDescent="0.3">
      <c r="B108" s="7" t="s">
        <v>55</v>
      </c>
      <c r="C108" s="9">
        <v>11095</v>
      </c>
      <c r="D108" s="9">
        <v>11095</v>
      </c>
      <c r="E108" s="9">
        <v>11095</v>
      </c>
      <c r="F108" s="9">
        <v>11095</v>
      </c>
      <c r="G108" s="9">
        <v>11095</v>
      </c>
      <c r="H108" s="9">
        <v>11095</v>
      </c>
      <c r="I108" s="9">
        <v>11095</v>
      </c>
      <c r="J108" s="9">
        <v>11095</v>
      </c>
      <c r="K108" s="9">
        <v>11095</v>
      </c>
      <c r="L108" s="9">
        <v>5116931</v>
      </c>
      <c r="M108" s="9">
        <v>5116931</v>
      </c>
      <c r="N108" s="9">
        <v>5116931</v>
      </c>
      <c r="O108" s="31">
        <v>5116931</v>
      </c>
      <c r="P108" s="9">
        <v>0</v>
      </c>
      <c r="Q108" s="9">
        <v>0</v>
      </c>
      <c r="R108" s="9">
        <v>1089715</v>
      </c>
      <c r="S108" s="9">
        <v>1089715</v>
      </c>
      <c r="T108" s="9">
        <v>1089715</v>
      </c>
      <c r="U108" s="9">
        <v>1089715</v>
      </c>
      <c r="V108" s="9">
        <v>1089715</v>
      </c>
      <c r="W108" s="9">
        <v>1089715</v>
      </c>
      <c r="X108" s="9">
        <v>1089715</v>
      </c>
      <c r="Y108" s="9">
        <v>1089715</v>
      </c>
      <c r="Z108" s="9">
        <v>7899193</v>
      </c>
      <c r="AA108" s="9">
        <v>7899193</v>
      </c>
      <c r="AB108" s="31">
        <v>7899193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31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10159</v>
      </c>
      <c r="AU108" s="9">
        <v>10159</v>
      </c>
      <c r="AV108" s="9">
        <v>10159</v>
      </c>
      <c r="AW108" s="9">
        <v>10159</v>
      </c>
      <c r="AX108" s="9">
        <v>10159</v>
      </c>
      <c r="AY108" s="9">
        <v>12541</v>
      </c>
      <c r="AZ108" s="9">
        <v>431652</v>
      </c>
      <c r="BA108" s="9">
        <v>300457</v>
      </c>
      <c r="BB108" s="31">
        <v>300457</v>
      </c>
      <c r="BC108" s="9">
        <v>7424</v>
      </c>
      <c r="BD108" s="9">
        <v>7424</v>
      </c>
      <c r="BE108" s="9">
        <v>7424</v>
      </c>
      <c r="BF108" s="9">
        <v>7424</v>
      </c>
      <c r="BG108" s="9">
        <v>7424</v>
      </c>
      <c r="BH108" s="9">
        <v>7424</v>
      </c>
      <c r="BI108" s="9">
        <v>7424</v>
      </c>
      <c r="BJ108" s="9">
        <v>7424</v>
      </c>
      <c r="BK108" s="9">
        <v>7424</v>
      </c>
      <c r="BL108" s="9">
        <v>7424</v>
      </c>
      <c r="BM108" s="9">
        <v>7424</v>
      </c>
      <c r="BN108" s="9">
        <v>7424</v>
      </c>
      <c r="BO108" s="31">
        <v>7424</v>
      </c>
      <c r="BP108" s="9">
        <v>10</v>
      </c>
      <c r="BQ108" s="9">
        <v>10</v>
      </c>
      <c r="BR108" s="9">
        <v>10</v>
      </c>
      <c r="BS108" s="9">
        <v>10</v>
      </c>
      <c r="BT108" s="9">
        <v>10</v>
      </c>
      <c r="BU108" s="9">
        <v>10</v>
      </c>
      <c r="BV108" s="9">
        <v>10</v>
      </c>
      <c r="BW108" s="9">
        <v>10</v>
      </c>
      <c r="BX108" s="9">
        <v>10</v>
      </c>
      <c r="BY108" s="9">
        <v>10</v>
      </c>
      <c r="BZ108" s="9">
        <v>10</v>
      </c>
      <c r="CA108" s="9">
        <v>10</v>
      </c>
      <c r="CB108" s="31">
        <v>10</v>
      </c>
    </row>
    <row r="109" spans="2:80" x14ac:dyDescent="0.3">
      <c r="B109" s="7" t="s">
        <v>56</v>
      </c>
      <c r="C109" s="9">
        <v>7055</v>
      </c>
      <c r="D109" s="9">
        <v>7055</v>
      </c>
      <c r="E109" s="9">
        <v>7055</v>
      </c>
      <c r="F109" s="9">
        <v>7055</v>
      </c>
      <c r="G109" s="9">
        <v>250007</v>
      </c>
      <c r="H109" s="9">
        <v>250007</v>
      </c>
      <c r="I109" s="9">
        <v>266968</v>
      </c>
      <c r="J109" s="9">
        <v>266968</v>
      </c>
      <c r="K109" s="9">
        <v>266968</v>
      </c>
      <c r="L109" s="9">
        <v>266968</v>
      </c>
      <c r="M109" s="9">
        <v>266968</v>
      </c>
      <c r="N109" s="9">
        <v>266968</v>
      </c>
      <c r="O109" s="31">
        <v>266968</v>
      </c>
      <c r="P109" s="9">
        <v>0</v>
      </c>
      <c r="Q109" s="9">
        <v>0</v>
      </c>
      <c r="R109" s="9">
        <v>0</v>
      </c>
      <c r="S109" s="9">
        <v>0</v>
      </c>
      <c r="T109" s="9">
        <v>33826</v>
      </c>
      <c r="U109" s="9">
        <v>33826</v>
      </c>
      <c r="V109" s="9">
        <v>33826</v>
      </c>
      <c r="W109" s="9">
        <v>33826</v>
      </c>
      <c r="X109" s="9">
        <v>33826</v>
      </c>
      <c r="Y109" s="9">
        <v>3346047</v>
      </c>
      <c r="Z109" s="9">
        <v>6440875</v>
      </c>
      <c r="AA109" s="9">
        <v>8582147</v>
      </c>
      <c r="AB109" s="31">
        <v>8582147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31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5080</v>
      </c>
      <c r="AU109" s="9">
        <v>5080</v>
      </c>
      <c r="AV109" s="9">
        <v>5080</v>
      </c>
      <c r="AW109" s="9">
        <v>5080</v>
      </c>
      <c r="AX109" s="9">
        <v>5080</v>
      </c>
      <c r="AY109" s="9">
        <v>6865</v>
      </c>
      <c r="AZ109" s="9">
        <v>6865</v>
      </c>
      <c r="BA109" s="9">
        <v>6865</v>
      </c>
      <c r="BB109" s="31">
        <v>6865</v>
      </c>
      <c r="BC109" s="9">
        <v>2970</v>
      </c>
      <c r="BD109" s="9">
        <v>2970</v>
      </c>
      <c r="BE109" s="9">
        <v>2970</v>
      </c>
      <c r="BF109" s="9">
        <v>2970</v>
      </c>
      <c r="BG109" s="9">
        <v>2970</v>
      </c>
      <c r="BH109" s="9">
        <v>2970</v>
      </c>
      <c r="BI109" s="9">
        <v>2970</v>
      </c>
      <c r="BJ109" s="9">
        <v>2970</v>
      </c>
      <c r="BK109" s="9">
        <v>2970</v>
      </c>
      <c r="BL109" s="9">
        <v>2970</v>
      </c>
      <c r="BM109" s="9">
        <v>2970</v>
      </c>
      <c r="BN109" s="9">
        <v>2970</v>
      </c>
      <c r="BO109" s="31">
        <v>2970</v>
      </c>
      <c r="BP109" s="9">
        <v>10</v>
      </c>
      <c r="BQ109" s="9">
        <v>10</v>
      </c>
      <c r="BR109" s="9">
        <v>10</v>
      </c>
      <c r="BS109" s="9">
        <v>10</v>
      </c>
      <c r="BT109" s="9">
        <v>10</v>
      </c>
      <c r="BU109" s="9">
        <v>10</v>
      </c>
      <c r="BV109" s="9">
        <v>10</v>
      </c>
      <c r="BW109" s="9">
        <v>10</v>
      </c>
      <c r="BX109" s="9">
        <v>10</v>
      </c>
      <c r="BY109" s="9">
        <v>10</v>
      </c>
      <c r="BZ109" s="9">
        <v>10</v>
      </c>
      <c r="CA109" s="9">
        <v>10</v>
      </c>
      <c r="CB109" s="31">
        <v>10</v>
      </c>
    </row>
    <row r="110" spans="2:80" x14ac:dyDescent="0.3">
      <c r="B110" s="7" t="s">
        <v>57</v>
      </c>
      <c r="C110" s="9">
        <v>15569</v>
      </c>
      <c r="D110" s="9">
        <v>15569</v>
      </c>
      <c r="E110" s="9">
        <v>15569</v>
      </c>
      <c r="F110" s="9">
        <v>15569</v>
      </c>
      <c r="G110" s="9">
        <v>15569</v>
      </c>
      <c r="H110" s="9">
        <v>19306</v>
      </c>
      <c r="I110" s="9">
        <v>19306</v>
      </c>
      <c r="J110" s="9">
        <v>19306</v>
      </c>
      <c r="K110" s="9">
        <v>19306</v>
      </c>
      <c r="L110" s="9">
        <v>19306</v>
      </c>
      <c r="M110" s="9">
        <v>19306</v>
      </c>
      <c r="N110" s="9">
        <v>2042437</v>
      </c>
      <c r="O110" s="31">
        <v>2042437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1603019</v>
      </c>
      <c r="AA110" s="9">
        <v>1603019</v>
      </c>
      <c r="AB110" s="31">
        <v>1603019</v>
      </c>
      <c r="AC110" s="9">
        <v>3986250</v>
      </c>
      <c r="AD110" s="9">
        <v>3986250</v>
      </c>
      <c r="AE110" s="9">
        <v>3986250</v>
      </c>
      <c r="AF110" s="9">
        <v>3986250</v>
      </c>
      <c r="AG110" s="9">
        <v>3986250</v>
      </c>
      <c r="AH110" s="9">
        <v>3986250</v>
      </c>
      <c r="AI110" s="9">
        <v>3986250</v>
      </c>
      <c r="AJ110" s="9">
        <v>3986250</v>
      </c>
      <c r="AK110" s="9">
        <v>3986250</v>
      </c>
      <c r="AL110" s="9">
        <v>3986250</v>
      </c>
      <c r="AM110" s="9">
        <v>3986250</v>
      </c>
      <c r="AN110" s="9">
        <v>4033097</v>
      </c>
      <c r="AO110" s="31">
        <v>4033097</v>
      </c>
      <c r="AP110" s="9">
        <v>0</v>
      </c>
      <c r="AQ110" s="9">
        <v>0</v>
      </c>
      <c r="AR110" s="9">
        <v>0</v>
      </c>
      <c r="AS110" s="9">
        <v>0</v>
      </c>
      <c r="AT110" s="9">
        <v>5080</v>
      </c>
      <c r="AU110" s="9">
        <v>5080</v>
      </c>
      <c r="AV110" s="9">
        <v>5080</v>
      </c>
      <c r="AW110" s="9">
        <v>5080</v>
      </c>
      <c r="AX110" s="9">
        <v>5080</v>
      </c>
      <c r="AY110" s="9">
        <v>6270</v>
      </c>
      <c r="AZ110" s="9">
        <v>6270</v>
      </c>
      <c r="BA110" s="9">
        <v>6270</v>
      </c>
      <c r="BB110" s="31">
        <v>6270</v>
      </c>
      <c r="BC110" s="9">
        <v>8909</v>
      </c>
      <c r="BD110" s="9">
        <v>8909</v>
      </c>
      <c r="BE110" s="9">
        <v>8909</v>
      </c>
      <c r="BF110" s="9">
        <v>8909</v>
      </c>
      <c r="BG110" s="9">
        <v>8909</v>
      </c>
      <c r="BH110" s="9">
        <v>8909</v>
      </c>
      <c r="BI110" s="9">
        <v>8909</v>
      </c>
      <c r="BJ110" s="9">
        <v>8909</v>
      </c>
      <c r="BK110" s="9">
        <v>8909</v>
      </c>
      <c r="BL110" s="9">
        <v>8909</v>
      </c>
      <c r="BM110" s="9">
        <v>8909</v>
      </c>
      <c r="BN110" s="9">
        <v>8909</v>
      </c>
      <c r="BO110" s="31">
        <v>8909</v>
      </c>
      <c r="BP110" s="9">
        <v>10</v>
      </c>
      <c r="BQ110" s="9">
        <v>10</v>
      </c>
      <c r="BR110" s="9">
        <v>10</v>
      </c>
      <c r="BS110" s="9">
        <v>10</v>
      </c>
      <c r="BT110" s="9">
        <v>10</v>
      </c>
      <c r="BU110" s="9">
        <v>10</v>
      </c>
      <c r="BV110" s="9">
        <v>10</v>
      </c>
      <c r="BW110" s="9">
        <v>10</v>
      </c>
      <c r="BX110" s="9">
        <v>10</v>
      </c>
      <c r="BY110" s="9">
        <v>10</v>
      </c>
      <c r="BZ110" s="9">
        <v>10</v>
      </c>
      <c r="CA110" s="9">
        <v>10</v>
      </c>
      <c r="CB110" s="31">
        <v>10</v>
      </c>
    </row>
    <row r="111" spans="2:80" x14ac:dyDescent="0.3">
      <c r="B111" s="7" t="s">
        <v>58</v>
      </c>
      <c r="C111" s="9">
        <v>13073</v>
      </c>
      <c r="D111" s="9">
        <v>13073</v>
      </c>
      <c r="E111" s="9">
        <v>13073</v>
      </c>
      <c r="F111" s="9">
        <v>777303</v>
      </c>
      <c r="G111" s="9">
        <v>777303</v>
      </c>
      <c r="H111" s="9">
        <v>777303</v>
      </c>
      <c r="I111" s="9">
        <v>777303</v>
      </c>
      <c r="J111" s="9">
        <v>777303</v>
      </c>
      <c r="K111" s="9">
        <v>777303</v>
      </c>
      <c r="L111" s="9">
        <v>777303</v>
      </c>
      <c r="M111" s="9">
        <v>777303</v>
      </c>
      <c r="N111" s="9">
        <v>812303</v>
      </c>
      <c r="O111" s="31">
        <v>812303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3907752</v>
      </c>
      <c r="AA111" s="9">
        <v>3907752</v>
      </c>
      <c r="AB111" s="31">
        <v>3907752</v>
      </c>
      <c r="AC111" s="9">
        <v>9301250</v>
      </c>
      <c r="AD111" s="9">
        <v>9301250</v>
      </c>
      <c r="AE111" s="9">
        <v>9301250</v>
      </c>
      <c r="AF111" s="9">
        <v>9301250</v>
      </c>
      <c r="AG111" s="9">
        <v>9301250</v>
      </c>
      <c r="AH111" s="9">
        <v>9301250</v>
      </c>
      <c r="AI111" s="9">
        <v>9301250</v>
      </c>
      <c r="AJ111" s="9">
        <v>9301250</v>
      </c>
      <c r="AK111" s="9">
        <v>9301250</v>
      </c>
      <c r="AL111" s="9">
        <v>9301250</v>
      </c>
      <c r="AM111" s="9">
        <v>9301250</v>
      </c>
      <c r="AN111" s="9">
        <v>8558484</v>
      </c>
      <c r="AO111" s="31">
        <v>8558484</v>
      </c>
      <c r="AP111" s="9">
        <v>0</v>
      </c>
      <c r="AQ111" s="9">
        <v>0</v>
      </c>
      <c r="AR111" s="9">
        <v>0</v>
      </c>
      <c r="AS111" s="9">
        <v>0</v>
      </c>
      <c r="AT111" s="9">
        <v>11175</v>
      </c>
      <c r="AU111" s="9">
        <v>11175</v>
      </c>
      <c r="AV111" s="9">
        <v>11175</v>
      </c>
      <c r="AW111" s="9">
        <v>11175</v>
      </c>
      <c r="AX111" s="9">
        <v>11175</v>
      </c>
      <c r="AY111" s="9">
        <v>12960</v>
      </c>
      <c r="AZ111" s="9">
        <v>12960</v>
      </c>
      <c r="BA111" s="9">
        <v>12960</v>
      </c>
      <c r="BB111" s="31">
        <v>12960</v>
      </c>
      <c r="BC111" s="9">
        <v>11879</v>
      </c>
      <c r="BD111" s="9">
        <v>11879</v>
      </c>
      <c r="BE111" s="9">
        <v>11879</v>
      </c>
      <c r="BF111" s="9">
        <v>11879</v>
      </c>
      <c r="BG111" s="9">
        <v>11879</v>
      </c>
      <c r="BH111" s="9">
        <v>11879</v>
      </c>
      <c r="BI111" s="9">
        <v>11879</v>
      </c>
      <c r="BJ111" s="9">
        <v>11879</v>
      </c>
      <c r="BK111" s="9">
        <v>11879</v>
      </c>
      <c r="BL111" s="9">
        <v>11879</v>
      </c>
      <c r="BM111" s="9">
        <v>11879</v>
      </c>
      <c r="BN111" s="9">
        <v>11879</v>
      </c>
      <c r="BO111" s="31">
        <v>11879</v>
      </c>
      <c r="BP111" s="9">
        <v>10</v>
      </c>
      <c r="BQ111" s="9">
        <v>10</v>
      </c>
      <c r="BR111" s="9">
        <v>10</v>
      </c>
      <c r="BS111" s="9">
        <v>10</v>
      </c>
      <c r="BT111" s="9">
        <v>10</v>
      </c>
      <c r="BU111" s="9">
        <v>10</v>
      </c>
      <c r="BV111" s="9">
        <v>10</v>
      </c>
      <c r="BW111" s="9">
        <v>10</v>
      </c>
      <c r="BX111" s="9">
        <v>10</v>
      </c>
      <c r="BY111" s="9">
        <v>10</v>
      </c>
      <c r="BZ111" s="9">
        <v>10</v>
      </c>
      <c r="CA111" s="9">
        <v>10</v>
      </c>
      <c r="CB111" s="31">
        <v>10</v>
      </c>
    </row>
    <row r="112" spans="2:80" x14ac:dyDescent="0.3">
      <c r="B112" s="7" t="s">
        <v>59</v>
      </c>
      <c r="C112" s="9">
        <v>18558</v>
      </c>
      <c r="D112" s="9">
        <v>18558</v>
      </c>
      <c r="E112" s="9">
        <v>18558</v>
      </c>
      <c r="F112" s="9">
        <v>18558</v>
      </c>
      <c r="G112" s="9">
        <v>18558</v>
      </c>
      <c r="H112" s="9">
        <v>18558</v>
      </c>
      <c r="I112" s="9">
        <v>18558</v>
      </c>
      <c r="J112" s="9">
        <v>18558</v>
      </c>
      <c r="K112" s="9">
        <v>18558</v>
      </c>
      <c r="L112" s="9">
        <v>169560</v>
      </c>
      <c r="M112" s="9">
        <v>169560</v>
      </c>
      <c r="N112" s="9">
        <v>169560</v>
      </c>
      <c r="O112" s="31">
        <v>169560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4620268</v>
      </c>
      <c r="Y112" s="9">
        <v>4620268</v>
      </c>
      <c r="Z112" s="9">
        <v>11447397</v>
      </c>
      <c r="AA112" s="9">
        <v>11447397</v>
      </c>
      <c r="AB112" s="31">
        <v>11447397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31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10159</v>
      </c>
      <c r="AU112" s="9">
        <v>10159</v>
      </c>
      <c r="AV112" s="9">
        <v>10159</v>
      </c>
      <c r="AW112" s="9">
        <v>10159</v>
      </c>
      <c r="AX112" s="9">
        <v>10159</v>
      </c>
      <c r="AY112" s="9">
        <v>12161</v>
      </c>
      <c r="AZ112" s="9">
        <v>12161</v>
      </c>
      <c r="BA112" s="9">
        <v>12161</v>
      </c>
      <c r="BB112" s="31">
        <v>12161</v>
      </c>
      <c r="BC112" s="9">
        <v>6929</v>
      </c>
      <c r="BD112" s="9">
        <v>6929</v>
      </c>
      <c r="BE112" s="9">
        <v>6929</v>
      </c>
      <c r="BF112" s="9">
        <v>6929</v>
      </c>
      <c r="BG112" s="9">
        <v>6929</v>
      </c>
      <c r="BH112" s="9">
        <v>6929</v>
      </c>
      <c r="BI112" s="9">
        <v>6929</v>
      </c>
      <c r="BJ112" s="9">
        <v>6929</v>
      </c>
      <c r="BK112" s="9">
        <v>6929</v>
      </c>
      <c r="BL112" s="9">
        <v>6929</v>
      </c>
      <c r="BM112" s="9">
        <v>6929</v>
      </c>
      <c r="BN112" s="9">
        <v>6929</v>
      </c>
      <c r="BO112" s="31">
        <v>6929</v>
      </c>
      <c r="BP112" s="9">
        <v>10</v>
      </c>
      <c r="BQ112" s="9">
        <v>10</v>
      </c>
      <c r="BR112" s="9">
        <v>10</v>
      </c>
      <c r="BS112" s="9">
        <v>10</v>
      </c>
      <c r="BT112" s="9">
        <v>10</v>
      </c>
      <c r="BU112" s="9">
        <v>10</v>
      </c>
      <c r="BV112" s="9">
        <v>10</v>
      </c>
      <c r="BW112" s="9">
        <v>10</v>
      </c>
      <c r="BX112" s="9">
        <v>10</v>
      </c>
      <c r="BY112" s="9">
        <v>10</v>
      </c>
      <c r="BZ112" s="9">
        <v>10</v>
      </c>
      <c r="CA112" s="9">
        <v>10</v>
      </c>
      <c r="CB112" s="31">
        <v>10</v>
      </c>
    </row>
    <row r="113" spans="2:80" x14ac:dyDescent="0.3">
      <c r="B113" s="7" t="s">
        <v>60</v>
      </c>
      <c r="C113" s="9">
        <v>13786</v>
      </c>
      <c r="D113" s="9">
        <v>13786</v>
      </c>
      <c r="E113" s="9">
        <v>13786</v>
      </c>
      <c r="F113" s="9">
        <v>13786</v>
      </c>
      <c r="G113" s="9">
        <v>1912606</v>
      </c>
      <c r="H113" s="9">
        <v>1912606</v>
      </c>
      <c r="I113" s="9">
        <v>1912606</v>
      </c>
      <c r="J113" s="9">
        <v>1912606</v>
      </c>
      <c r="K113" s="9">
        <v>1912606</v>
      </c>
      <c r="L113" s="9">
        <v>1912606</v>
      </c>
      <c r="M113" s="9">
        <v>1912606</v>
      </c>
      <c r="N113" s="9">
        <v>2767129</v>
      </c>
      <c r="O113" s="31">
        <v>2767129</v>
      </c>
      <c r="P113" s="9">
        <v>0</v>
      </c>
      <c r="Q113" s="9">
        <v>0</v>
      </c>
      <c r="R113" s="9">
        <v>814039</v>
      </c>
      <c r="S113" s="9">
        <v>814039</v>
      </c>
      <c r="T113" s="9">
        <v>1256295</v>
      </c>
      <c r="U113" s="9">
        <v>1256295</v>
      </c>
      <c r="V113" s="9">
        <v>1256295</v>
      </c>
      <c r="W113" s="9">
        <v>1256295</v>
      </c>
      <c r="X113" s="9">
        <v>1256295</v>
      </c>
      <c r="Y113" s="9">
        <v>2903454</v>
      </c>
      <c r="Z113" s="9">
        <v>2903454</v>
      </c>
      <c r="AA113" s="9">
        <v>3007656</v>
      </c>
      <c r="AB113" s="31">
        <v>3007656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31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7619</v>
      </c>
      <c r="AU113" s="9">
        <v>7619</v>
      </c>
      <c r="AV113" s="9">
        <v>7619</v>
      </c>
      <c r="AW113" s="9">
        <v>7619</v>
      </c>
      <c r="AX113" s="9">
        <v>7619</v>
      </c>
      <c r="AY113" s="9">
        <v>9216</v>
      </c>
      <c r="AZ113" s="9">
        <v>9216</v>
      </c>
      <c r="BA113" s="9">
        <v>9216</v>
      </c>
      <c r="BB113" s="31">
        <v>9216</v>
      </c>
      <c r="BC113" s="9">
        <v>5890</v>
      </c>
      <c r="BD113" s="9">
        <v>5890</v>
      </c>
      <c r="BE113" s="9">
        <v>5890</v>
      </c>
      <c r="BF113" s="9">
        <v>5890</v>
      </c>
      <c r="BG113" s="9">
        <v>5890</v>
      </c>
      <c r="BH113" s="9">
        <v>5890</v>
      </c>
      <c r="BI113" s="9">
        <v>5890</v>
      </c>
      <c r="BJ113" s="9">
        <v>5890</v>
      </c>
      <c r="BK113" s="9">
        <v>5890</v>
      </c>
      <c r="BL113" s="9">
        <v>5890</v>
      </c>
      <c r="BM113" s="9">
        <v>5890</v>
      </c>
      <c r="BN113" s="9">
        <v>5890</v>
      </c>
      <c r="BO113" s="31">
        <v>5890</v>
      </c>
      <c r="BP113" s="9">
        <v>10</v>
      </c>
      <c r="BQ113" s="9">
        <v>10</v>
      </c>
      <c r="BR113" s="9">
        <v>10</v>
      </c>
      <c r="BS113" s="9">
        <v>10</v>
      </c>
      <c r="BT113" s="9">
        <v>10</v>
      </c>
      <c r="BU113" s="9">
        <v>10</v>
      </c>
      <c r="BV113" s="9">
        <v>10</v>
      </c>
      <c r="BW113" s="9">
        <v>10</v>
      </c>
      <c r="BX113" s="9">
        <v>10</v>
      </c>
      <c r="BY113" s="9">
        <v>10</v>
      </c>
      <c r="BZ113" s="9">
        <v>10</v>
      </c>
      <c r="CA113" s="9">
        <v>10</v>
      </c>
      <c r="CB113" s="31">
        <v>10</v>
      </c>
    </row>
    <row r="114" spans="2:80" x14ac:dyDescent="0.3">
      <c r="B114" s="7" t="s">
        <v>61</v>
      </c>
      <c r="C114" s="9">
        <v>9479</v>
      </c>
      <c r="D114" s="9">
        <v>9479</v>
      </c>
      <c r="E114" s="9">
        <v>9479</v>
      </c>
      <c r="F114" s="9">
        <v>9479</v>
      </c>
      <c r="G114" s="9">
        <v>9479</v>
      </c>
      <c r="H114" s="9">
        <v>9479</v>
      </c>
      <c r="I114" s="9">
        <v>9479</v>
      </c>
      <c r="J114" s="9">
        <v>9479</v>
      </c>
      <c r="K114" s="9">
        <v>9479</v>
      </c>
      <c r="L114" s="9">
        <v>9479</v>
      </c>
      <c r="M114" s="9">
        <v>9479</v>
      </c>
      <c r="N114" s="9">
        <v>317614</v>
      </c>
      <c r="O114" s="31">
        <v>317614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7174216</v>
      </c>
      <c r="AA114" s="9">
        <v>7174216</v>
      </c>
      <c r="AB114" s="31">
        <v>7174216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31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11852</v>
      </c>
      <c r="AU114" s="9">
        <v>11852</v>
      </c>
      <c r="AV114" s="9">
        <v>11852</v>
      </c>
      <c r="AW114" s="9">
        <v>1610341</v>
      </c>
      <c r="AX114" s="9">
        <v>1610341</v>
      </c>
      <c r="AY114" s="9">
        <v>1612723</v>
      </c>
      <c r="AZ114" s="9">
        <v>7959032</v>
      </c>
      <c r="BA114" s="9">
        <v>9262299</v>
      </c>
      <c r="BB114" s="31">
        <v>9262299</v>
      </c>
      <c r="BC114" s="9">
        <v>1980</v>
      </c>
      <c r="BD114" s="9">
        <v>1980</v>
      </c>
      <c r="BE114" s="9">
        <v>1980</v>
      </c>
      <c r="BF114" s="9">
        <v>1980</v>
      </c>
      <c r="BG114" s="9">
        <v>1980</v>
      </c>
      <c r="BH114" s="9">
        <v>1980</v>
      </c>
      <c r="BI114" s="9">
        <v>1980</v>
      </c>
      <c r="BJ114" s="9">
        <v>1980</v>
      </c>
      <c r="BK114" s="9">
        <v>1980</v>
      </c>
      <c r="BL114" s="9">
        <v>1980</v>
      </c>
      <c r="BM114" s="9">
        <v>1980</v>
      </c>
      <c r="BN114" s="9">
        <v>1980</v>
      </c>
      <c r="BO114" s="31">
        <v>1980</v>
      </c>
      <c r="BP114" s="9">
        <v>10</v>
      </c>
      <c r="BQ114" s="9">
        <v>10</v>
      </c>
      <c r="BR114" s="9">
        <v>10</v>
      </c>
      <c r="BS114" s="9">
        <v>10</v>
      </c>
      <c r="BT114" s="9">
        <v>10</v>
      </c>
      <c r="BU114" s="9">
        <v>10</v>
      </c>
      <c r="BV114" s="9">
        <v>10</v>
      </c>
      <c r="BW114" s="9">
        <v>10</v>
      </c>
      <c r="BX114" s="9">
        <v>10</v>
      </c>
      <c r="BY114" s="9">
        <v>10</v>
      </c>
      <c r="BZ114" s="9">
        <v>10</v>
      </c>
      <c r="CA114" s="9">
        <v>10</v>
      </c>
      <c r="CB114" s="31">
        <v>10</v>
      </c>
    </row>
    <row r="115" spans="2:80" x14ac:dyDescent="0.3">
      <c r="B115" s="7" t="s">
        <v>62</v>
      </c>
      <c r="C115" s="9">
        <v>6340</v>
      </c>
      <c r="D115" s="9">
        <v>6340</v>
      </c>
      <c r="E115" s="9">
        <v>6340</v>
      </c>
      <c r="F115" s="9">
        <v>6340</v>
      </c>
      <c r="G115" s="9">
        <v>6340</v>
      </c>
      <c r="H115" s="9">
        <v>7570</v>
      </c>
      <c r="I115" s="9">
        <v>7570</v>
      </c>
      <c r="J115" s="9">
        <v>7570</v>
      </c>
      <c r="K115" s="9">
        <v>7570</v>
      </c>
      <c r="L115" s="9">
        <v>7570</v>
      </c>
      <c r="M115" s="9">
        <v>7570</v>
      </c>
      <c r="N115" s="9">
        <v>7570</v>
      </c>
      <c r="O115" s="31">
        <v>7570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695827</v>
      </c>
      <c r="AA115" s="9">
        <v>695827</v>
      </c>
      <c r="AB115" s="31">
        <v>695827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31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5080</v>
      </c>
      <c r="AU115" s="9">
        <v>5080</v>
      </c>
      <c r="AV115" s="9">
        <v>5080</v>
      </c>
      <c r="AW115" s="9">
        <v>5080</v>
      </c>
      <c r="AX115" s="9">
        <v>5080</v>
      </c>
      <c r="AY115" s="9">
        <v>6270</v>
      </c>
      <c r="AZ115" s="9">
        <v>20880</v>
      </c>
      <c r="BA115" s="9">
        <v>6270</v>
      </c>
      <c r="BB115" s="31">
        <v>6270</v>
      </c>
      <c r="BC115" s="9">
        <v>3960</v>
      </c>
      <c r="BD115" s="9">
        <v>3960</v>
      </c>
      <c r="BE115" s="9">
        <v>3960</v>
      </c>
      <c r="BF115" s="9">
        <v>3960</v>
      </c>
      <c r="BG115" s="9">
        <v>3960</v>
      </c>
      <c r="BH115" s="9">
        <v>3960</v>
      </c>
      <c r="BI115" s="9">
        <v>3960</v>
      </c>
      <c r="BJ115" s="9">
        <v>3960</v>
      </c>
      <c r="BK115" s="9">
        <v>3960</v>
      </c>
      <c r="BL115" s="9">
        <v>3960</v>
      </c>
      <c r="BM115" s="9">
        <v>3960</v>
      </c>
      <c r="BN115" s="9">
        <v>3960</v>
      </c>
      <c r="BO115" s="31">
        <v>3960</v>
      </c>
      <c r="BP115" s="9">
        <v>10</v>
      </c>
      <c r="BQ115" s="9">
        <v>10</v>
      </c>
      <c r="BR115" s="9">
        <v>10</v>
      </c>
      <c r="BS115" s="9">
        <v>10</v>
      </c>
      <c r="BT115" s="9">
        <v>10</v>
      </c>
      <c r="BU115" s="9">
        <v>10</v>
      </c>
      <c r="BV115" s="9">
        <v>10</v>
      </c>
      <c r="BW115" s="9">
        <v>10</v>
      </c>
      <c r="BX115" s="9">
        <v>10</v>
      </c>
      <c r="BY115" s="9">
        <v>10</v>
      </c>
      <c r="BZ115" s="9">
        <v>10</v>
      </c>
      <c r="CA115" s="9">
        <v>10</v>
      </c>
      <c r="CB115" s="31">
        <v>10</v>
      </c>
    </row>
    <row r="116" spans="2:80" x14ac:dyDescent="0.3">
      <c r="B116" s="7" t="s">
        <v>63</v>
      </c>
      <c r="C116" s="9">
        <v>8750</v>
      </c>
      <c r="D116" s="9">
        <v>8750</v>
      </c>
      <c r="E116" s="9">
        <v>8750</v>
      </c>
      <c r="F116" s="9">
        <v>8750</v>
      </c>
      <c r="G116" s="9">
        <v>8750</v>
      </c>
      <c r="H116" s="9">
        <v>13550</v>
      </c>
      <c r="I116" s="9">
        <v>13550</v>
      </c>
      <c r="J116" s="9">
        <v>13550</v>
      </c>
      <c r="K116" s="9">
        <v>13550</v>
      </c>
      <c r="L116" s="9">
        <v>13550</v>
      </c>
      <c r="M116" s="9">
        <v>13550</v>
      </c>
      <c r="N116" s="9">
        <v>13550</v>
      </c>
      <c r="O116" s="31">
        <v>13550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1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31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6773</v>
      </c>
      <c r="AU116" s="9">
        <v>6773</v>
      </c>
      <c r="AV116" s="9">
        <v>6773</v>
      </c>
      <c r="AW116" s="9">
        <v>6773</v>
      </c>
      <c r="AX116" s="9">
        <v>6773</v>
      </c>
      <c r="AY116" s="9">
        <v>8343</v>
      </c>
      <c r="AZ116" s="9">
        <v>8343</v>
      </c>
      <c r="BA116" s="9">
        <v>8343</v>
      </c>
      <c r="BB116" s="31">
        <v>8343</v>
      </c>
      <c r="BC116" s="9">
        <v>3960</v>
      </c>
      <c r="BD116" s="9">
        <v>3960</v>
      </c>
      <c r="BE116" s="9">
        <v>3960</v>
      </c>
      <c r="BF116" s="9">
        <v>3960</v>
      </c>
      <c r="BG116" s="9">
        <v>3960</v>
      </c>
      <c r="BH116" s="9">
        <v>3960</v>
      </c>
      <c r="BI116" s="9">
        <v>3960</v>
      </c>
      <c r="BJ116" s="9">
        <v>3960</v>
      </c>
      <c r="BK116" s="9">
        <v>3960</v>
      </c>
      <c r="BL116" s="9">
        <v>11799960</v>
      </c>
      <c r="BM116" s="9">
        <v>21799960</v>
      </c>
      <c r="BN116" s="9">
        <v>21799960</v>
      </c>
      <c r="BO116" s="31">
        <v>21799960</v>
      </c>
      <c r="BP116" s="9">
        <v>10</v>
      </c>
      <c r="BQ116" s="9">
        <v>10</v>
      </c>
      <c r="BR116" s="9">
        <v>10</v>
      </c>
      <c r="BS116" s="9">
        <v>10</v>
      </c>
      <c r="BT116" s="9">
        <v>10</v>
      </c>
      <c r="BU116" s="9">
        <v>10</v>
      </c>
      <c r="BV116" s="9">
        <v>10</v>
      </c>
      <c r="BW116" s="9">
        <v>10</v>
      </c>
      <c r="BX116" s="9">
        <v>10</v>
      </c>
      <c r="BY116" s="9">
        <v>10</v>
      </c>
      <c r="BZ116" s="9">
        <v>10</v>
      </c>
      <c r="CA116" s="9">
        <v>10</v>
      </c>
      <c r="CB116" s="31">
        <v>10</v>
      </c>
    </row>
    <row r="117" spans="2:80" x14ac:dyDescent="0.3">
      <c r="B117" s="11" t="s">
        <v>112</v>
      </c>
      <c r="C117" s="13">
        <f t="shared" ref="C117:AH117" si="12">SUM(C99:C116)</f>
        <v>4227090</v>
      </c>
      <c r="D117" s="13">
        <f t="shared" si="12"/>
        <v>4227090</v>
      </c>
      <c r="E117" s="13">
        <f t="shared" si="12"/>
        <v>4227090</v>
      </c>
      <c r="F117" s="13">
        <f t="shared" si="12"/>
        <v>4991320</v>
      </c>
      <c r="G117" s="13">
        <f t="shared" si="12"/>
        <v>19462393</v>
      </c>
      <c r="H117" s="13">
        <f t="shared" si="12"/>
        <v>19462393</v>
      </c>
      <c r="I117" s="13">
        <f t="shared" si="12"/>
        <v>19479354</v>
      </c>
      <c r="J117" s="13">
        <f t="shared" si="12"/>
        <v>20926069</v>
      </c>
      <c r="K117" s="13">
        <f t="shared" si="12"/>
        <v>20990830</v>
      </c>
      <c r="L117" s="13">
        <f t="shared" si="12"/>
        <v>26248289</v>
      </c>
      <c r="M117" s="13">
        <f t="shared" si="12"/>
        <v>32498139</v>
      </c>
      <c r="N117" s="13">
        <f t="shared" si="12"/>
        <v>36530130</v>
      </c>
      <c r="O117" s="13">
        <f t="shared" si="12"/>
        <v>36530130</v>
      </c>
      <c r="P117" s="13">
        <f t="shared" si="12"/>
        <v>3710812</v>
      </c>
      <c r="Q117" s="13">
        <f t="shared" si="12"/>
        <v>3710812</v>
      </c>
      <c r="R117" s="13">
        <f t="shared" si="12"/>
        <v>5614566</v>
      </c>
      <c r="S117" s="13">
        <f t="shared" si="12"/>
        <v>8129081</v>
      </c>
      <c r="T117" s="13">
        <f t="shared" si="12"/>
        <v>17494020</v>
      </c>
      <c r="U117" s="13">
        <f t="shared" si="12"/>
        <v>17564020</v>
      </c>
      <c r="V117" s="13">
        <f t="shared" si="12"/>
        <v>17564020</v>
      </c>
      <c r="W117" s="13">
        <f t="shared" si="12"/>
        <v>17564020</v>
      </c>
      <c r="X117" s="13">
        <f t="shared" si="12"/>
        <v>30447785</v>
      </c>
      <c r="Y117" s="13">
        <f t="shared" si="12"/>
        <v>80413380</v>
      </c>
      <c r="Z117" s="13">
        <f t="shared" si="12"/>
        <v>172255447</v>
      </c>
      <c r="AA117" s="13">
        <f t="shared" si="12"/>
        <v>193444526</v>
      </c>
      <c r="AB117" s="13">
        <f t="shared" si="12"/>
        <v>193444526</v>
      </c>
      <c r="AC117" s="13">
        <f t="shared" si="12"/>
        <v>30702526</v>
      </c>
      <c r="AD117" s="13">
        <f t="shared" si="12"/>
        <v>34680772</v>
      </c>
      <c r="AE117" s="13">
        <f t="shared" si="12"/>
        <v>34680772</v>
      </c>
      <c r="AF117" s="13">
        <f t="shared" si="12"/>
        <v>34680772</v>
      </c>
      <c r="AG117" s="13">
        <f t="shared" si="12"/>
        <v>34680772</v>
      </c>
      <c r="AH117" s="13">
        <f t="shared" si="12"/>
        <v>34680772</v>
      </c>
      <c r="AI117" s="13">
        <f t="shared" ref="AI117:BN117" si="13">SUM(AI99:AI116)</f>
        <v>34680772</v>
      </c>
      <c r="AJ117" s="13">
        <f t="shared" si="13"/>
        <v>34680772</v>
      </c>
      <c r="AK117" s="13">
        <f t="shared" si="13"/>
        <v>34680772</v>
      </c>
      <c r="AL117" s="13">
        <f t="shared" si="13"/>
        <v>34680772</v>
      </c>
      <c r="AM117" s="13">
        <f t="shared" si="13"/>
        <v>34680772</v>
      </c>
      <c r="AN117" s="13">
        <f t="shared" si="13"/>
        <v>34462894</v>
      </c>
      <c r="AO117" s="13">
        <f t="shared" si="13"/>
        <v>34462894</v>
      </c>
      <c r="AP117" s="13">
        <f t="shared" si="13"/>
        <v>30674754</v>
      </c>
      <c r="AQ117" s="13">
        <f t="shared" si="13"/>
        <v>30674754</v>
      </c>
      <c r="AR117" s="13">
        <f t="shared" si="13"/>
        <v>30674754</v>
      </c>
      <c r="AS117" s="13">
        <f t="shared" si="13"/>
        <v>30674754</v>
      </c>
      <c r="AT117" s="13">
        <f t="shared" si="13"/>
        <v>30869466</v>
      </c>
      <c r="AU117" s="13">
        <f t="shared" si="13"/>
        <v>33920664</v>
      </c>
      <c r="AV117" s="13">
        <f t="shared" si="13"/>
        <v>33920664</v>
      </c>
      <c r="AW117" s="13">
        <f t="shared" si="13"/>
        <v>35753300</v>
      </c>
      <c r="AX117" s="13">
        <f t="shared" si="13"/>
        <v>35753300</v>
      </c>
      <c r="AY117" s="13">
        <f t="shared" si="13"/>
        <v>35753300</v>
      </c>
      <c r="AZ117" s="13">
        <f t="shared" si="13"/>
        <v>18060164</v>
      </c>
      <c r="BA117" s="13">
        <f t="shared" si="13"/>
        <v>19217626</v>
      </c>
      <c r="BB117" s="13">
        <f t="shared" si="13"/>
        <v>19217626</v>
      </c>
      <c r="BC117" s="13">
        <f t="shared" si="13"/>
        <v>4543724</v>
      </c>
      <c r="BD117" s="13">
        <f t="shared" si="13"/>
        <v>4543724</v>
      </c>
      <c r="BE117" s="13">
        <f t="shared" si="13"/>
        <v>4543724</v>
      </c>
      <c r="BF117" s="13">
        <f t="shared" si="13"/>
        <v>4543724</v>
      </c>
      <c r="BG117" s="13">
        <f t="shared" si="13"/>
        <v>4543724</v>
      </c>
      <c r="BH117" s="13">
        <f t="shared" si="13"/>
        <v>4543724</v>
      </c>
      <c r="BI117" s="13">
        <f t="shared" si="13"/>
        <v>4543724</v>
      </c>
      <c r="BJ117" s="13">
        <f t="shared" si="13"/>
        <v>4543724</v>
      </c>
      <c r="BK117" s="13">
        <f t="shared" si="13"/>
        <v>4543724</v>
      </c>
      <c r="BL117" s="13">
        <f t="shared" si="13"/>
        <v>16339724</v>
      </c>
      <c r="BM117" s="13">
        <f t="shared" si="13"/>
        <v>26339724</v>
      </c>
      <c r="BN117" s="13">
        <f t="shared" si="13"/>
        <v>37330628</v>
      </c>
      <c r="BO117" s="13">
        <f t="shared" ref="BO117:CT117" si="14">SUM(BO99:BO116)</f>
        <v>37330628</v>
      </c>
      <c r="BP117" s="13">
        <f t="shared" si="14"/>
        <v>4182864</v>
      </c>
      <c r="BQ117" s="13">
        <f t="shared" si="14"/>
        <v>4182864</v>
      </c>
      <c r="BR117" s="13">
        <f t="shared" si="14"/>
        <v>4182864</v>
      </c>
      <c r="BS117" s="13">
        <f t="shared" si="14"/>
        <v>4182864</v>
      </c>
      <c r="BT117" s="13">
        <f t="shared" si="14"/>
        <v>4182864</v>
      </c>
      <c r="BU117" s="13">
        <f t="shared" si="14"/>
        <v>4182864</v>
      </c>
      <c r="BV117" s="13">
        <f t="shared" si="14"/>
        <v>4182864</v>
      </c>
      <c r="BW117" s="13">
        <f t="shared" si="14"/>
        <v>4182864</v>
      </c>
      <c r="BX117" s="13">
        <f t="shared" si="14"/>
        <v>4182864</v>
      </c>
      <c r="BY117" s="13">
        <f t="shared" si="14"/>
        <v>4182864</v>
      </c>
      <c r="BZ117" s="13">
        <f t="shared" si="14"/>
        <v>4182864</v>
      </c>
      <c r="CA117" s="13">
        <f t="shared" si="14"/>
        <v>4182864</v>
      </c>
      <c r="CB117" s="13">
        <f t="shared" si="14"/>
        <v>4182864</v>
      </c>
    </row>
    <row r="118" spans="2:80" x14ac:dyDescent="0.3">
      <c r="B118" s="5" t="s">
        <v>113</v>
      </c>
    </row>
    <row r="119" spans="2:80" x14ac:dyDescent="0.3">
      <c r="C119" s="49" t="s">
        <v>90</v>
      </c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49" t="s">
        <v>91</v>
      </c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49" t="s">
        <v>92</v>
      </c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49" t="s">
        <v>93</v>
      </c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49" t="s">
        <v>94</v>
      </c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49" t="s">
        <v>95</v>
      </c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</row>
    <row r="120" spans="2:80" x14ac:dyDescent="0.3">
      <c r="B120" s="19" t="s">
        <v>96</v>
      </c>
      <c r="C120" s="30" t="s">
        <v>67</v>
      </c>
      <c r="D120" s="30" t="s">
        <v>68</v>
      </c>
      <c r="E120" s="30" t="s">
        <v>69</v>
      </c>
      <c r="F120" s="30" t="s">
        <v>70</v>
      </c>
      <c r="G120" s="30" t="s">
        <v>71</v>
      </c>
      <c r="H120" s="30" t="s">
        <v>72</v>
      </c>
      <c r="I120" s="30" t="s">
        <v>73</v>
      </c>
      <c r="J120" s="30" t="s">
        <v>74</v>
      </c>
      <c r="K120" s="30" t="s">
        <v>75</v>
      </c>
      <c r="L120" s="30" t="s">
        <v>76</v>
      </c>
      <c r="M120" s="30" t="s">
        <v>77</v>
      </c>
      <c r="N120" s="30" t="s">
        <v>78</v>
      </c>
      <c r="O120" s="30" t="s">
        <v>97</v>
      </c>
      <c r="P120" s="30" t="s">
        <v>67</v>
      </c>
      <c r="Q120" s="30" t="s">
        <v>68</v>
      </c>
      <c r="R120" s="30" t="s">
        <v>69</v>
      </c>
      <c r="S120" s="30" t="s">
        <v>70</v>
      </c>
      <c r="T120" s="30" t="s">
        <v>71</v>
      </c>
      <c r="U120" s="30" t="s">
        <v>72</v>
      </c>
      <c r="V120" s="30" t="s">
        <v>73</v>
      </c>
      <c r="W120" s="30" t="s">
        <v>74</v>
      </c>
      <c r="X120" s="30" t="s">
        <v>75</v>
      </c>
      <c r="Y120" s="30" t="s">
        <v>76</v>
      </c>
      <c r="Z120" s="30" t="s">
        <v>77</v>
      </c>
      <c r="AA120" s="30" t="s">
        <v>78</v>
      </c>
      <c r="AB120" s="30" t="s">
        <v>98</v>
      </c>
      <c r="AC120" s="30" t="s">
        <v>67</v>
      </c>
      <c r="AD120" s="30" t="s">
        <v>68</v>
      </c>
      <c r="AE120" s="30" t="s">
        <v>69</v>
      </c>
      <c r="AF120" s="30" t="s">
        <v>70</v>
      </c>
      <c r="AG120" s="30" t="s">
        <v>71</v>
      </c>
      <c r="AH120" s="30" t="s">
        <v>72</v>
      </c>
      <c r="AI120" s="30" t="s">
        <v>73</v>
      </c>
      <c r="AJ120" s="30" t="s">
        <v>74</v>
      </c>
      <c r="AK120" s="30" t="s">
        <v>75</v>
      </c>
      <c r="AL120" s="30" t="s">
        <v>76</v>
      </c>
      <c r="AM120" s="30" t="s">
        <v>77</v>
      </c>
      <c r="AN120" s="30" t="s">
        <v>78</v>
      </c>
      <c r="AO120" s="30" t="s">
        <v>99</v>
      </c>
      <c r="AP120" s="30" t="s">
        <v>67</v>
      </c>
      <c r="AQ120" s="30" t="s">
        <v>68</v>
      </c>
      <c r="AR120" s="30" t="s">
        <v>69</v>
      </c>
      <c r="AS120" s="30" t="s">
        <v>70</v>
      </c>
      <c r="AT120" s="30" t="s">
        <v>71</v>
      </c>
      <c r="AU120" s="30" t="s">
        <v>72</v>
      </c>
      <c r="AV120" s="30" t="s">
        <v>73</v>
      </c>
      <c r="AW120" s="30" t="s">
        <v>74</v>
      </c>
      <c r="AX120" s="30" t="s">
        <v>75</v>
      </c>
      <c r="AY120" s="30" t="s">
        <v>76</v>
      </c>
      <c r="AZ120" s="30" t="s">
        <v>77</v>
      </c>
      <c r="BA120" s="30" t="s">
        <v>78</v>
      </c>
      <c r="BB120" s="30" t="s">
        <v>100</v>
      </c>
      <c r="BC120" s="30" t="s">
        <v>67</v>
      </c>
      <c r="BD120" s="30" t="s">
        <v>68</v>
      </c>
      <c r="BE120" s="30" t="s">
        <v>69</v>
      </c>
      <c r="BF120" s="30" t="s">
        <v>70</v>
      </c>
      <c r="BG120" s="30" t="s">
        <v>71</v>
      </c>
      <c r="BH120" s="30" t="s">
        <v>72</v>
      </c>
      <c r="BI120" s="30" t="s">
        <v>73</v>
      </c>
      <c r="BJ120" s="30" t="s">
        <v>74</v>
      </c>
      <c r="BK120" s="30" t="s">
        <v>75</v>
      </c>
      <c r="BL120" s="30" t="s">
        <v>76</v>
      </c>
      <c r="BM120" s="30" t="s">
        <v>77</v>
      </c>
      <c r="BN120" s="30" t="s">
        <v>78</v>
      </c>
      <c r="BO120" s="30" t="s">
        <v>101</v>
      </c>
      <c r="BP120" s="30" t="s">
        <v>67</v>
      </c>
      <c r="BQ120" s="30" t="s">
        <v>68</v>
      </c>
      <c r="BR120" s="30" t="s">
        <v>69</v>
      </c>
      <c r="BS120" s="30" t="s">
        <v>70</v>
      </c>
      <c r="BT120" s="30" t="s">
        <v>71</v>
      </c>
      <c r="BU120" s="30" t="s">
        <v>72</v>
      </c>
      <c r="BV120" s="30" t="s">
        <v>73</v>
      </c>
      <c r="BW120" s="30" t="s">
        <v>74</v>
      </c>
      <c r="BX120" s="30" t="s">
        <v>75</v>
      </c>
      <c r="BY120" s="30" t="s">
        <v>76</v>
      </c>
      <c r="BZ120" s="30" t="s">
        <v>77</v>
      </c>
      <c r="CA120" s="30" t="s">
        <v>78</v>
      </c>
      <c r="CB120" s="30" t="s">
        <v>102</v>
      </c>
    </row>
    <row r="121" spans="2:80" x14ac:dyDescent="0.3">
      <c r="B121" s="7" t="s">
        <v>46</v>
      </c>
      <c r="C121" s="9">
        <v>26183</v>
      </c>
      <c r="D121" s="9">
        <v>376776</v>
      </c>
      <c r="E121" s="9">
        <v>378279</v>
      </c>
      <c r="F121" s="9">
        <v>446136</v>
      </c>
      <c r="G121" s="9">
        <v>453034</v>
      </c>
      <c r="H121" s="9">
        <v>1329874</v>
      </c>
      <c r="I121" s="9">
        <v>1345317</v>
      </c>
      <c r="J121" s="9">
        <v>1387391</v>
      </c>
      <c r="K121" s="9">
        <v>1462746</v>
      </c>
      <c r="L121" s="9">
        <v>1495877</v>
      </c>
      <c r="M121" s="9">
        <v>1511001</v>
      </c>
      <c r="N121" s="9">
        <v>2707796</v>
      </c>
      <c r="O121" s="31">
        <v>2707796</v>
      </c>
      <c r="P121" s="9">
        <v>68886</v>
      </c>
      <c r="Q121" s="9">
        <v>69186</v>
      </c>
      <c r="R121" s="9">
        <v>207582</v>
      </c>
      <c r="S121" s="9">
        <v>359767</v>
      </c>
      <c r="T121" s="9">
        <v>366917</v>
      </c>
      <c r="U121" s="9">
        <v>388085</v>
      </c>
      <c r="V121" s="9">
        <v>395549</v>
      </c>
      <c r="W121" s="9">
        <v>1813710</v>
      </c>
      <c r="X121" s="9">
        <v>1901113</v>
      </c>
      <c r="Y121" s="9">
        <v>1998202</v>
      </c>
      <c r="Z121" s="9">
        <v>2514049</v>
      </c>
      <c r="AA121" s="9">
        <v>3505429</v>
      </c>
      <c r="AB121" s="31">
        <v>3505429</v>
      </c>
      <c r="AC121" s="9">
        <v>1250846</v>
      </c>
      <c r="AD121" s="9">
        <v>1392713</v>
      </c>
      <c r="AE121" s="9">
        <v>1433256</v>
      </c>
      <c r="AF121" s="9">
        <v>1483029</v>
      </c>
      <c r="AG121" s="9">
        <v>1517815</v>
      </c>
      <c r="AH121" s="9">
        <v>1680447</v>
      </c>
      <c r="AI121" s="9">
        <v>1709872</v>
      </c>
      <c r="AJ121" s="9">
        <v>1904712</v>
      </c>
      <c r="AK121" s="9">
        <v>1943485</v>
      </c>
      <c r="AL121" s="9">
        <v>2116599</v>
      </c>
      <c r="AM121" s="9">
        <v>2749373</v>
      </c>
      <c r="AN121" s="9">
        <v>3241192</v>
      </c>
      <c r="AO121" s="31">
        <v>3241192</v>
      </c>
      <c r="AP121" s="9">
        <v>1473303</v>
      </c>
      <c r="AQ121" s="9">
        <v>1473303</v>
      </c>
      <c r="AR121" s="9">
        <v>1611277</v>
      </c>
      <c r="AS121" s="9">
        <v>1631762</v>
      </c>
      <c r="AT121" s="9">
        <v>1747004</v>
      </c>
      <c r="AU121" s="9">
        <v>1751284</v>
      </c>
      <c r="AV121" s="9">
        <v>1863427</v>
      </c>
      <c r="AW121" s="9">
        <v>2013570</v>
      </c>
      <c r="AX121" s="9">
        <v>2045198</v>
      </c>
      <c r="AY121" s="9">
        <v>2070666</v>
      </c>
      <c r="AZ121" s="9">
        <v>2651552</v>
      </c>
      <c r="BA121" s="9">
        <v>3071041</v>
      </c>
      <c r="BB121" s="31">
        <v>3071041</v>
      </c>
      <c r="BC121" s="9">
        <v>0</v>
      </c>
      <c r="BD121" s="9">
        <v>757870</v>
      </c>
      <c r="BE121" s="9">
        <v>826766</v>
      </c>
      <c r="BF121" s="9">
        <v>839136</v>
      </c>
      <c r="BG121" s="9">
        <v>878206</v>
      </c>
      <c r="BH121" s="9">
        <v>887434</v>
      </c>
      <c r="BI121" s="9">
        <v>948168</v>
      </c>
      <c r="BJ121" s="9">
        <v>2168256</v>
      </c>
      <c r="BK121" s="9">
        <v>2230134</v>
      </c>
      <c r="BL121" s="9">
        <v>2896737</v>
      </c>
      <c r="BM121" s="9">
        <v>3126309</v>
      </c>
      <c r="BN121" s="9">
        <v>4077223</v>
      </c>
      <c r="BO121" s="31">
        <v>4077223</v>
      </c>
      <c r="BP121" s="9">
        <v>1719166</v>
      </c>
      <c r="BQ121" s="9">
        <v>1719166</v>
      </c>
      <c r="BR121" s="9">
        <v>1866021</v>
      </c>
      <c r="BS121" s="9">
        <v>1873924</v>
      </c>
      <c r="BT121" s="9">
        <v>1910136</v>
      </c>
      <c r="BU121" s="9">
        <v>1978750</v>
      </c>
      <c r="BV121" s="9">
        <v>1989460</v>
      </c>
      <c r="BW121" s="9">
        <v>1989460</v>
      </c>
      <c r="BX121" s="9">
        <v>1989460</v>
      </c>
      <c r="BY121" s="9">
        <v>1989460</v>
      </c>
      <c r="BZ121" s="9">
        <v>1989460</v>
      </c>
      <c r="CA121" s="9">
        <v>1989460</v>
      </c>
      <c r="CB121" s="31">
        <v>1989460</v>
      </c>
    </row>
    <row r="122" spans="2:80" x14ac:dyDescent="0.3">
      <c r="B122" s="7" t="s">
        <v>47</v>
      </c>
      <c r="C122" s="9">
        <v>0</v>
      </c>
      <c r="D122" s="9">
        <v>1597</v>
      </c>
      <c r="E122" s="9">
        <v>4453</v>
      </c>
      <c r="F122" s="9">
        <v>17905</v>
      </c>
      <c r="G122" s="9">
        <v>21835</v>
      </c>
      <c r="H122" s="9">
        <v>29163</v>
      </c>
      <c r="I122" s="9">
        <v>31462</v>
      </c>
      <c r="J122" s="9">
        <v>38083</v>
      </c>
      <c r="K122" s="9">
        <v>43795</v>
      </c>
      <c r="L122" s="9">
        <v>47640</v>
      </c>
      <c r="M122" s="9">
        <v>53369</v>
      </c>
      <c r="N122" s="9">
        <v>74077</v>
      </c>
      <c r="O122" s="31">
        <v>74077</v>
      </c>
      <c r="P122" s="9">
        <v>0</v>
      </c>
      <c r="Q122" s="9">
        <v>0</v>
      </c>
      <c r="R122" s="9">
        <v>0</v>
      </c>
      <c r="S122" s="9">
        <v>59</v>
      </c>
      <c r="T122" s="9">
        <v>1565</v>
      </c>
      <c r="U122" s="9">
        <v>2140</v>
      </c>
      <c r="V122" s="9">
        <v>4991</v>
      </c>
      <c r="W122" s="9">
        <v>5415</v>
      </c>
      <c r="X122" s="9">
        <v>7518</v>
      </c>
      <c r="Y122" s="9">
        <v>16518</v>
      </c>
      <c r="Z122" s="9">
        <v>26888</v>
      </c>
      <c r="AA122" s="9">
        <v>33214</v>
      </c>
      <c r="AB122" s="31">
        <v>33214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31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56899</v>
      </c>
      <c r="AZ122" s="9">
        <v>103913</v>
      </c>
      <c r="BA122" s="9">
        <v>240208</v>
      </c>
      <c r="BB122" s="31">
        <v>240208</v>
      </c>
      <c r="BC122" s="9">
        <v>0</v>
      </c>
      <c r="BD122" s="9">
        <v>0</v>
      </c>
      <c r="BE122" s="9">
        <v>144</v>
      </c>
      <c r="BF122" s="9">
        <v>144</v>
      </c>
      <c r="BG122" s="9">
        <v>144</v>
      </c>
      <c r="BH122" s="9">
        <v>144</v>
      </c>
      <c r="BI122" s="9">
        <v>144</v>
      </c>
      <c r="BJ122" s="9">
        <v>144</v>
      </c>
      <c r="BK122" s="9">
        <v>144</v>
      </c>
      <c r="BL122" s="9">
        <v>6463</v>
      </c>
      <c r="BM122" s="9">
        <v>6723</v>
      </c>
      <c r="BN122" s="9">
        <v>6723</v>
      </c>
      <c r="BO122" s="31">
        <v>6723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31">
        <v>0</v>
      </c>
    </row>
    <row r="123" spans="2:80" x14ac:dyDescent="0.3">
      <c r="B123" s="7" t="s">
        <v>48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1263</v>
      </c>
      <c r="J123" s="9">
        <v>1263</v>
      </c>
      <c r="K123" s="9">
        <v>1263</v>
      </c>
      <c r="L123" s="9">
        <v>1263</v>
      </c>
      <c r="M123" s="9">
        <v>3499</v>
      </c>
      <c r="N123" s="9">
        <v>6240429</v>
      </c>
      <c r="O123" s="31">
        <v>6240429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9315642</v>
      </c>
      <c r="AB123" s="31">
        <v>9315642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31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5390</v>
      </c>
      <c r="AZ123" s="9">
        <v>5390</v>
      </c>
      <c r="BA123" s="9">
        <v>7431</v>
      </c>
      <c r="BB123" s="31">
        <v>7431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2970</v>
      </c>
      <c r="BJ123" s="9">
        <v>2970</v>
      </c>
      <c r="BK123" s="9">
        <v>2970</v>
      </c>
      <c r="BL123" s="9">
        <v>2970</v>
      </c>
      <c r="BM123" s="9">
        <v>2970</v>
      </c>
      <c r="BN123" s="9">
        <v>2970</v>
      </c>
      <c r="BO123" s="31">
        <v>2970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9">
        <v>0</v>
      </c>
      <c r="CB123" s="31">
        <v>0</v>
      </c>
    </row>
    <row r="124" spans="2:80" x14ac:dyDescent="0.3">
      <c r="B124" s="7" t="s">
        <v>49</v>
      </c>
      <c r="C124" s="9">
        <v>2885</v>
      </c>
      <c r="D124" s="9">
        <v>2885</v>
      </c>
      <c r="E124" s="9">
        <v>2885</v>
      </c>
      <c r="F124" s="9">
        <v>4426</v>
      </c>
      <c r="G124" s="9">
        <v>4426</v>
      </c>
      <c r="H124" s="9">
        <v>4755</v>
      </c>
      <c r="I124" s="9">
        <v>10184</v>
      </c>
      <c r="J124" s="9">
        <v>10184</v>
      </c>
      <c r="K124" s="9">
        <v>11576</v>
      </c>
      <c r="L124" s="9">
        <v>11576</v>
      </c>
      <c r="M124" s="9">
        <v>37314</v>
      </c>
      <c r="N124" s="9">
        <v>76373</v>
      </c>
      <c r="O124" s="31">
        <v>76373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1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3978246</v>
      </c>
      <c r="AO124" s="31">
        <v>3978246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655</v>
      </c>
      <c r="AW124" s="9">
        <v>1663</v>
      </c>
      <c r="AX124" s="9">
        <v>1663</v>
      </c>
      <c r="AY124" s="9">
        <v>1663</v>
      </c>
      <c r="AZ124" s="9">
        <v>1663</v>
      </c>
      <c r="BA124" s="9">
        <v>3340</v>
      </c>
      <c r="BB124" s="31">
        <v>3340</v>
      </c>
      <c r="BC124" s="9">
        <v>0</v>
      </c>
      <c r="BD124" s="9">
        <v>0</v>
      </c>
      <c r="BE124" s="9">
        <v>365</v>
      </c>
      <c r="BF124" s="9">
        <v>365</v>
      </c>
      <c r="BG124" s="9">
        <v>365</v>
      </c>
      <c r="BH124" s="9">
        <v>5357</v>
      </c>
      <c r="BI124" s="9">
        <v>5837</v>
      </c>
      <c r="BJ124" s="9">
        <v>5837</v>
      </c>
      <c r="BK124" s="9">
        <v>5837</v>
      </c>
      <c r="BL124" s="9">
        <v>5837</v>
      </c>
      <c r="BM124" s="9">
        <v>5837</v>
      </c>
      <c r="BN124" s="9">
        <v>5837</v>
      </c>
      <c r="BO124" s="31">
        <v>5837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31">
        <v>0</v>
      </c>
    </row>
    <row r="125" spans="2:80" x14ac:dyDescent="0.3">
      <c r="B125" s="7" t="s">
        <v>50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967</v>
      </c>
      <c r="O125" s="31">
        <v>967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5708036</v>
      </c>
      <c r="AB125" s="31">
        <v>5708036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31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4665</v>
      </c>
      <c r="BB125" s="31">
        <v>4665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601</v>
      </c>
      <c r="BI125" s="9">
        <v>601</v>
      </c>
      <c r="BJ125" s="9">
        <v>601</v>
      </c>
      <c r="BK125" s="9">
        <v>601</v>
      </c>
      <c r="BL125" s="9">
        <v>601</v>
      </c>
      <c r="BM125" s="9">
        <v>707</v>
      </c>
      <c r="BN125" s="9">
        <v>707</v>
      </c>
      <c r="BO125" s="31">
        <v>707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31">
        <v>0</v>
      </c>
    </row>
    <row r="126" spans="2:80" x14ac:dyDescent="0.3">
      <c r="B126" s="7" t="s">
        <v>51</v>
      </c>
      <c r="C126" s="9">
        <v>0</v>
      </c>
      <c r="D126" s="9">
        <v>0</v>
      </c>
      <c r="E126" s="9">
        <v>1109</v>
      </c>
      <c r="F126" s="9">
        <v>1109</v>
      </c>
      <c r="G126" s="9">
        <v>1109</v>
      </c>
      <c r="H126" s="9">
        <v>3164</v>
      </c>
      <c r="I126" s="9">
        <v>3709</v>
      </c>
      <c r="J126" s="9">
        <v>4709</v>
      </c>
      <c r="K126" s="9">
        <v>4709</v>
      </c>
      <c r="L126" s="9">
        <v>4709</v>
      </c>
      <c r="M126" s="9">
        <v>5491</v>
      </c>
      <c r="N126" s="9">
        <v>7698</v>
      </c>
      <c r="O126" s="31">
        <v>7698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8320478</v>
      </c>
      <c r="AB126" s="31">
        <v>8320478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328520</v>
      </c>
      <c r="AO126" s="31">
        <v>328520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5262</v>
      </c>
      <c r="AW126" s="9">
        <v>5262</v>
      </c>
      <c r="AX126" s="9">
        <v>5917</v>
      </c>
      <c r="AY126" s="9">
        <v>5917</v>
      </c>
      <c r="AZ126" s="9">
        <v>6099</v>
      </c>
      <c r="BA126" s="9">
        <v>6646</v>
      </c>
      <c r="BB126" s="31">
        <v>6646</v>
      </c>
      <c r="BC126" s="9">
        <v>0</v>
      </c>
      <c r="BD126" s="9">
        <v>0</v>
      </c>
      <c r="BE126" s="9">
        <v>0</v>
      </c>
      <c r="BF126" s="9">
        <v>5114</v>
      </c>
      <c r="BG126" s="9">
        <v>5114</v>
      </c>
      <c r="BH126" s="9">
        <v>5114</v>
      </c>
      <c r="BI126" s="9">
        <v>5114</v>
      </c>
      <c r="BJ126" s="9">
        <v>6540</v>
      </c>
      <c r="BK126" s="9">
        <v>6540</v>
      </c>
      <c r="BL126" s="9">
        <v>6540</v>
      </c>
      <c r="BM126" s="9">
        <v>6540</v>
      </c>
      <c r="BN126" s="9">
        <v>6540</v>
      </c>
      <c r="BO126" s="31">
        <v>6540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31">
        <v>0</v>
      </c>
    </row>
    <row r="127" spans="2:80" x14ac:dyDescent="0.3">
      <c r="B127" s="7" t="s">
        <v>52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736</v>
      </c>
      <c r="I127" s="9">
        <v>736</v>
      </c>
      <c r="J127" s="9">
        <v>1630685</v>
      </c>
      <c r="K127" s="9">
        <v>1635209</v>
      </c>
      <c r="L127" s="9">
        <v>1635209</v>
      </c>
      <c r="M127" s="9">
        <v>1635209</v>
      </c>
      <c r="N127" s="9">
        <v>1662728</v>
      </c>
      <c r="O127" s="31">
        <v>1662728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25569663</v>
      </c>
      <c r="AB127" s="31">
        <v>25569663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31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6055707</v>
      </c>
      <c r="AW127" s="9">
        <v>6055707</v>
      </c>
      <c r="AX127" s="9">
        <v>6062238</v>
      </c>
      <c r="AY127" s="9">
        <v>6062238</v>
      </c>
      <c r="AZ127" s="9">
        <v>6065142</v>
      </c>
      <c r="BA127" s="9">
        <v>6065343</v>
      </c>
      <c r="BB127" s="31">
        <v>6065343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4873</v>
      </c>
      <c r="BK127" s="9">
        <v>4873</v>
      </c>
      <c r="BL127" s="9">
        <v>4873</v>
      </c>
      <c r="BM127" s="9">
        <v>5880</v>
      </c>
      <c r="BN127" s="9">
        <v>6023</v>
      </c>
      <c r="BO127" s="31">
        <v>6023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31">
        <v>0</v>
      </c>
    </row>
    <row r="128" spans="2:80" x14ac:dyDescent="0.3">
      <c r="B128" s="7" t="s">
        <v>53</v>
      </c>
      <c r="C128" s="9">
        <v>0</v>
      </c>
      <c r="D128" s="9">
        <v>0</v>
      </c>
      <c r="E128" s="9">
        <v>356</v>
      </c>
      <c r="F128" s="9">
        <v>356</v>
      </c>
      <c r="G128" s="9">
        <v>356</v>
      </c>
      <c r="H128" s="9">
        <v>1252</v>
      </c>
      <c r="I128" s="9">
        <v>2012</v>
      </c>
      <c r="J128" s="9">
        <v>2012</v>
      </c>
      <c r="K128" s="9">
        <v>10731</v>
      </c>
      <c r="L128" s="9">
        <v>10805</v>
      </c>
      <c r="M128" s="9">
        <v>11093</v>
      </c>
      <c r="N128" s="9">
        <v>1985450</v>
      </c>
      <c r="O128" s="31">
        <v>1985450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16845167</v>
      </c>
      <c r="AB128" s="31">
        <v>16845167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3984477</v>
      </c>
      <c r="AO128" s="31">
        <v>3984477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15805</v>
      </c>
      <c r="AX128" s="9">
        <v>16757</v>
      </c>
      <c r="AY128" s="9">
        <v>18403</v>
      </c>
      <c r="AZ128" s="9">
        <v>20037</v>
      </c>
      <c r="BA128" s="9">
        <v>21833</v>
      </c>
      <c r="BB128" s="31">
        <v>21833</v>
      </c>
      <c r="BC128" s="9">
        <v>0</v>
      </c>
      <c r="BD128" s="9">
        <v>0</v>
      </c>
      <c r="BE128" s="9">
        <v>2894</v>
      </c>
      <c r="BF128" s="9">
        <v>2894</v>
      </c>
      <c r="BG128" s="9">
        <v>2894</v>
      </c>
      <c r="BH128" s="9">
        <v>6167</v>
      </c>
      <c r="BI128" s="9">
        <v>6167</v>
      </c>
      <c r="BJ128" s="9">
        <v>6167</v>
      </c>
      <c r="BK128" s="9">
        <v>7132</v>
      </c>
      <c r="BL128" s="9">
        <v>7132</v>
      </c>
      <c r="BM128" s="9">
        <v>7132</v>
      </c>
      <c r="BN128" s="9">
        <v>10998036</v>
      </c>
      <c r="BO128" s="31">
        <v>10998036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31">
        <v>0</v>
      </c>
    </row>
    <row r="129" spans="2:80" x14ac:dyDescent="0.3">
      <c r="B129" s="7" t="s">
        <v>54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818965</v>
      </c>
      <c r="I129" s="9">
        <v>7013781</v>
      </c>
      <c r="J129" s="9">
        <v>7014593</v>
      </c>
      <c r="K129" s="9">
        <v>9738500</v>
      </c>
      <c r="L129" s="9">
        <v>9773466</v>
      </c>
      <c r="M129" s="9">
        <v>7054819</v>
      </c>
      <c r="N129" s="9">
        <v>11508333</v>
      </c>
      <c r="O129" s="31">
        <v>11508333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4807904</v>
      </c>
      <c r="W129" s="9">
        <v>4807904</v>
      </c>
      <c r="X129" s="9">
        <v>6951849</v>
      </c>
      <c r="Y129" s="9">
        <v>6951849</v>
      </c>
      <c r="Z129" s="9">
        <v>6951849</v>
      </c>
      <c r="AA129" s="9">
        <v>77654384</v>
      </c>
      <c r="AB129" s="31">
        <v>77654384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9403060</v>
      </c>
      <c r="AO129" s="31">
        <v>9403060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624</v>
      </c>
      <c r="AW129" s="9">
        <v>2528</v>
      </c>
      <c r="AX129" s="9">
        <v>2528</v>
      </c>
      <c r="AY129" s="9">
        <v>12983</v>
      </c>
      <c r="AZ129" s="9">
        <v>33299</v>
      </c>
      <c r="BA129" s="9">
        <v>44534</v>
      </c>
      <c r="BB129" s="31">
        <v>44534</v>
      </c>
      <c r="BC129" s="9">
        <v>0</v>
      </c>
      <c r="BD129" s="9">
        <v>0</v>
      </c>
      <c r="BE129" s="9">
        <v>0</v>
      </c>
      <c r="BF129" s="9">
        <v>0</v>
      </c>
      <c r="BG129" s="9">
        <v>10567</v>
      </c>
      <c r="BH129" s="9">
        <v>13756</v>
      </c>
      <c r="BI129" s="9">
        <v>16250</v>
      </c>
      <c r="BJ129" s="9">
        <v>16250</v>
      </c>
      <c r="BK129" s="9">
        <v>16250</v>
      </c>
      <c r="BL129" s="9">
        <v>16893</v>
      </c>
      <c r="BM129" s="9">
        <v>17819</v>
      </c>
      <c r="BN129" s="9">
        <v>17819</v>
      </c>
      <c r="BO129" s="31">
        <v>17819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31">
        <v>0</v>
      </c>
    </row>
    <row r="130" spans="2:80" x14ac:dyDescent="0.3">
      <c r="B130" s="7" t="s">
        <v>55</v>
      </c>
      <c r="C130" s="9">
        <v>0</v>
      </c>
      <c r="D130" s="9">
        <v>0</v>
      </c>
      <c r="E130" s="9">
        <v>177</v>
      </c>
      <c r="F130" s="9">
        <v>177</v>
      </c>
      <c r="G130" s="9">
        <v>177</v>
      </c>
      <c r="H130" s="9">
        <v>2577</v>
      </c>
      <c r="I130" s="9">
        <v>2577</v>
      </c>
      <c r="J130" s="9">
        <v>2577</v>
      </c>
      <c r="K130" s="9">
        <v>2577</v>
      </c>
      <c r="L130" s="9">
        <v>2577</v>
      </c>
      <c r="M130" s="9">
        <v>5108062</v>
      </c>
      <c r="N130" s="9">
        <v>5116478</v>
      </c>
      <c r="O130" s="31">
        <v>5116478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1089715</v>
      </c>
      <c r="W130" s="9">
        <v>1089715</v>
      </c>
      <c r="X130" s="9">
        <v>1089715</v>
      </c>
      <c r="Y130" s="9">
        <v>1089715</v>
      </c>
      <c r="Z130" s="9">
        <v>1089715</v>
      </c>
      <c r="AA130" s="9">
        <v>7794548</v>
      </c>
      <c r="AB130" s="31">
        <v>7794548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31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850</v>
      </c>
      <c r="AV130" s="9">
        <v>1385</v>
      </c>
      <c r="AW130" s="9">
        <v>9219</v>
      </c>
      <c r="AX130" s="9">
        <v>9839</v>
      </c>
      <c r="AY130" s="9">
        <v>9839</v>
      </c>
      <c r="AZ130" s="9">
        <v>12205</v>
      </c>
      <c r="BA130" s="9">
        <v>300441</v>
      </c>
      <c r="BB130" s="31">
        <v>300441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3136</v>
      </c>
      <c r="BI130" s="9">
        <v>6447</v>
      </c>
      <c r="BJ130" s="9">
        <v>7416</v>
      </c>
      <c r="BK130" s="9">
        <v>7416</v>
      </c>
      <c r="BL130" s="9">
        <v>7416</v>
      </c>
      <c r="BM130" s="9">
        <v>7416</v>
      </c>
      <c r="BN130" s="9">
        <v>7416</v>
      </c>
      <c r="BO130" s="31">
        <v>7416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31">
        <v>0</v>
      </c>
    </row>
    <row r="131" spans="2:80" x14ac:dyDescent="0.3">
      <c r="B131" s="7" t="s">
        <v>56</v>
      </c>
      <c r="C131" s="9">
        <v>0</v>
      </c>
      <c r="D131" s="9">
        <v>0</v>
      </c>
      <c r="E131" s="9">
        <v>0</v>
      </c>
      <c r="F131" s="9">
        <v>0</v>
      </c>
      <c r="G131" s="9">
        <v>133883</v>
      </c>
      <c r="H131" s="9">
        <v>133883</v>
      </c>
      <c r="I131" s="9">
        <v>134715</v>
      </c>
      <c r="J131" s="9">
        <v>139143</v>
      </c>
      <c r="K131" s="9">
        <v>141927</v>
      </c>
      <c r="L131" s="9">
        <v>159413</v>
      </c>
      <c r="M131" s="9">
        <v>239550</v>
      </c>
      <c r="N131" s="9">
        <v>239812</v>
      </c>
      <c r="O131" s="31">
        <v>239812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8349454</v>
      </c>
      <c r="AB131" s="31">
        <v>8349454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31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1346</v>
      </c>
      <c r="AV131" s="9">
        <v>3274</v>
      </c>
      <c r="AW131" s="9">
        <v>3274</v>
      </c>
      <c r="AX131" s="9">
        <v>3274</v>
      </c>
      <c r="AY131" s="9">
        <v>5074</v>
      </c>
      <c r="AZ131" s="9">
        <v>6833</v>
      </c>
      <c r="BA131" s="9">
        <v>6833</v>
      </c>
      <c r="BB131" s="31">
        <v>6833</v>
      </c>
      <c r="BC131" s="9">
        <v>0</v>
      </c>
      <c r="BD131" s="9">
        <v>0</v>
      </c>
      <c r="BE131" s="9">
        <v>214</v>
      </c>
      <c r="BF131" s="9">
        <v>214</v>
      </c>
      <c r="BG131" s="9">
        <v>214</v>
      </c>
      <c r="BH131" s="9">
        <v>2902</v>
      </c>
      <c r="BI131" s="9">
        <v>2902</v>
      </c>
      <c r="BJ131" s="9">
        <v>2902</v>
      </c>
      <c r="BK131" s="9">
        <v>2902</v>
      </c>
      <c r="BL131" s="9">
        <v>2902</v>
      </c>
      <c r="BM131" s="9">
        <v>2902</v>
      </c>
      <c r="BN131" s="9">
        <v>2902</v>
      </c>
      <c r="BO131" s="31">
        <v>2902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31">
        <v>0</v>
      </c>
    </row>
    <row r="132" spans="2:80" x14ac:dyDescent="0.3">
      <c r="B132" s="7" t="s">
        <v>57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560</v>
      </c>
      <c r="K132" s="9">
        <v>1711</v>
      </c>
      <c r="L132" s="9">
        <v>1711</v>
      </c>
      <c r="M132" s="9">
        <v>1903</v>
      </c>
      <c r="N132" s="9">
        <v>2042332</v>
      </c>
      <c r="O132" s="31">
        <v>2042332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1567369</v>
      </c>
      <c r="AB132" s="31">
        <v>1567369</v>
      </c>
      <c r="AC132" s="9">
        <v>0</v>
      </c>
      <c r="AD132" s="9">
        <v>0</v>
      </c>
      <c r="AE132" s="9">
        <v>0</v>
      </c>
      <c r="AF132" s="9">
        <v>0</v>
      </c>
      <c r="AG132" s="9">
        <v>3981686</v>
      </c>
      <c r="AH132" s="9">
        <v>3981686</v>
      </c>
      <c r="AI132" s="9">
        <v>3981686</v>
      </c>
      <c r="AJ132" s="9">
        <v>3981686</v>
      </c>
      <c r="AK132" s="9">
        <v>3985290</v>
      </c>
      <c r="AL132" s="9">
        <v>3985290</v>
      </c>
      <c r="AM132" s="9">
        <v>3985290</v>
      </c>
      <c r="AN132" s="9">
        <v>4032137</v>
      </c>
      <c r="AO132" s="31">
        <v>4032137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3998</v>
      </c>
      <c r="AZ132" s="9">
        <v>6042</v>
      </c>
      <c r="BA132" s="9">
        <v>6042</v>
      </c>
      <c r="BB132" s="31">
        <v>6042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8294</v>
      </c>
      <c r="BI132" s="9">
        <v>8294</v>
      </c>
      <c r="BJ132" s="9">
        <v>8815</v>
      </c>
      <c r="BK132" s="9">
        <v>8815</v>
      </c>
      <c r="BL132" s="9">
        <v>8815</v>
      </c>
      <c r="BM132" s="9">
        <v>8815</v>
      </c>
      <c r="BN132" s="9">
        <v>8815</v>
      </c>
      <c r="BO132" s="31">
        <v>8815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31">
        <v>0</v>
      </c>
    </row>
    <row r="133" spans="2:80" x14ac:dyDescent="0.3">
      <c r="B133" s="7" t="s">
        <v>58</v>
      </c>
      <c r="C133" s="9">
        <v>0</v>
      </c>
      <c r="D133" s="9">
        <v>870</v>
      </c>
      <c r="E133" s="9">
        <v>1458</v>
      </c>
      <c r="F133" s="9">
        <v>3386</v>
      </c>
      <c r="G133" s="9">
        <v>3487</v>
      </c>
      <c r="H133" s="9">
        <v>6325</v>
      </c>
      <c r="I133" s="9">
        <v>7128</v>
      </c>
      <c r="J133" s="9">
        <v>7309</v>
      </c>
      <c r="K133" s="9">
        <v>9657</v>
      </c>
      <c r="L133" s="9">
        <v>716143</v>
      </c>
      <c r="M133" s="9">
        <v>735465</v>
      </c>
      <c r="N133" s="9">
        <v>810675</v>
      </c>
      <c r="O133" s="31">
        <v>810675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3664311</v>
      </c>
      <c r="AB133" s="31">
        <v>3664311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8425439</v>
      </c>
      <c r="AO133" s="31">
        <v>8425439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999</v>
      </c>
      <c r="AV133" s="9">
        <v>2597</v>
      </c>
      <c r="AW133" s="9">
        <v>5244</v>
      </c>
      <c r="AX133" s="9">
        <v>7293</v>
      </c>
      <c r="AY133" s="9">
        <v>7293</v>
      </c>
      <c r="AZ133" s="9">
        <v>10404</v>
      </c>
      <c r="BA133" s="9">
        <v>12190</v>
      </c>
      <c r="BB133" s="31">
        <v>12190</v>
      </c>
      <c r="BC133" s="9">
        <v>0</v>
      </c>
      <c r="BD133" s="9">
        <v>0</v>
      </c>
      <c r="BE133" s="9">
        <v>140</v>
      </c>
      <c r="BF133" s="9">
        <v>1004</v>
      </c>
      <c r="BG133" s="9">
        <v>9070</v>
      </c>
      <c r="BH133" s="9">
        <v>9776</v>
      </c>
      <c r="BI133" s="9">
        <v>9776</v>
      </c>
      <c r="BJ133" s="9">
        <v>9996</v>
      </c>
      <c r="BK133" s="9">
        <v>9996</v>
      </c>
      <c r="BL133" s="9">
        <v>11792</v>
      </c>
      <c r="BM133" s="9">
        <v>11792</v>
      </c>
      <c r="BN133" s="9">
        <v>11792</v>
      </c>
      <c r="BO133" s="31">
        <v>11792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31">
        <v>0</v>
      </c>
    </row>
    <row r="134" spans="2:80" x14ac:dyDescent="0.3">
      <c r="B134" s="7" t="s">
        <v>59</v>
      </c>
      <c r="C134" s="9">
        <v>0</v>
      </c>
      <c r="D134" s="9">
        <v>0</v>
      </c>
      <c r="E134" s="9">
        <v>0</v>
      </c>
      <c r="F134" s="9">
        <v>0</v>
      </c>
      <c r="G134" s="9">
        <v>333</v>
      </c>
      <c r="H134" s="9">
        <v>901</v>
      </c>
      <c r="I134" s="9">
        <v>1406</v>
      </c>
      <c r="J134" s="9">
        <v>5244</v>
      </c>
      <c r="K134" s="9">
        <v>10081</v>
      </c>
      <c r="L134" s="9">
        <v>12296</v>
      </c>
      <c r="M134" s="9">
        <v>13676</v>
      </c>
      <c r="N134" s="9">
        <v>169559</v>
      </c>
      <c r="O134" s="31">
        <v>169559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11444544</v>
      </c>
      <c r="AB134" s="31">
        <v>11444544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31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6292</v>
      </c>
      <c r="AU134" s="9">
        <v>6292</v>
      </c>
      <c r="AV134" s="9">
        <v>6292</v>
      </c>
      <c r="AW134" s="9">
        <v>7426</v>
      </c>
      <c r="AX134" s="9">
        <v>8970</v>
      </c>
      <c r="AY134" s="9">
        <v>8970</v>
      </c>
      <c r="AZ134" s="9">
        <v>10089</v>
      </c>
      <c r="BA134" s="9">
        <v>12134</v>
      </c>
      <c r="BB134" s="31">
        <v>12134</v>
      </c>
      <c r="BC134" s="9">
        <v>0</v>
      </c>
      <c r="BD134" s="9">
        <v>0</v>
      </c>
      <c r="BE134" s="9">
        <v>0</v>
      </c>
      <c r="BF134" s="9">
        <v>5800</v>
      </c>
      <c r="BG134" s="9">
        <v>5800</v>
      </c>
      <c r="BH134" s="9">
        <v>5800</v>
      </c>
      <c r="BI134" s="9">
        <v>6800</v>
      </c>
      <c r="BJ134" s="9">
        <v>6901</v>
      </c>
      <c r="BK134" s="9">
        <v>6901</v>
      </c>
      <c r="BL134" s="9">
        <v>6901</v>
      </c>
      <c r="BM134" s="9">
        <v>6901</v>
      </c>
      <c r="BN134" s="9">
        <v>6901</v>
      </c>
      <c r="BO134" s="31">
        <v>6901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31">
        <v>0</v>
      </c>
    </row>
    <row r="135" spans="2:80" x14ac:dyDescent="0.3">
      <c r="B135" s="7" t="s">
        <v>60</v>
      </c>
      <c r="C135" s="9">
        <v>0</v>
      </c>
      <c r="D135" s="9">
        <v>5638</v>
      </c>
      <c r="E135" s="9">
        <v>5638</v>
      </c>
      <c r="F135" s="9">
        <v>5638</v>
      </c>
      <c r="G135" s="9">
        <v>5638</v>
      </c>
      <c r="H135" s="9">
        <v>11543</v>
      </c>
      <c r="I135" s="9">
        <v>1872732</v>
      </c>
      <c r="J135" s="9">
        <v>1875898</v>
      </c>
      <c r="K135" s="9">
        <v>1882761</v>
      </c>
      <c r="L135" s="9">
        <v>1883064</v>
      </c>
      <c r="M135" s="9">
        <v>1896905</v>
      </c>
      <c r="N135" s="9">
        <v>2752655</v>
      </c>
      <c r="O135" s="31">
        <v>2752655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11821</v>
      </c>
      <c r="AA135" s="9">
        <v>2917495</v>
      </c>
      <c r="AB135" s="31">
        <v>2917495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31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180</v>
      </c>
      <c r="AY135" s="9">
        <v>7111</v>
      </c>
      <c r="AZ135" s="9">
        <v>9149</v>
      </c>
      <c r="BA135" s="9">
        <v>9209</v>
      </c>
      <c r="BB135" s="31">
        <v>9209</v>
      </c>
      <c r="BC135" s="9">
        <v>0</v>
      </c>
      <c r="BD135" s="9">
        <v>0</v>
      </c>
      <c r="BE135" s="9">
        <v>5639</v>
      </c>
      <c r="BF135" s="9">
        <v>5639</v>
      </c>
      <c r="BG135" s="9">
        <v>5639</v>
      </c>
      <c r="BH135" s="9">
        <v>5639</v>
      </c>
      <c r="BI135" s="9">
        <v>5639</v>
      </c>
      <c r="BJ135" s="9">
        <v>5639</v>
      </c>
      <c r="BK135" s="9">
        <v>5890</v>
      </c>
      <c r="BL135" s="9">
        <v>5890</v>
      </c>
      <c r="BM135" s="9">
        <v>5890</v>
      </c>
      <c r="BN135" s="9">
        <v>5890</v>
      </c>
      <c r="BO135" s="31">
        <v>5890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31">
        <v>0</v>
      </c>
    </row>
    <row r="136" spans="2:80" x14ac:dyDescent="0.3">
      <c r="B136" s="7" t="s">
        <v>61</v>
      </c>
      <c r="C136" s="9">
        <v>0</v>
      </c>
      <c r="D136" s="9">
        <v>0</v>
      </c>
      <c r="E136" s="9">
        <v>0</v>
      </c>
      <c r="F136" s="9">
        <v>0</v>
      </c>
      <c r="G136" s="9">
        <v>356</v>
      </c>
      <c r="H136" s="9">
        <v>665</v>
      </c>
      <c r="I136" s="9">
        <v>665</v>
      </c>
      <c r="J136" s="9">
        <v>877</v>
      </c>
      <c r="K136" s="9">
        <v>1676</v>
      </c>
      <c r="L136" s="9">
        <v>1676</v>
      </c>
      <c r="M136" s="9">
        <v>4844</v>
      </c>
      <c r="N136" s="9">
        <v>292752</v>
      </c>
      <c r="O136" s="31">
        <v>292752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7078210</v>
      </c>
      <c r="AB136" s="31">
        <v>7078210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31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9440</v>
      </c>
      <c r="AW136" s="9">
        <v>9909</v>
      </c>
      <c r="AX136" s="9">
        <v>11601</v>
      </c>
      <c r="AY136" s="9">
        <v>11601</v>
      </c>
      <c r="AZ136" s="9">
        <v>1603943</v>
      </c>
      <c r="BA136" s="9">
        <v>9235856</v>
      </c>
      <c r="BB136" s="31">
        <v>9235856</v>
      </c>
      <c r="BC136" s="9">
        <v>0</v>
      </c>
      <c r="BD136" s="9">
        <v>0</v>
      </c>
      <c r="BE136" s="9">
        <v>0</v>
      </c>
      <c r="BF136" s="9">
        <v>0</v>
      </c>
      <c r="BG136" s="9">
        <v>1037</v>
      </c>
      <c r="BH136" s="9">
        <v>1347</v>
      </c>
      <c r="BI136" s="9">
        <v>1511</v>
      </c>
      <c r="BJ136" s="9">
        <v>1821</v>
      </c>
      <c r="BK136" s="9">
        <v>1821</v>
      </c>
      <c r="BL136" s="9">
        <v>1821</v>
      </c>
      <c r="BM136" s="9">
        <v>1931</v>
      </c>
      <c r="BN136" s="9">
        <v>1931</v>
      </c>
      <c r="BO136" s="31">
        <v>1931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31">
        <v>0</v>
      </c>
    </row>
    <row r="137" spans="2:80" x14ac:dyDescent="0.3">
      <c r="B137" s="7" t="s">
        <v>62</v>
      </c>
      <c r="C137" s="9">
        <v>0</v>
      </c>
      <c r="D137" s="9">
        <v>897</v>
      </c>
      <c r="E137" s="9">
        <v>1063</v>
      </c>
      <c r="F137" s="9">
        <v>1512</v>
      </c>
      <c r="G137" s="9">
        <v>5122</v>
      </c>
      <c r="H137" s="9">
        <v>6115</v>
      </c>
      <c r="I137" s="9">
        <v>6275</v>
      </c>
      <c r="J137" s="9">
        <v>6327</v>
      </c>
      <c r="K137" s="9">
        <v>7555</v>
      </c>
      <c r="L137" s="9">
        <v>7555</v>
      </c>
      <c r="M137" s="9">
        <v>7569</v>
      </c>
      <c r="N137" s="9">
        <v>7569</v>
      </c>
      <c r="O137" s="31">
        <v>7569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694190</v>
      </c>
      <c r="AB137" s="31">
        <v>694190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31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170</v>
      </c>
      <c r="AW137" s="9">
        <v>4724</v>
      </c>
      <c r="AX137" s="9">
        <v>5044</v>
      </c>
      <c r="AY137" s="9">
        <v>6224</v>
      </c>
      <c r="AZ137" s="9">
        <v>6224</v>
      </c>
      <c r="BA137" s="9">
        <v>6224</v>
      </c>
      <c r="BB137" s="31">
        <v>6224</v>
      </c>
      <c r="BC137" s="9">
        <v>0</v>
      </c>
      <c r="BD137" s="9">
        <v>0</v>
      </c>
      <c r="BE137" s="9">
        <v>3953</v>
      </c>
      <c r="BF137" s="9">
        <v>3953</v>
      </c>
      <c r="BG137" s="9">
        <v>3953</v>
      </c>
      <c r="BH137" s="9">
        <v>3953</v>
      </c>
      <c r="BI137" s="9">
        <v>3953</v>
      </c>
      <c r="BJ137" s="9">
        <v>3953</v>
      </c>
      <c r="BK137" s="9">
        <v>3953</v>
      </c>
      <c r="BL137" s="9">
        <v>3953</v>
      </c>
      <c r="BM137" s="9">
        <v>3953</v>
      </c>
      <c r="BN137" s="9">
        <v>3953</v>
      </c>
      <c r="BO137" s="31">
        <v>3953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31">
        <v>0</v>
      </c>
    </row>
    <row r="138" spans="2:80" x14ac:dyDescent="0.3">
      <c r="B138" s="7" t="s">
        <v>63</v>
      </c>
      <c r="C138" s="9">
        <v>0</v>
      </c>
      <c r="D138" s="9">
        <v>0</v>
      </c>
      <c r="E138" s="9">
        <v>833</v>
      </c>
      <c r="F138" s="9">
        <v>0</v>
      </c>
      <c r="G138" s="9">
        <v>0</v>
      </c>
      <c r="H138" s="9">
        <v>1956</v>
      </c>
      <c r="I138" s="9">
        <v>1956</v>
      </c>
      <c r="J138" s="9">
        <v>1956</v>
      </c>
      <c r="K138" s="9">
        <v>7321</v>
      </c>
      <c r="L138" s="9">
        <v>7321</v>
      </c>
      <c r="M138" s="9">
        <v>13453</v>
      </c>
      <c r="N138" s="9">
        <v>13549</v>
      </c>
      <c r="O138" s="31">
        <v>13549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1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31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6723</v>
      </c>
      <c r="AX138" s="9">
        <v>6723</v>
      </c>
      <c r="AY138" s="9">
        <v>6723</v>
      </c>
      <c r="AZ138" s="9">
        <v>8178</v>
      </c>
      <c r="BA138" s="9">
        <v>8289</v>
      </c>
      <c r="BB138" s="31">
        <v>8289</v>
      </c>
      <c r="BC138" s="9">
        <v>0</v>
      </c>
      <c r="BD138" s="9">
        <v>0</v>
      </c>
      <c r="BE138" s="9">
        <v>0</v>
      </c>
      <c r="BF138" s="9">
        <v>3960</v>
      </c>
      <c r="BG138" s="9">
        <v>3960</v>
      </c>
      <c r="BH138" s="9">
        <v>3960</v>
      </c>
      <c r="BI138" s="9">
        <v>3960</v>
      </c>
      <c r="BJ138" s="9">
        <v>3960</v>
      </c>
      <c r="BK138" s="9">
        <v>3960</v>
      </c>
      <c r="BL138" s="9">
        <v>3960</v>
      </c>
      <c r="BM138" s="9">
        <v>3960</v>
      </c>
      <c r="BN138" s="9">
        <v>21799960</v>
      </c>
      <c r="BO138" s="31">
        <v>21799960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31">
        <v>0</v>
      </c>
    </row>
    <row r="139" spans="2:80" x14ac:dyDescent="0.3">
      <c r="B139" s="11" t="s">
        <v>114</v>
      </c>
      <c r="C139" s="13">
        <f t="shared" ref="C139:AH139" si="15">SUM(C121:C138)</f>
        <v>29068</v>
      </c>
      <c r="D139" s="13">
        <f t="shared" si="15"/>
        <v>388663</v>
      </c>
      <c r="E139" s="13">
        <f t="shared" si="15"/>
        <v>396251</v>
      </c>
      <c r="F139" s="13">
        <f t="shared" si="15"/>
        <v>480645</v>
      </c>
      <c r="G139" s="13">
        <f t="shared" si="15"/>
        <v>629756</v>
      </c>
      <c r="H139" s="13">
        <f t="shared" si="15"/>
        <v>2351874</v>
      </c>
      <c r="I139" s="13">
        <f t="shared" si="15"/>
        <v>10435918</v>
      </c>
      <c r="J139" s="13">
        <f t="shared" si="15"/>
        <v>12128811</v>
      </c>
      <c r="K139" s="13">
        <f t="shared" si="15"/>
        <v>14973795</v>
      </c>
      <c r="L139" s="13">
        <f t="shared" si="15"/>
        <v>15772301</v>
      </c>
      <c r="M139" s="13">
        <f t="shared" si="15"/>
        <v>18333222</v>
      </c>
      <c r="N139" s="13">
        <f t="shared" si="15"/>
        <v>35709232</v>
      </c>
      <c r="O139" s="13">
        <f t="shared" si="15"/>
        <v>35709232</v>
      </c>
      <c r="P139" s="13">
        <f t="shared" si="15"/>
        <v>68886</v>
      </c>
      <c r="Q139" s="13">
        <f t="shared" si="15"/>
        <v>69186</v>
      </c>
      <c r="R139" s="13">
        <f t="shared" si="15"/>
        <v>207582</v>
      </c>
      <c r="S139" s="13">
        <f t="shared" si="15"/>
        <v>359826</v>
      </c>
      <c r="T139" s="13">
        <f t="shared" si="15"/>
        <v>368482</v>
      </c>
      <c r="U139" s="13">
        <f t="shared" si="15"/>
        <v>390225</v>
      </c>
      <c r="V139" s="13">
        <f t="shared" si="15"/>
        <v>6298159</v>
      </c>
      <c r="W139" s="13">
        <f t="shared" si="15"/>
        <v>7716744</v>
      </c>
      <c r="X139" s="13">
        <f t="shared" si="15"/>
        <v>9950195</v>
      </c>
      <c r="Y139" s="13">
        <f t="shared" si="15"/>
        <v>10056284</v>
      </c>
      <c r="Z139" s="13">
        <f t="shared" si="15"/>
        <v>10594322</v>
      </c>
      <c r="AA139" s="13">
        <f t="shared" si="15"/>
        <v>190462134</v>
      </c>
      <c r="AB139" s="13">
        <f t="shared" si="15"/>
        <v>190462134</v>
      </c>
      <c r="AC139" s="13">
        <f t="shared" si="15"/>
        <v>1250846</v>
      </c>
      <c r="AD139" s="13">
        <f t="shared" si="15"/>
        <v>1392713</v>
      </c>
      <c r="AE139" s="13">
        <f t="shared" si="15"/>
        <v>1433256</v>
      </c>
      <c r="AF139" s="13">
        <f t="shared" si="15"/>
        <v>1483029</v>
      </c>
      <c r="AG139" s="13">
        <f t="shared" si="15"/>
        <v>5499501</v>
      </c>
      <c r="AH139" s="13">
        <f t="shared" si="15"/>
        <v>5662133</v>
      </c>
      <c r="AI139" s="13">
        <f t="shared" ref="AI139:BN139" si="16">SUM(AI121:AI138)</f>
        <v>5691558</v>
      </c>
      <c r="AJ139" s="13">
        <f t="shared" si="16"/>
        <v>5886398</v>
      </c>
      <c r="AK139" s="13">
        <f t="shared" si="16"/>
        <v>5928775</v>
      </c>
      <c r="AL139" s="13">
        <f t="shared" si="16"/>
        <v>6101889</v>
      </c>
      <c r="AM139" s="13">
        <f t="shared" si="16"/>
        <v>6734663</v>
      </c>
      <c r="AN139" s="13">
        <f t="shared" si="16"/>
        <v>33393071</v>
      </c>
      <c r="AO139" s="13">
        <f t="shared" si="16"/>
        <v>33393071</v>
      </c>
      <c r="AP139" s="13">
        <f t="shared" si="16"/>
        <v>1473303</v>
      </c>
      <c r="AQ139" s="13">
        <f t="shared" si="16"/>
        <v>1473303</v>
      </c>
      <c r="AR139" s="13">
        <f t="shared" si="16"/>
        <v>1611277</v>
      </c>
      <c r="AS139" s="13">
        <f t="shared" si="16"/>
        <v>1631762</v>
      </c>
      <c r="AT139" s="13">
        <f t="shared" si="16"/>
        <v>1753296</v>
      </c>
      <c r="AU139" s="13">
        <f t="shared" si="16"/>
        <v>1760771</v>
      </c>
      <c r="AV139" s="13">
        <f t="shared" si="16"/>
        <v>7948833</v>
      </c>
      <c r="AW139" s="13">
        <f t="shared" si="16"/>
        <v>8141054</v>
      </c>
      <c r="AX139" s="13">
        <f t="shared" si="16"/>
        <v>8187225</v>
      </c>
      <c r="AY139" s="13">
        <f t="shared" si="16"/>
        <v>8300992</v>
      </c>
      <c r="AZ139" s="13">
        <f t="shared" si="16"/>
        <v>10560162</v>
      </c>
      <c r="BA139" s="13">
        <f t="shared" si="16"/>
        <v>19062259</v>
      </c>
      <c r="BB139" s="13">
        <f t="shared" si="16"/>
        <v>19062259</v>
      </c>
      <c r="BC139" s="13">
        <f t="shared" si="16"/>
        <v>0</v>
      </c>
      <c r="BD139" s="13">
        <f t="shared" si="16"/>
        <v>757870</v>
      </c>
      <c r="BE139" s="13">
        <f t="shared" si="16"/>
        <v>840115</v>
      </c>
      <c r="BF139" s="13">
        <f t="shared" si="16"/>
        <v>868223</v>
      </c>
      <c r="BG139" s="13">
        <f t="shared" si="16"/>
        <v>926963</v>
      </c>
      <c r="BH139" s="13">
        <f t="shared" si="16"/>
        <v>963380</v>
      </c>
      <c r="BI139" s="13">
        <f t="shared" si="16"/>
        <v>1034533</v>
      </c>
      <c r="BJ139" s="13">
        <f t="shared" si="16"/>
        <v>2263041</v>
      </c>
      <c r="BK139" s="13">
        <f t="shared" si="16"/>
        <v>2326135</v>
      </c>
      <c r="BL139" s="13">
        <f t="shared" si="16"/>
        <v>3001496</v>
      </c>
      <c r="BM139" s="13">
        <f t="shared" si="16"/>
        <v>3233477</v>
      </c>
      <c r="BN139" s="13">
        <f t="shared" si="16"/>
        <v>36971438</v>
      </c>
      <c r="BO139" s="13">
        <f t="shared" ref="BO139:CT139" si="17">SUM(BO121:BO138)</f>
        <v>36971438</v>
      </c>
      <c r="BP139" s="13">
        <f t="shared" si="17"/>
        <v>1719166</v>
      </c>
      <c r="BQ139" s="13">
        <f t="shared" si="17"/>
        <v>1719166</v>
      </c>
      <c r="BR139" s="13">
        <f t="shared" si="17"/>
        <v>1866021</v>
      </c>
      <c r="BS139" s="13">
        <f t="shared" si="17"/>
        <v>1873924</v>
      </c>
      <c r="BT139" s="13">
        <f t="shared" si="17"/>
        <v>1910136</v>
      </c>
      <c r="BU139" s="13">
        <f t="shared" si="17"/>
        <v>1978750</v>
      </c>
      <c r="BV139" s="13">
        <f t="shared" si="17"/>
        <v>1989460</v>
      </c>
      <c r="BW139" s="13">
        <f t="shared" si="17"/>
        <v>1989460</v>
      </c>
      <c r="BX139" s="13">
        <f t="shared" si="17"/>
        <v>1989460</v>
      </c>
      <c r="BY139" s="13">
        <f t="shared" si="17"/>
        <v>1989460</v>
      </c>
      <c r="BZ139" s="13">
        <f t="shared" si="17"/>
        <v>1989460</v>
      </c>
      <c r="CA139" s="13">
        <f t="shared" si="17"/>
        <v>1989460</v>
      </c>
      <c r="CB139" s="13">
        <f t="shared" si="17"/>
        <v>1989460</v>
      </c>
    </row>
    <row r="142" spans="2:80" ht="17.399999999999999" x14ac:dyDescent="0.35">
      <c r="B142" s="29" t="s">
        <v>115</v>
      </c>
    </row>
    <row r="143" spans="2:80" x14ac:dyDescent="0.3">
      <c r="B143" s="5" t="s">
        <v>116</v>
      </c>
    </row>
    <row r="144" spans="2:80" x14ac:dyDescent="0.3">
      <c r="C144" s="49" t="s">
        <v>90</v>
      </c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49" t="s">
        <v>91</v>
      </c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49" t="s">
        <v>92</v>
      </c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49" t="s">
        <v>93</v>
      </c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49" t="s">
        <v>94</v>
      </c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49" t="s">
        <v>95</v>
      </c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</row>
    <row r="145" spans="2:80" x14ac:dyDescent="0.3">
      <c r="B145" s="19" t="s">
        <v>96</v>
      </c>
      <c r="C145" s="30" t="s">
        <v>67</v>
      </c>
      <c r="D145" s="30" t="s">
        <v>68</v>
      </c>
      <c r="E145" s="30" t="s">
        <v>69</v>
      </c>
      <c r="F145" s="30" t="s">
        <v>70</v>
      </c>
      <c r="G145" s="30" t="s">
        <v>71</v>
      </c>
      <c r="H145" s="30" t="s">
        <v>72</v>
      </c>
      <c r="I145" s="30" t="s">
        <v>73</v>
      </c>
      <c r="J145" s="30" t="s">
        <v>74</v>
      </c>
      <c r="K145" s="30" t="s">
        <v>75</v>
      </c>
      <c r="L145" s="30" t="s">
        <v>76</v>
      </c>
      <c r="M145" s="30" t="s">
        <v>77</v>
      </c>
      <c r="N145" s="30" t="s">
        <v>78</v>
      </c>
      <c r="O145" s="30" t="s">
        <v>97</v>
      </c>
      <c r="P145" s="30" t="s">
        <v>67</v>
      </c>
      <c r="Q145" s="30" t="s">
        <v>68</v>
      </c>
      <c r="R145" s="30" t="s">
        <v>69</v>
      </c>
      <c r="S145" s="30" t="s">
        <v>70</v>
      </c>
      <c r="T145" s="30" t="s">
        <v>71</v>
      </c>
      <c r="U145" s="30" t="s">
        <v>72</v>
      </c>
      <c r="V145" s="30" t="s">
        <v>73</v>
      </c>
      <c r="W145" s="30" t="s">
        <v>74</v>
      </c>
      <c r="X145" s="30" t="s">
        <v>75</v>
      </c>
      <c r="Y145" s="30" t="s">
        <v>76</v>
      </c>
      <c r="Z145" s="30" t="s">
        <v>77</v>
      </c>
      <c r="AA145" s="30" t="s">
        <v>78</v>
      </c>
      <c r="AB145" s="30" t="s">
        <v>98</v>
      </c>
      <c r="AC145" s="30" t="s">
        <v>67</v>
      </c>
      <c r="AD145" s="30" t="s">
        <v>68</v>
      </c>
      <c r="AE145" s="30" t="s">
        <v>69</v>
      </c>
      <c r="AF145" s="30" t="s">
        <v>70</v>
      </c>
      <c r="AG145" s="30" t="s">
        <v>71</v>
      </c>
      <c r="AH145" s="30" t="s">
        <v>72</v>
      </c>
      <c r="AI145" s="30" t="s">
        <v>73</v>
      </c>
      <c r="AJ145" s="30" t="s">
        <v>74</v>
      </c>
      <c r="AK145" s="30" t="s">
        <v>75</v>
      </c>
      <c r="AL145" s="30" t="s">
        <v>76</v>
      </c>
      <c r="AM145" s="30" t="s">
        <v>77</v>
      </c>
      <c r="AN145" s="30" t="s">
        <v>78</v>
      </c>
      <c r="AO145" s="30" t="s">
        <v>99</v>
      </c>
      <c r="AP145" s="30" t="s">
        <v>67</v>
      </c>
      <c r="AQ145" s="30" t="s">
        <v>68</v>
      </c>
      <c r="AR145" s="30" t="s">
        <v>69</v>
      </c>
      <c r="AS145" s="30" t="s">
        <v>70</v>
      </c>
      <c r="AT145" s="30" t="s">
        <v>71</v>
      </c>
      <c r="AU145" s="30" t="s">
        <v>72</v>
      </c>
      <c r="AV145" s="30" t="s">
        <v>73</v>
      </c>
      <c r="AW145" s="30" t="s">
        <v>74</v>
      </c>
      <c r="AX145" s="30" t="s">
        <v>75</v>
      </c>
      <c r="AY145" s="30" t="s">
        <v>76</v>
      </c>
      <c r="AZ145" s="30" t="s">
        <v>77</v>
      </c>
      <c r="BA145" s="30" t="s">
        <v>78</v>
      </c>
      <c r="BB145" s="30" t="s">
        <v>100</v>
      </c>
      <c r="BC145" s="30" t="s">
        <v>67</v>
      </c>
      <c r="BD145" s="30" t="s">
        <v>68</v>
      </c>
      <c r="BE145" s="30" t="s">
        <v>69</v>
      </c>
      <c r="BF145" s="30" t="s">
        <v>70</v>
      </c>
      <c r="BG145" s="30" t="s">
        <v>71</v>
      </c>
      <c r="BH145" s="30" t="s">
        <v>72</v>
      </c>
      <c r="BI145" s="30" t="s">
        <v>73</v>
      </c>
      <c r="BJ145" s="30" t="s">
        <v>74</v>
      </c>
      <c r="BK145" s="30" t="s">
        <v>75</v>
      </c>
      <c r="BL145" s="30" t="s">
        <v>76</v>
      </c>
      <c r="BM145" s="30" t="s">
        <v>77</v>
      </c>
      <c r="BN145" s="30" t="s">
        <v>78</v>
      </c>
      <c r="BO145" s="30" t="s">
        <v>101</v>
      </c>
      <c r="BP145" s="30" t="s">
        <v>67</v>
      </c>
      <c r="BQ145" s="30" t="s">
        <v>68</v>
      </c>
      <c r="BR145" s="30" t="s">
        <v>69</v>
      </c>
      <c r="BS145" s="30" t="s">
        <v>70</v>
      </c>
      <c r="BT145" s="30" t="s">
        <v>71</v>
      </c>
      <c r="BU145" s="30" t="s">
        <v>72</v>
      </c>
      <c r="BV145" s="30" t="s">
        <v>73</v>
      </c>
      <c r="BW145" s="30" t="s">
        <v>74</v>
      </c>
      <c r="BX145" s="30" t="s">
        <v>75</v>
      </c>
      <c r="BY145" s="30" t="s">
        <v>76</v>
      </c>
      <c r="BZ145" s="30" t="s">
        <v>77</v>
      </c>
      <c r="CA145" s="30" t="s">
        <v>78</v>
      </c>
      <c r="CB145" s="30" t="s">
        <v>102</v>
      </c>
    </row>
    <row r="146" spans="2:80" x14ac:dyDescent="0.3">
      <c r="B146" s="7" t="s">
        <v>46</v>
      </c>
      <c r="C146" s="9">
        <v>176108496</v>
      </c>
      <c r="D146" s="9">
        <v>176108496</v>
      </c>
      <c r="E146" s="9">
        <v>176108496</v>
      </c>
      <c r="F146" s="9">
        <v>176108496</v>
      </c>
      <c r="G146" s="9">
        <v>176108496</v>
      </c>
      <c r="H146" s="9">
        <v>176108496</v>
      </c>
      <c r="I146" s="9">
        <v>176108496</v>
      </c>
      <c r="J146" s="9">
        <v>176108496</v>
      </c>
      <c r="K146" s="9">
        <v>176108496</v>
      </c>
      <c r="L146" s="9">
        <v>176108496</v>
      </c>
      <c r="M146" s="9">
        <v>176108496</v>
      </c>
      <c r="N146" s="9">
        <v>176108496</v>
      </c>
      <c r="O146" s="31">
        <v>176108496</v>
      </c>
      <c r="P146" s="9">
        <v>225560049</v>
      </c>
      <c r="Q146" s="9">
        <v>225560049</v>
      </c>
      <c r="R146" s="9">
        <v>225560049</v>
      </c>
      <c r="S146" s="9">
        <v>225560049</v>
      </c>
      <c r="T146" s="9">
        <v>225560049</v>
      </c>
      <c r="U146" s="9">
        <v>225560049</v>
      </c>
      <c r="V146" s="9">
        <v>225560049</v>
      </c>
      <c r="W146" s="9">
        <v>225560049</v>
      </c>
      <c r="X146" s="9">
        <v>225560049</v>
      </c>
      <c r="Y146" s="9">
        <v>225560049</v>
      </c>
      <c r="Z146" s="9">
        <v>225560049</v>
      </c>
      <c r="AA146" s="9">
        <v>225560049</v>
      </c>
      <c r="AB146" s="31">
        <v>225560049</v>
      </c>
      <c r="AC146" s="9">
        <v>261708490</v>
      </c>
      <c r="AD146" s="9">
        <v>261708490</v>
      </c>
      <c r="AE146" s="9">
        <v>261708490</v>
      </c>
      <c r="AF146" s="9">
        <v>261708490</v>
      </c>
      <c r="AG146" s="9">
        <v>261708490</v>
      </c>
      <c r="AH146" s="9">
        <v>261708490</v>
      </c>
      <c r="AI146" s="9">
        <v>261708490</v>
      </c>
      <c r="AJ146" s="9">
        <v>261708490</v>
      </c>
      <c r="AK146" s="9">
        <v>261708490</v>
      </c>
      <c r="AL146" s="9">
        <v>261708490</v>
      </c>
      <c r="AM146" s="9">
        <v>261708490</v>
      </c>
      <c r="AN146" s="9">
        <v>261708490</v>
      </c>
      <c r="AO146" s="31">
        <v>261708490</v>
      </c>
      <c r="AP146" s="9">
        <v>259798881</v>
      </c>
      <c r="AQ146" s="9">
        <v>259798881</v>
      </c>
      <c r="AR146" s="9">
        <v>259798881</v>
      </c>
      <c r="AS146" s="9">
        <v>259798881</v>
      </c>
      <c r="AT146" s="9">
        <v>259798881</v>
      </c>
      <c r="AU146" s="9">
        <v>259798881</v>
      </c>
      <c r="AV146" s="9">
        <v>259798881</v>
      </c>
      <c r="AW146" s="9">
        <v>259798881</v>
      </c>
      <c r="AX146" s="9">
        <v>259798881</v>
      </c>
      <c r="AY146" s="9">
        <v>259798881</v>
      </c>
      <c r="AZ146" s="9">
        <v>259798881</v>
      </c>
      <c r="BA146" s="9">
        <v>259798881</v>
      </c>
      <c r="BB146" s="31">
        <v>259798881</v>
      </c>
      <c r="BC146" s="9">
        <v>288622626</v>
      </c>
      <c r="BD146" s="9">
        <v>288622626</v>
      </c>
      <c r="BE146" s="9">
        <v>288622626</v>
      </c>
      <c r="BF146" s="9">
        <v>288622626</v>
      </c>
      <c r="BG146" s="9">
        <v>288622626</v>
      </c>
      <c r="BH146" s="9">
        <v>288622626</v>
      </c>
      <c r="BI146" s="9">
        <v>288622626</v>
      </c>
      <c r="BJ146" s="9">
        <v>288622626</v>
      </c>
      <c r="BK146" s="9">
        <v>288622626</v>
      </c>
      <c r="BL146" s="9">
        <v>288622626</v>
      </c>
      <c r="BM146" s="9">
        <v>288622626</v>
      </c>
      <c r="BN146" s="9">
        <v>288622626</v>
      </c>
      <c r="BO146" s="31">
        <v>288622626</v>
      </c>
      <c r="BP146" s="9">
        <v>359934455</v>
      </c>
      <c r="BQ146" s="9">
        <v>359934455</v>
      </c>
      <c r="BR146" s="9">
        <v>359934455</v>
      </c>
      <c r="BS146" s="9">
        <v>359934455</v>
      </c>
      <c r="BT146" s="9">
        <v>359934455</v>
      </c>
      <c r="BU146" s="9">
        <v>359934455</v>
      </c>
      <c r="BV146" s="9">
        <v>359934455</v>
      </c>
      <c r="BW146" s="9">
        <v>359934455</v>
      </c>
      <c r="BX146" s="9">
        <v>359934455</v>
      </c>
      <c r="BY146" s="9">
        <v>359934455</v>
      </c>
      <c r="BZ146" s="9">
        <v>359934455</v>
      </c>
      <c r="CA146" s="9">
        <v>359934455</v>
      </c>
      <c r="CB146" s="31">
        <v>359934455</v>
      </c>
    </row>
    <row r="147" spans="2:80" x14ac:dyDescent="0.3">
      <c r="B147" s="7" t="s">
        <v>47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31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1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31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31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31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31">
        <v>0</v>
      </c>
    </row>
    <row r="148" spans="2:80" x14ac:dyDescent="0.3">
      <c r="B148" s="7" t="s">
        <v>48</v>
      </c>
      <c r="C148" s="9">
        <v>24772134</v>
      </c>
      <c r="D148" s="9">
        <v>24772134</v>
      </c>
      <c r="E148" s="9">
        <v>24772134</v>
      </c>
      <c r="F148" s="9">
        <v>24772134</v>
      </c>
      <c r="G148" s="9">
        <v>24772134</v>
      </c>
      <c r="H148" s="9">
        <v>24772134</v>
      </c>
      <c r="I148" s="9">
        <v>24772134</v>
      </c>
      <c r="J148" s="9">
        <v>24772134</v>
      </c>
      <c r="K148" s="9">
        <v>24772134</v>
      </c>
      <c r="L148" s="9">
        <v>24772134</v>
      </c>
      <c r="M148" s="9">
        <v>24772134</v>
      </c>
      <c r="N148" s="9">
        <v>24772134</v>
      </c>
      <c r="O148" s="31">
        <v>24772134</v>
      </c>
      <c r="P148" s="9">
        <v>39356191</v>
      </c>
      <c r="Q148" s="9">
        <v>39356191</v>
      </c>
      <c r="R148" s="9">
        <v>39356191</v>
      </c>
      <c r="S148" s="9">
        <v>39356191</v>
      </c>
      <c r="T148" s="9">
        <v>39356191</v>
      </c>
      <c r="U148" s="9">
        <v>39356191</v>
      </c>
      <c r="V148" s="9">
        <v>39356191</v>
      </c>
      <c r="W148" s="9">
        <v>39356191</v>
      </c>
      <c r="X148" s="9">
        <v>39356191</v>
      </c>
      <c r="Y148" s="9">
        <v>39356191</v>
      </c>
      <c r="Z148" s="9">
        <v>39356191</v>
      </c>
      <c r="AA148" s="9">
        <v>39356191</v>
      </c>
      <c r="AB148" s="31">
        <v>39356191</v>
      </c>
      <c r="AC148" s="9">
        <v>78240619</v>
      </c>
      <c r="AD148" s="9">
        <v>78240619</v>
      </c>
      <c r="AE148" s="9">
        <v>78240619</v>
      </c>
      <c r="AF148" s="9">
        <v>78240619</v>
      </c>
      <c r="AG148" s="9">
        <v>78240619</v>
      </c>
      <c r="AH148" s="9">
        <v>78240619</v>
      </c>
      <c r="AI148" s="9">
        <v>78240619</v>
      </c>
      <c r="AJ148" s="9">
        <v>78240619</v>
      </c>
      <c r="AK148" s="9">
        <v>78240619</v>
      </c>
      <c r="AL148" s="9">
        <v>78240619</v>
      </c>
      <c r="AM148" s="9">
        <v>78240619</v>
      </c>
      <c r="AN148" s="9">
        <v>78240619</v>
      </c>
      <c r="AO148" s="31">
        <v>78240619</v>
      </c>
      <c r="AP148" s="9">
        <v>70228343</v>
      </c>
      <c r="AQ148" s="9">
        <v>70228343</v>
      </c>
      <c r="AR148" s="9">
        <v>70228343</v>
      </c>
      <c r="AS148" s="9">
        <v>70228343</v>
      </c>
      <c r="AT148" s="9">
        <v>70228343</v>
      </c>
      <c r="AU148" s="9">
        <v>70228343</v>
      </c>
      <c r="AV148" s="9">
        <v>70228343</v>
      </c>
      <c r="AW148" s="9">
        <v>70228343</v>
      </c>
      <c r="AX148" s="9">
        <v>70228343</v>
      </c>
      <c r="AY148" s="9">
        <v>70228343</v>
      </c>
      <c r="AZ148" s="9">
        <v>70228343</v>
      </c>
      <c r="BA148" s="9">
        <v>70228343</v>
      </c>
      <c r="BB148" s="31">
        <v>70228343</v>
      </c>
      <c r="BC148" s="9">
        <v>102230033</v>
      </c>
      <c r="BD148" s="9">
        <v>102230033</v>
      </c>
      <c r="BE148" s="9">
        <v>102230033</v>
      </c>
      <c r="BF148" s="9">
        <v>102230033</v>
      </c>
      <c r="BG148" s="9">
        <v>102230033</v>
      </c>
      <c r="BH148" s="9">
        <v>102230033</v>
      </c>
      <c r="BI148" s="9">
        <v>102230033</v>
      </c>
      <c r="BJ148" s="9">
        <v>102230033</v>
      </c>
      <c r="BK148" s="9">
        <v>102230033</v>
      </c>
      <c r="BL148" s="9">
        <v>102230033</v>
      </c>
      <c r="BM148" s="9">
        <v>102230033</v>
      </c>
      <c r="BN148" s="9">
        <v>102230033</v>
      </c>
      <c r="BO148" s="31">
        <v>102230033</v>
      </c>
      <c r="BP148" s="9">
        <v>109150858</v>
      </c>
      <c r="BQ148" s="9">
        <v>109150858</v>
      </c>
      <c r="BR148" s="9">
        <v>109150858</v>
      </c>
      <c r="BS148" s="9">
        <v>109150858</v>
      </c>
      <c r="BT148" s="9">
        <v>109150858</v>
      </c>
      <c r="BU148" s="9">
        <v>109150858</v>
      </c>
      <c r="BV148" s="9">
        <v>109150858</v>
      </c>
      <c r="BW148" s="9">
        <v>109150858</v>
      </c>
      <c r="BX148" s="9">
        <v>109150858</v>
      </c>
      <c r="BY148" s="9">
        <v>109150858</v>
      </c>
      <c r="BZ148" s="9">
        <v>109150858</v>
      </c>
      <c r="CA148" s="9">
        <v>109150858</v>
      </c>
      <c r="CB148" s="31">
        <v>109150858</v>
      </c>
    </row>
    <row r="149" spans="2:80" x14ac:dyDescent="0.3">
      <c r="B149" s="7" t="s">
        <v>49</v>
      </c>
      <c r="C149" s="9">
        <v>44639683</v>
      </c>
      <c r="D149" s="9">
        <v>44639683</v>
      </c>
      <c r="E149" s="9">
        <v>44639683</v>
      </c>
      <c r="F149" s="9">
        <v>44639683</v>
      </c>
      <c r="G149" s="9">
        <v>44639683</v>
      </c>
      <c r="H149" s="9">
        <v>44639683</v>
      </c>
      <c r="I149" s="9">
        <v>44639683</v>
      </c>
      <c r="J149" s="9">
        <v>44639683</v>
      </c>
      <c r="K149" s="9">
        <v>44639683</v>
      </c>
      <c r="L149" s="9">
        <v>44639683</v>
      </c>
      <c r="M149" s="9">
        <v>44639683</v>
      </c>
      <c r="N149" s="9">
        <v>44639683</v>
      </c>
      <c r="O149" s="31">
        <v>44639683</v>
      </c>
      <c r="P149" s="9">
        <v>65497216</v>
      </c>
      <c r="Q149" s="9">
        <v>65497216</v>
      </c>
      <c r="R149" s="9">
        <v>65497216</v>
      </c>
      <c r="S149" s="9">
        <v>65497216</v>
      </c>
      <c r="T149" s="9">
        <v>65497216</v>
      </c>
      <c r="U149" s="9">
        <v>65497216</v>
      </c>
      <c r="V149" s="9">
        <v>65497216</v>
      </c>
      <c r="W149" s="9">
        <v>65497216</v>
      </c>
      <c r="X149" s="9">
        <v>65497216</v>
      </c>
      <c r="Y149" s="9">
        <v>65497216</v>
      </c>
      <c r="Z149" s="9">
        <v>65497216</v>
      </c>
      <c r="AA149" s="9">
        <v>65497216</v>
      </c>
      <c r="AB149" s="31">
        <v>65497216</v>
      </c>
      <c r="AC149" s="9">
        <v>88307532</v>
      </c>
      <c r="AD149" s="9">
        <v>88307532</v>
      </c>
      <c r="AE149" s="9">
        <v>88307532</v>
      </c>
      <c r="AF149" s="9">
        <v>88307532</v>
      </c>
      <c r="AG149" s="9">
        <v>88307532</v>
      </c>
      <c r="AH149" s="9">
        <v>88307532</v>
      </c>
      <c r="AI149" s="9">
        <v>88307532</v>
      </c>
      <c r="AJ149" s="9">
        <v>88307532</v>
      </c>
      <c r="AK149" s="9">
        <v>88307532</v>
      </c>
      <c r="AL149" s="9">
        <v>88307532</v>
      </c>
      <c r="AM149" s="9">
        <v>88307532</v>
      </c>
      <c r="AN149" s="9">
        <v>88307532</v>
      </c>
      <c r="AO149" s="31">
        <v>88307532</v>
      </c>
      <c r="AP149" s="9">
        <v>97459423</v>
      </c>
      <c r="AQ149" s="9">
        <v>97459423</v>
      </c>
      <c r="AR149" s="9">
        <v>97459423</v>
      </c>
      <c r="AS149" s="9">
        <v>97459423</v>
      </c>
      <c r="AT149" s="9">
        <v>97459423</v>
      </c>
      <c r="AU149" s="9">
        <v>97459423</v>
      </c>
      <c r="AV149" s="9">
        <v>97459423</v>
      </c>
      <c r="AW149" s="9">
        <v>97459423</v>
      </c>
      <c r="AX149" s="9">
        <v>97459423</v>
      </c>
      <c r="AY149" s="9">
        <v>97459423</v>
      </c>
      <c r="AZ149" s="9">
        <v>97459423</v>
      </c>
      <c r="BA149" s="9">
        <v>97459423</v>
      </c>
      <c r="BB149" s="31">
        <v>97459423</v>
      </c>
      <c r="BC149" s="9">
        <v>125360133</v>
      </c>
      <c r="BD149" s="9">
        <v>125360133</v>
      </c>
      <c r="BE149" s="9">
        <v>125360133</v>
      </c>
      <c r="BF149" s="9">
        <v>125360133</v>
      </c>
      <c r="BG149" s="9">
        <v>125360133</v>
      </c>
      <c r="BH149" s="9">
        <v>125360133</v>
      </c>
      <c r="BI149" s="9">
        <v>125360133</v>
      </c>
      <c r="BJ149" s="9">
        <v>125360133</v>
      </c>
      <c r="BK149" s="9">
        <v>125360133</v>
      </c>
      <c r="BL149" s="9">
        <v>125360133</v>
      </c>
      <c r="BM149" s="9">
        <v>125360133</v>
      </c>
      <c r="BN149" s="9">
        <v>125360133</v>
      </c>
      <c r="BO149" s="31">
        <v>125360133</v>
      </c>
      <c r="BP149" s="9">
        <v>124147527</v>
      </c>
      <c r="BQ149" s="9">
        <v>124147527</v>
      </c>
      <c r="BR149" s="9">
        <v>124147527</v>
      </c>
      <c r="BS149" s="9">
        <v>124147527</v>
      </c>
      <c r="BT149" s="9">
        <v>124147527</v>
      </c>
      <c r="BU149" s="9">
        <v>124147527</v>
      </c>
      <c r="BV149" s="9">
        <v>124147527</v>
      </c>
      <c r="BW149" s="9">
        <v>124147527</v>
      </c>
      <c r="BX149" s="9">
        <v>124147527</v>
      </c>
      <c r="BY149" s="9">
        <v>124147527</v>
      </c>
      <c r="BZ149" s="9">
        <v>124147527</v>
      </c>
      <c r="CA149" s="9">
        <v>124147527</v>
      </c>
      <c r="CB149" s="31">
        <v>124147527</v>
      </c>
    </row>
    <row r="150" spans="2:80" x14ac:dyDescent="0.3">
      <c r="B150" s="7" t="s">
        <v>50</v>
      </c>
      <c r="C150" s="9">
        <v>31468883</v>
      </c>
      <c r="D150" s="9">
        <v>31468883</v>
      </c>
      <c r="E150" s="9">
        <v>31468883</v>
      </c>
      <c r="F150" s="9">
        <v>31468883</v>
      </c>
      <c r="G150" s="9">
        <v>31468883</v>
      </c>
      <c r="H150" s="9">
        <v>31468883</v>
      </c>
      <c r="I150" s="9">
        <v>31468883</v>
      </c>
      <c r="J150" s="9">
        <v>31468883</v>
      </c>
      <c r="K150" s="9">
        <v>31468883</v>
      </c>
      <c r="L150" s="9">
        <v>31468883</v>
      </c>
      <c r="M150" s="9">
        <v>31468883</v>
      </c>
      <c r="N150" s="9">
        <v>31468883</v>
      </c>
      <c r="O150" s="31">
        <v>31468883</v>
      </c>
      <c r="P150" s="9">
        <v>44146114</v>
      </c>
      <c r="Q150" s="9">
        <v>44146114</v>
      </c>
      <c r="R150" s="9">
        <v>44146114</v>
      </c>
      <c r="S150" s="9">
        <v>44146114</v>
      </c>
      <c r="T150" s="9">
        <v>44146114</v>
      </c>
      <c r="U150" s="9">
        <v>44146114</v>
      </c>
      <c r="V150" s="9">
        <v>44146114</v>
      </c>
      <c r="W150" s="9">
        <v>44146114</v>
      </c>
      <c r="X150" s="9">
        <v>44146114</v>
      </c>
      <c r="Y150" s="9">
        <v>44146114</v>
      </c>
      <c r="Z150" s="9">
        <v>44146114</v>
      </c>
      <c r="AA150" s="9">
        <v>44146114</v>
      </c>
      <c r="AB150" s="31">
        <v>44146114</v>
      </c>
      <c r="AC150" s="9">
        <v>66736778</v>
      </c>
      <c r="AD150" s="9">
        <v>66736778</v>
      </c>
      <c r="AE150" s="9">
        <v>66736778</v>
      </c>
      <c r="AF150" s="9">
        <v>66736778</v>
      </c>
      <c r="AG150" s="9">
        <v>66736778</v>
      </c>
      <c r="AH150" s="9">
        <v>66736778</v>
      </c>
      <c r="AI150" s="9">
        <v>66736778</v>
      </c>
      <c r="AJ150" s="9">
        <v>66736778</v>
      </c>
      <c r="AK150" s="9">
        <v>66736778</v>
      </c>
      <c r="AL150" s="9">
        <v>66736778</v>
      </c>
      <c r="AM150" s="9">
        <v>66736778</v>
      </c>
      <c r="AN150" s="9">
        <v>66736778</v>
      </c>
      <c r="AO150" s="31">
        <v>66736778</v>
      </c>
      <c r="AP150" s="9">
        <v>57746379</v>
      </c>
      <c r="AQ150" s="9">
        <v>57746379</v>
      </c>
      <c r="AR150" s="9">
        <v>57746379</v>
      </c>
      <c r="AS150" s="9">
        <v>57746379</v>
      </c>
      <c r="AT150" s="9">
        <v>57746379</v>
      </c>
      <c r="AU150" s="9">
        <v>57746379</v>
      </c>
      <c r="AV150" s="9">
        <v>57746379</v>
      </c>
      <c r="AW150" s="9">
        <v>57746379</v>
      </c>
      <c r="AX150" s="9">
        <v>57746379</v>
      </c>
      <c r="AY150" s="9">
        <v>57746379</v>
      </c>
      <c r="AZ150" s="9">
        <v>57746379</v>
      </c>
      <c r="BA150" s="9">
        <v>57746379</v>
      </c>
      <c r="BB150" s="31">
        <v>57746379</v>
      </c>
      <c r="BC150" s="9">
        <v>72789613</v>
      </c>
      <c r="BD150" s="9">
        <v>72789613</v>
      </c>
      <c r="BE150" s="9">
        <v>72789613</v>
      </c>
      <c r="BF150" s="9">
        <v>72789613</v>
      </c>
      <c r="BG150" s="9">
        <v>72789613</v>
      </c>
      <c r="BH150" s="9">
        <v>72789613</v>
      </c>
      <c r="BI150" s="9">
        <v>72789613</v>
      </c>
      <c r="BJ150" s="9">
        <v>72789613</v>
      </c>
      <c r="BK150" s="9">
        <v>72789613</v>
      </c>
      <c r="BL150" s="9">
        <v>72789613</v>
      </c>
      <c r="BM150" s="9">
        <v>72789613</v>
      </c>
      <c r="BN150" s="9">
        <v>72789613</v>
      </c>
      <c r="BO150" s="31">
        <v>72789613</v>
      </c>
      <c r="BP150" s="9">
        <v>132477179</v>
      </c>
      <c r="BQ150" s="9">
        <v>132477179</v>
      </c>
      <c r="BR150" s="9">
        <v>132477179</v>
      </c>
      <c r="BS150" s="9">
        <v>132477179</v>
      </c>
      <c r="BT150" s="9">
        <v>132477179</v>
      </c>
      <c r="BU150" s="9">
        <v>132477179</v>
      </c>
      <c r="BV150" s="9">
        <v>132477179</v>
      </c>
      <c r="BW150" s="9">
        <v>132477179</v>
      </c>
      <c r="BX150" s="9">
        <v>132477179</v>
      </c>
      <c r="BY150" s="9">
        <v>132477179</v>
      </c>
      <c r="BZ150" s="9">
        <v>132477179</v>
      </c>
      <c r="CA150" s="9">
        <v>132477179</v>
      </c>
      <c r="CB150" s="31">
        <v>132477179</v>
      </c>
    </row>
    <row r="151" spans="2:80" x14ac:dyDescent="0.3">
      <c r="B151" s="7" t="s">
        <v>51</v>
      </c>
      <c r="C151" s="9">
        <v>20342961</v>
      </c>
      <c r="D151" s="9">
        <v>20342961</v>
      </c>
      <c r="E151" s="9">
        <v>20342961</v>
      </c>
      <c r="F151" s="9">
        <v>20342961</v>
      </c>
      <c r="G151" s="9">
        <v>20342961</v>
      </c>
      <c r="H151" s="9">
        <v>20342961</v>
      </c>
      <c r="I151" s="9">
        <v>20342961</v>
      </c>
      <c r="J151" s="9">
        <v>20342961</v>
      </c>
      <c r="K151" s="9">
        <v>20342961</v>
      </c>
      <c r="L151" s="9">
        <v>20342961</v>
      </c>
      <c r="M151" s="9">
        <v>20342961</v>
      </c>
      <c r="N151" s="9">
        <v>20342961</v>
      </c>
      <c r="O151" s="31">
        <v>20342961</v>
      </c>
      <c r="P151" s="9">
        <v>33226672</v>
      </c>
      <c r="Q151" s="9">
        <v>33226672</v>
      </c>
      <c r="R151" s="9">
        <v>33226672</v>
      </c>
      <c r="S151" s="9">
        <v>33226672</v>
      </c>
      <c r="T151" s="9">
        <v>33226672</v>
      </c>
      <c r="U151" s="9">
        <v>33226672</v>
      </c>
      <c r="V151" s="9">
        <v>33226672</v>
      </c>
      <c r="W151" s="9">
        <v>33226672</v>
      </c>
      <c r="X151" s="9">
        <v>33226672</v>
      </c>
      <c r="Y151" s="9">
        <v>33226672</v>
      </c>
      <c r="Z151" s="9">
        <v>33226672</v>
      </c>
      <c r="AA151" s="9">
        <v>33226672</v>
      </c>
      <c r="AB151" s="31">
        <v>33226672</v>
      </c>
      <c r="AC151" s="9">
        <v>47626282</v>
      </c>
      <c r="AD151" s="9">
        <v>47626282</v>
      </c>
      <c r="AE151" s="9">
        <v>47626282</v>
      </c>
      <c r="AF151" s="9">
        <v>47626282</v>
      </c>
      <c r="AG151" s="9">
        <v>47626282</v>
      </c>
      <c r="AH151" s="9">
        <v>47626282</v>
      </c>
      <c r="AI151" s="9">
        <v>47626282</v>
      </c>
      <c r="AJ151" s="9">
        <v>47626282</v>
      </c>
      <c r="AK151" s="9">
        <v>47626282</v>
      </c>
      <c r="AL151" s="9">
        <v>47626282</v>
      </c>
      <c r="AM151" s="9">
        <v>47626282</v>
      </c>
      <c r="AN151" s="9">
        <v>47626282</v>
      </c>
      <c r="AO151" s="31">
        <v>47626282</v>
      </c>
      <c r="AP151" s="9">
        <v>53240790</v>
      </c>
      <c r="AQ151" s="9">
        <v>53240790</v>
      </c>
      <c r="AR151" s="9">
        <v>53240790</v>
      </c>
      <c r="AS151" s="9">
        <v>53240790</v>
      </c>
      <c r="AT151" s="9">
        <v>53240790</v>
      </c>
      <c r="AU151" s="9">
        <v>53240790</v>
      </c>
      <c r="AV151" s="9">
        <v>53240790</v>
      </c>
      <c r="AW151" s="9">
        <v>53240790</v>
      </c>
      <c r="AX151" s="9">
        <v>53240790</v>
      </c>
      <c r="AY151" s="9">
        <v>53240790</v>
      </c>
      <c r="AZ151" s="9">
        <v>53240790</v>
      </c>
      <c r="BA151" s="9">
        <v>53240790</v>
      </c>
      <c r="BB151" s="31">
        <v>53240790</v>
      </c>
      <c r="BC151" s="9">
        <v>92931481</v>
      </c>
      <c r="BD151" s="9">
        <v>92931481</v>
      </c>
      <c r="BE151" s="9">
        <v>92931481</v>
      </c>
      <c r="BF151" s="9">
        <v>92931481</v>
      </c>
      <c r="BG151" s="9">
        <v>92931481</v>
      </c>
      <c r="BH151" s="9">
        <v>92931481</v>
      </c>
      <c r="BI151" s="9">
        <v>92931481</v>
      </c>
      <c r="BJ151" s="9">
        <v>92931481</v>
      </c>
      <c r="BK151" s="9">
        <v>92931481</v>
      </c>
      <c r="BL151" s="9">
        <v>92931481</v>
      </c>
      <c r="BM151" s="9">
        <v>92931481</v>
      </c>
      <c r="BN151" s="9">
        <v>92931481</v>
      </c>
      <c r="BO151" s="31">
        <v>92931481</v>
      </c>
      <c r="BP151" s="9">
        <v>89750044</v>
      </c>
      <c r="BQ151" s="9">
        <v>89750044</v>
      </c>
      <c r="BR151" s="9">
        <v>89750044</v>
      </c>
      <c r="BS151" s="9">
        <v>89750044</v>
      </c>
      <c r="BT151" s="9">
        <v>89750044</v>
      </c>
      <c r="BU151" s="9">
        <v>89750044</v>
      </c>
      <c r="BV151" s="9">
        <v>89750044</v>
      </c>
      <c r="BW151" s="9">
        <v>89750044</v>
      </c>
      <c r="BX151" s="9">
        <v>89750044</v>
      </c>
      <c r="BY151" s="9">
        <v>89750044</v>
      </c>
      <c r="BZ151" s="9">
        <v>89750044</v>
      </c>
      <c r="CA151" s="9">
        <v>89750044</v>
      </c>
      <c r="CB151" s="31">
        <v>89750044</v>
      </c>
    </row>
    <row r="152" spans="2:80" x14ac:dyDescent="0.3">
      <c r="B152" s="7" t="s">
        <v>52</v>
      </c>
      <c r="C152" s="9">
        <v>82736497</v>
      </c>
      <c r="D152" s="9">
        <v>82736497</v>
      </c>
      <c r="E152" s="9">
        <v>82736497</v>
      </c>
      <c r="F152" s="9">
        <v>82736497</v>
      </c>
      <c r="G152" s="9">
        <v>82736497</v>
      </c>
      <c r="H152" s="9">
        <v>82736497</v>
      </c>
      <c r="I152" s="9">
        <v>82736497</v>
      </c>
      <c r="J152" s="9">
        <v>82736497</v>
      </c>
      <c r="K152" s="9">
        <v>82736497</v>
      </c>
      <c r="L152" s="9">
        <v>82736497</v>
      </c>
      <c r="M152" s="9">
        <v>82736497</v>
      </c>
      <c r="N152" s="9">
        <v>82736497</v>
      </c>
      <c r="O152" s="31">
        <v>82736497</v>
      </c>
      <c r="P152" s="9">
        <v>68909036</v>
      </c>
      <c r="Q152" s="9">
        <v>68909036</v>
      </c>
      <c r="R152" s="9">
        <v>68909036</v>
      </c>
      <c r="S152" s="9">
        <v>68909036</v>
      </c>
      <c r="T152" s="9">
        <v>68909036</v>
      </c>
      <c r="U152" s="9">
        <v>68909036</v>
      </c>
      <c r="V152" s="9">
        <v>68909036</v>
      </c>
      <c r="W152" s="9">
        <v>68909036</v>
      </c>
      <c r="X152" s="9">
        <v>68909036</v>
      </c>
      <c r="Y152" s="9">
        <v>68909036</v>
      </c>
      <c r="Z152" s="9">
        <v>68909036</v>
      </c>
      <c r="AA152" s="9">
        <v>68909036</v>
      </c>
      <c r="AB152" s="31">
        <v>68909036</v>
      </c>
      <c r="AC152" s="9">
        <v>107813988</v>
      </c>
      <c r="AD152" s="9">
        <v>107813988</v>
      </c>
      <c r="AE152" s="9">
        <v>107813988</v>
      </c>
      <c r="AF152" s="9">
        <v>107813988</v>
      </c>
      <c r="AG152" s="9">
        <v>107813988</v>
      </c>
      <c r="AH152" s="9">
        <v>107813988</v>
      </c>
      <c r="AI152" s="9">
        <v>107813988</v>
      </c>
      <c r="AJ152" s="9">
        <v>107813988</v>
      </c>
      <c r="AK152" s="9">
        <v>107813988</v>
      </c>
      <c r="AL152" s="9">
        <v>107813988</v>
      </c>
      <c r="AM152" s="9">
        <v>107813988</v>
      </c>
      <c r="AN152" s="9">
        <v>107813988</v>
      </c>
      <c r="AO152" s="31">
        <v>107813988</v>
      </c>
      <c r="AP152" s="9">
        <v>123704390</v>
      </c>
      <c r="AQ152" s="9">
        <v>123704390</v>
      </c>
      <c r="AR152" s="9">
        <v>123704390</v>
      </c>
      <c r="AS152" s="9">
        <v>123704390</v>
      </c>
      <c r="AT152" s="9">
        <v>123704390</v>
      </c>
      <c r="AU152" s="9">
        <v>123704390</v>
      </c>
      <c r="AV152" s="9">
        <v>123704390</v>
      </c>
      <c r="AW152" s="9">
        <v>123704390</v>
      </c>
      <c r="AX152" s="9">
        <v>123704390</v>
      </c>
      <c r="AY152" s="9">
        <v>123704390</v>
      </c>
      <c r="AZ152" s="9">
        <v>123704390</v>
      </c>
      <c r="BA152" s="9">
        <v>123704390</v>
      </c>
      <c r="BB152" s="31">
        <v>123704390</v>
      </c>
      <c r="BC152" s="9">
        <v>145360457</v>
      </c>
      <c r="BD152" s="9">
        <v>145360457</v>
      </c>
      <c r="BE152" s="9">
        <v>145360457</v>
      </c>
      <c r="BF152" s="9">
        <v>145360457</v>
      </c>
      <c r="BG152" s="9">
        <v>145360457</v>
      </c>
      <c r="BH152" s="9">
        <v>145360457</v>
      </c>
      <c r="BI152" s="9">
        <v>145360457</v>
      </c>
      <c r="BJ152" s="9">
        <v>145360457</v>
      </c>
      <c r="BK152" s="9">
        <v>145360457</v>
      </c>
      <c r="BL152" s="9">
        <v>145360457</v>
      </c>
      <c r="BM152" s="9">
        <v>145360457</v>
      </c>
      <c r="BN152" s="9">
        <v>145360457</v>
      </c>
      <c r="BO152" s="31">
        <v>145360457</v>
      </c>
      <c r="BP152" s="9">
        <v>135508027</v>
      </c>
      <c r="BQ152" s="9">
        <v>135508027</v>
      </c>
      <c r="BR152" s="9">
        <v>135508027</v>
      </c>
      <c r="BS152" s="9">
        <v>135508027</v>
      </c>
      <c r="BT152" s="9">
        <v>135508027</v>
      </c>
      <c r="BU152" s="9">
        <v>135508027</v>
      </c>
      <c r="BV152" s="9">
        <v>135508027</v>
      </c>
      <c r="BW152" s="9">
        <v>135508027</v>
      </c>
      <c r="BX152" s="9">
        <v>135508027</v>
      </c>
      <c r="BY152" s="9">
        <v>135508027</v>
      </c>
      <c r="BZ152" s="9">
        <v>135508027</v>
      </c>
      <c r="CA152" s="9">
        <v>135508027</v>
      </c>
      <c r="CB152" s="31">
        <v>135508027</v>
      </c>
    </row>
    <row r="153" spans="2:80" x14ac:dyDescent="0.3">
      <c r="B153" s="7" t="s">
        <v>53</v>
      </c>
      <c r="C153" s="9">
        <v>122491915</v>
      </c>
      <c r="D153" s="9">
        <v>122491915</v>
      </c>
      <c r="E153" s="9">
        <v>122491915</v>
      </c>
      <c r="F153" s="9">
        <v>122491915</v>
      </c>
      <c r="G153" s="9">
        <v>122491915</v>
      </c>
      <c r="H153" s="9">
        <v>122491915</v>
      </c>
      <c r="I153" s="9">
        <v>122491915</v>
      </c>
      <c r="J153" s="9">
        <v>122491915</v>
      </c>
      <c r="K153" s="9">
        <v>122491915</v>
      </c>
      <c r="L153" s="9">
        <v>122491915</v>
      </c>
      <c r="M153" s="9">
        <v>122491915</v>
      </c>
      <c r="N153" s="9">
        <v>122491915</v>
      </c>
      <c r="O153" s="31">
        <v>122491915</v>
      </c>
      <c r="P153" s="9">
        <v>166182827</v>
      </c>
      <c r="Q153" s="9">
        <v>166182827</v>
      </c>
      <c r="R153" s="9">
        <v>166182827</v>
      </c>
      <c r="S153" s="9">
        <v>166182827</v>
      </c>
      <c r="T153" s="9">
        <v>166182827</v>
      </c>
      <c r="U153" s="9">
        <v>166182827</v>
      </c>
      <c r="V153" s="9">
        <v>166182827</v>
      </c>
      <c r="W153" s="9">
        <v>166182827</v>
      </c>
      <c r="X153" s="9">
        <v>166182827</v>
      </c>
      <c r="Y153" s="9">
        <v>166182827</v>
      </c>
      <c r="Z153" s="9">
        <v>166182827</v>
      </c>
      <c r="AA153" s="9">
        <v>166182827</v>
      </c>
      <c r="AB153" s="31">
        <v>166182827</v>
      </c>
      <c r="AC153" s="9">
        <v>199830432</v>
      </c>
      <c r="AD153" s="9">
        <v>199830432</v>
      </c>
      <c r="AE153" s="9">
        <v>199830432</v>
      </c>
      <c r="AF153" s="9">
        <v>199830432</v>
      </c>
      <c r="AG153" s="9">
        <v>199830432</v>
      </c>
      <c r="AH153" s="9">
        <v>199830432</v>
      </c>
      <c r="AI153" s="9">
        <v>199830432</v>
      </c>
      <c r="AJ153" s="9">
        <v>199830432</v>
      </c>
      <c r="AK153" s="9">
        <v>199830432</v>
      </c>
      <c r="AL153" s="9">
        <v>199830432</v>
      </c>
      <c r="AM153" s="9">
        <v>199830432</v>
      </c>
      <c r="AN153" s="9">
        <v>199830432</v>
      </c>
      <c r="AO153" s="31">
        <v>199830432</v>
      </c>
      <c r="AP153" s="9">
        <v>225771051</v>
      </c>
      <c r="AQ153" s="9">
        <v>225771051</v>
      </c>
      <c r="AR153" s="9">
        <v>225771051</v>
      </c>
      <c r="AS153" s="9">
        <v>225771051</v>
      </c>
      <c r="AT153" s="9">
        <v>225771051</v>
      </c>
      <c r="AU153" s="9">
        <v>225771051</v>
      </c>
      <c r="AV153" s="9">
        <v>225771051</v>
      </c>
      <c r="AW153" s="9">
        <v>225771051</v>
      </c>
      <c r="AX153" s="9">
        <v>225771051</v>
      </c>
      <c r="AY153" s="9">
        <v>225771051</v>
      </c>
      <c r="AZ153" s="9">
        <v>225771051</v>
      </c>
      <c r="BA153" s="9">
        <v>225771051</v>
      </c>
      <c r="BB153" s="31">
        <v>225771051</v>
      </c>
      <c r="BC153" s="9">
        <v>286562984</v>
      </c>
      <c r="BD153" s="9">
        <v>286562984</v>
      </c>
      <c r="BE153" s="9">
        <v>286562984</v>
      </c>
      <c r="BF153" s="9">
        <v>286562984</v>
      </c>
      <c r="BG153" s="9">
        <v>286562984</v>
      </c>
      <c r="BH153" s="9">
        <v>286562984</v>
      </c>
      <c r="BI153" s="9">
        <v>286562984</v>
      </c>
      <c r="BJ153" s="9">
        <v>286562984</v>
      </c>
      <c r="BK153" s="9">
        <v>286562984</v>
      </c>
      <c r="BL153" s="9">
        <v>286562984</v>
      </c>
      <c r="BM153" s="9">
        <v>286562984</v>
      </c>
      <c r="BN153" s="9">
        <v>286562984</v>
      </c>
      <c r="BO153" s="31">
        <v>286562984</v>
      </c>
      <c r="BP153" s="9">
        <v>241505107</v>
      </c>
      <c r="BQ153" s="9">
        <v>241505107</v>
      </c>
      <c r="BR153" s="9">
        <v>241505107</v>
      </c>
      <c r="BS153" s="9">
        <v>241505107</v>
      </c>
      <c r="BT153" s="9">
        <v>241505107</v>
      </c>
      <c r="BU153" s="9">
        <v>241505107</v>
      </c>
      <c r="BV153" s="9">
        <v>241505107</v>
      </c>
      <c r="BW153" s="9">
        <v>241505107</v>
      </c>
      <c r="BX153" s="9">
        <v>241505107</v>
      </c>
      <c r="BY153" s="9">
        <v>241505107</v>
      </c>
      <c r="BZ153" s="9">
        <v>241505107</v>
      </c>
      <c r="CA153" s="9">
        <v>241505107</v>
      </c>
      <c r="CB153" s="31">
        <v>241505107</v>
      </c>
    </row>
    <row r="154" spans="2:80" x14ac:dyDescent="0.3">
      <c r="B154" s="7" t="s">
        <v>54</v>
      </c>
      <c r="C154" s="9">
        <v>321514969</v>
      </c>
      <c r="D154" s="9">
        <v>321514969</v>
      </c>
      <c r="E154" s="9">
        <v>321514969</v>
      </c>
      <c r="F154" s="9">
        <v>321514969</v>
      </c>
      <c r="G154" s="9">
        <v>321514969</v>
      </c>
      <c r="H154" s="9">
        <v>321514969</v>
      </c>
      <c r="I154" s="9">
        <v>321514969</v>
      </c>
      <c r="J154" s="9">
        <v>321514969</v>
      </c>
      <c r="K154" s="9">
        <v>321514969</v>
      </c>
      <c r="L154" s="9">
        <v>321514969</v>
      </c>
      <c r="M154" s="9">
        <v>321514969</v>
      </c>
      <c r="N154" s="9">
        <v>321514969</v>
      </c>
      <c r="O154" s="31">
        <v>321514969</v>
      </c>
      <c r="P154" s="9">
        <v>406538500</v>
      </c>
      <c r="Q154" s="9">
        <v>406538500</v>
      </c>
      <c r="R154" s="9">
        <v>406538500</v>
      </c>
      <c r="S154" s="9">
        <v>406538500</v>
      </c>
      <c r="T154" s="9">
        <v>406538500</v>
      </c>
      <c r="U154" s="9">
        <v>406538500</v>
      </c>
      <c r="V154" s="9">
        <v>406538500</v>
      </c>
      <c r="W154" s="9">
        <v>406538500</v>
      </c>
      <c r="X154" s="9">
        <v>406538500</v>
      </c>
      <c r="Y154" s="9">
        <v>406538500</v>
      </c>
      <c r="Z154" s="9">
        <v>406538500</v>
      </c>
      <c r="AA154" s="9">
        <v>406538500</v>
      </c>
      <c r="AB154" s="31">
        <v>406538500</v>
      </c>
      <c r="AC154" s="9">
        <v>387419275</v>
      </c>
      <c r="AD154" s="9">
        <v>387419275</v>
      </c>
      <c r="AE154" s="9">
        <v>387419275</v>
      </c>
      <c r="AF154" s="9">
        <v>387419275</v>
      </c>
      <c r="AG154" s="9">
        <v>387419275</v>
      </c>
      <c r="AH154" s="9">
        <v>387419275</v>
      </c>
      <c r="AI154" s="9">
        <v>387419275</v>
      </c>
      <c r="AJ154" s="9">
        <v>387419275</v>
      </c>
      <c r="AK154" s="9">
        <v>387419275</v>
      </c>
      <c r="AL154" s="9">
        <v>387419275</v>
      </c>
      <c r="AM154" s="9">
        <v>387419275</v>
      </c>
      <c r="AN154" s="9">
        <v>387419275</v>
      </c>
      <c r="AO154" s="31">
        <v>387419275</v>
      </c>
      <c r="AP154" s="9">
        <v>467857630</v>
      </c>
      <c r="AQ154" s="9">
        <v>467857630</v>
      </c>
      <c r="AR154" s="9">
        <v>467857630</v>
      </c>
      <c r="AS154" s="9">
        <v>467857630</v>
      </c>
      <c r="AT154" s="9">
        <v>467857630</v>
      </c>
      <c r="AU154" s="9">
        <v>467857630</v>
      </c>
      <c r="AV154" s="9">
        <v>467857630</v>
      </c>
      <c r="AW154" s="9">
        <v>467857630</v>
      </c>
      <c r="AX154" s="9">
        <v>467857630</v>
      </c>
      <c r="AY154" s="9">
        <v>467857630</v>
      </c>
      <c r="AZ154" s="9">
        <v>467857630</v>
      </c>
      <c r="BA154" s="9">
        <v>467857630</v>
      </c>
      <c r="BB154" s="31">
        <v>467857630</v>
      </c>
      <c r="BC154" s="9">
        <v>371219703</v>
      </c>
      <c r="BD154" s="9">
        <v>371219703</v>
      </c>
      <c r="BE154" s="9">
        <v>371219703</v>
      </c>
      <c r="BF154" s="9">
        <v>371219703</v>
      </c>
      <c r="BG154" s="9">
        <v>371219703</v>
      </c>
      <c r="BH154" s="9">
        <v>371219703</v>
      </c>
      <c r="BI154" s="9">
        <v>371219703</v>
      </c>
      <c r="BJ154" s="9">
        <v>371219703</v>
      </c>
      <c r="BK154" s="9">
        <v>371219703</v>
      </c>
      <c r="BL154" s="9">
        <v>371219703</v>
      </c>
      <c r="BM154" s="9">
        <v>371219703</v>
      </c>
      <c r="BN154" s="9">
        <v>371219703</v>
      </c>
      <c r="BO154" s="31">
        <v>371219703</v>
      </c>
      <c r="BP154" s="9">
        <v>776352146</v>
      </c>
      <c r="BQ154" s="9">
        <v>776352146</v>
      </c>
      <c r="BR154" s="9">
        <v>776352146</v>
      </c>
      <c r="BS154" s="9">
        <v>776352146</v>
      </c>
      <c r="BT154" s="9">
        <v>776352146</v>
      </c>
      <c r="BU154" s="9">
        <v>776352146</v>
      </c>
      <c r="BV154" s="9">
        <v>776352146</v>
      </c>
      <c r="BW154" s="9">
        <v>776352146</v>
      </c>
      <c r="BX154" s="9">
        <v>776352146</v>
      </c>
      <c r="BY154" s="9">
        <v>776352146</v>
      </c>
      <c r="BZ154" s="9">
        <v>776352146</v>
      </c>
      <c r="CA154" s="9">
        <v>776352146</v>
      </c>
      <c r="CB154" s="31">
        <v>776352146</v>
      </c>
    </row>
    <row r="155" spans="2:80" x14ac:dyDescent="0.3">
      <c r="B155" s="7" t="s">
        <v>55</v>
      </c>
      <c r="C155" s="9">
        <v>64770681</v>
      </c>
      <c r="D155" s="9">
        <v>64770681</v>
      </c>
      <c r="E155" s="9">
        <v>64770681</v>
      </c>
      <c r="F155" s="9">
        <v>64770681</v>
      </c>
      <c r="G155" s="9">
        <v>64770681</v>
      </c>
      <c r="H155" s="9">
        <v>64770681</v>
      </c>
      <c r="I155" s="9">
        <v>64770681</v>
      </c>
      <c r="J155" s="9">
        <v>64770681</v>
      </c>
      <c r="K155" s="9">
        <v>64770681</v>
      </c>
      <c r="L155" s="9">
        <v>64770681</v>
      </c>
      <c r="M155" s="9">
        <v>64770681</v>
      </c>
      <c r="N155" s="9">
        <v>64770681</v>
      </c>
      <c r="O155" s="31">
        <v>64770681</v>
      </c>
      <c r="P155" s="9">
        <v>77138039</v>
      </c>
      <c r="Q155" s="9">
        <v>77138039</v>
      </c>
      <c r="R155" s="9">
        <v>77138039</v>
      </c>
      <c r="S155" s="9">
        <v>77138039</v>
      </c>
      <c r="T155" s="9">
        <v>77138039</v>
      </c>
      <c r="U155" s="9">
        <v>77138039</v>
      </c>
      <c r="V155" s="9">
        <v>77138039</v>
      </c>
      <c r="W155" s="9">
        <v>77138039</v>
      </c>
      <c r="X155" s="9">
        <v>77138039</v>
      </c>
      <c r="Y155" s="9">
        <v>77138039</v>
      </c>
      <c r="Z155" s="9">
        <v>77138039</v>
      </c>
      <c r="AA155" s="9">
        <v>77138039</v>
      </c>
      <c r="AB155" s="31">
        <v>77138039</v>
      </c>
      <c r="AC155" s="9">
        <v>130494761</v>
      </c>
      <c r="AD155" s="9">
        <v>130494761</v>
      </c>
      <c r="AE155" s="9">
        <v>130494761</v>
      </c>
      <c r="AF155" s="9">
        <v>130494761</v>
      </c>
      <c r="AG155" s="9">
        <v>130494761</v>
      </c>
      <c r="AH155" s="9">
        <v>130494761</v>
      </c>
      <c r="AI155" s="9">
        <v>130494761</v>
      </c>
      <c r="AJ155" s="9">
        <v>130494761</v>
      </c>
      <c r="AK155" s="9">
        <v>130494761</v>
      </c>
      <c r="AL155" s="9">
        <v>130494761</v>
      </c>
      <c r="AM155" s="9">
        <v>130494761</v>
      </c>
      <c r="AN155" s="9">
        <v>130494761</v>
      </c>
      <c r="AO155" s="31">
        <v>130494761</v>
      </c>
      <c r="AP155" s="9">
        <v>164160945</v>
      </c>
      <c r="AQ155" s="9">
        <v>164160945</v>
      </c>
      <c r="AR155" s="9">
        <v>164160945</v>
      </c>
      <c r="AS155" s="9">
        <v>164160945</v>
      </c>
      <c r="AT155" s="9">
        <v>164160945</v>
      </c>
      <c r="AU155" s="9">
        <v>164160945</v>
      </c>
      <c r="AV155" s="9">
        <v>164160945</v>
      </c>
      <c r="AW155" s="9">
        <v>164160945</v>
      </c>
      <c r="AX155" s="9">
        <v>164160945</v>
      </c>
      <c r="AY155" s="9">
        <v>164160945</v>
      </c>
      <c r="AZ155" s="9">
        <v>164160945</v>
      </c>
      <c r="BA155" s="9">
        <v>164160945</v>
      </c>
      <c r="BB155" s="31">
        <v>164160945</v>
      </c>
      <c r="BC155" s="9">
        <v>192275210</v>
      </c>
      <c r="BD155" s="9">
        <v>192275210</v>
      </c>
      <c r="BE155" s="9">
        <v>192275210</v>
      </c>
      <c r="BF155" s="9">
        <v>192275210</v>
      </c>
      <c r="BG155" s="9">
        <v>192275210</v>
      </c>
      <c r="BH155" s="9">
        <v>192275210</v>
      </c>
      <c r="BI155" s="9">
        <v>192275210</v>
      </c>
      <c r="BJ155" s="9">
        <v>192275210</v>
      </c>
      <c r="BK155" s="9">
        <v>192275210</v>
      </c>
      <c r="BL155" s="9">
        <v>192275210</v>
      </c>
      <c r="BM155" s="9">
        <v>192275210</v>
      </c>
      <c r="BN155" s="9">
        <v>192275210</v>
      </c>
      <c r="BO155" s="31">
        <v>192275210</v>
      </c>
      <c r="BP155" s="9">
        <v>196116811</v>
      </c>
      <c r="BQ155" s="9">
        <v>196116811</v>
      </c>
      <c r="BR155" s="9">
        <v>196116811</v>
      </c>
      <c r="BS155" s="9">
        <v>196116811</v>
      </c>
      <c r="BT155" s="9">
        <v>196116811</v>
      </c>
      <c r="BU155" s="9">
        <v>196116811</v>
      </c>
      <c r="BV155" s="9">
        <v>196116811</v>
      </c>
      <c r="BW155" s="9">
        <v>196116811</v>
      </c>
      <c r="BX155" s="9">
        <v>196116811</v>
      </c>
      <c r="BY155" s="9">
        <v>196116811</v>
      </c>
      <c r="BZ155" s="9">
        <v>196116811</v>
      </c>
      <c r="CA155" s="9">
        <v>196116811</v>
      </c>
      <c r="CB155" s="31">
        <v>196116811</v>
      </c>
    </row>
    <row r="156" spans="2:80" x14ac:dyDescent="0.3">
      <c r="B156" s="7" t="s">
        <v>56</v>
      </c>
      <c r="C156" s="9">
        <v>129534134</v>
      </c>
      <c r="D156" s="9">
        <v>129534134</v>
      </c>
      <c r="E156" s="9">
        <v>129534134</v>
      </c>
      <c r="F156" s="9">
        <v>129534134</v>
      </c>
      <c r="G156" s="9">
        <v>129534134</v>
      </c>
      <c r="H156" s="9">
        <v>129534134</v>
      </c>
      <c r="I156" s="9">
        <v>129534134</v>
      </c>
      <c r="J156" s="9">
        <v>129534134</v>
      </c>
      <c r="K156" s="9">
        <v>129534134</v>
      </c>
      <c r="L156" s="9">
        <v>129534134</v>
      </c>
      <c r="M156" s="9">
        <v>129534134</v>
      </c>
      <c r="N156" s="9">
        <v>129534134</v>
      </c>
      <c r="O156" s="31">
        <v>129534134</v>
      </c>
      <c r="P156" s="9">
        <v>145731691</v>
      </c>
      <c r="Q156" s="9">
        <v>145731691</v>
      </c>
      <c r="R156" s="9">
        <v>145731691</v>
      </c>
      <c r="S156" s="9">
        <v>145731691</v>
      </c>
      <c r="T156" s="9">
        <v>145731691</v>
      </c>
      <c r="U156" s="9">
        <v>145731691</v>
      </c>
      <c r="V156" s="9">
        <v>145731691</v>
      </c>
      <c r="W156" s="9">
        <v>145731691</v>
      </c>
      <c r="X156" s="9">
        <v>145731691</v>
      </c>
      <c r="Y156" s="9">
        <v>145731691</v>
      </c>
      <c r="Z156" s="9">
        <v>145731691</v>
      </c>
      <c r="AA156" s="9">
        <v>145731691</v>
      </c>
      <c r="AB156" s="31">
        <v>145731691</v>
      </c>
      <c r="AC156" s="9">
        <v>175636178</v>
      </c>
      <c r="AD156" s="9">
        <v>175636178</v>
      </c>
      <c r="AE156" s="9">
        <v>175636178</v>
      </c>
      <c r="AF156" s="9">
        <v>175636178</v>
      </c>
      <c r="AG156" s="9">
        <v>175636178</v>
      </c>
      <c r="AH156" s="9">
        <v>175636178</v>
      </c>
      <c r="AI156" s="9">
        <v>175636178</v>
      </c>
      <c r="AJ156" s="9">
        <v>175636178</v>
      </c>
      <c r="AK156" s="9">
        <v>175636178</v>
      </c>
      <c r="AL156" s="9">
        <v>175636178</v>
      </c>
      <c r="AM156" s="9">
        <v>175636178</v>
      </c>
      <c r="AN156" s="9">
        <v>175636178</v>
      </c>
      <c r="AO156" s="31">
        <v>175636178</v>
      </c>
      <c r="AP156" s="9">
        <v>190965901</v>
      </c>
      <c r="AQ156" s="9">
        <v>190965901</v>
      </c>
      <c r="AR156" s="9">
        <v>190965901</v>
      </c>
      <c r="AS156" s="9">
        <v>190965901</v>
      </c>
      <c r="AT156" s="9">
        <v>190965901</v>
      </c>
      <c r="AU156" s="9">
        <v>190965901</v>
      </c>
      <c r="AV156" s="9">
        <v>190965901</v>
      </c>
      <c r="AW156" s="9">
        <v>190965901</v>
      </c>
      <c r="AX156" s="9">
        <v>190965901</v>
      </c>
      <c r="AY156" s="9">
        <v>190965901</v>
      </c>
      <c r="AZ156" s="9">
        <v>190965901</v>
      </c>
      <c r="BA156" s="9">
        <v>190965901</v>
      </c>
      <c r="BB156" s="31">
        <v>190965901</v>
      </c>
      <c r="BC156" s="9">
        <v>263292274</v>
      </c>
      <c r="BD156" s="9">
        <v>263292274</v>
      </c>
      <c r="BE156" s="9">
        <v>263292274</v>
      </c>
      <c r="BF156" s="9">
        <v>263292274</v>
      </c>
      <c r="BG156" s="9">
        <v>263292274</v>
      </c>
      <c r="BH156" s="9">
        <v>263292274</v>
      </c>
      <c r="BI156" s="9">
        <v>263292274</v>
      </c>
      <c r="BJ156" s="9">
        <v>263292274</v>
      </c>
      <c r="BK156" s="9">
        <v>263292274</v>
      </c>
      <c r="BL156" s="9">
        <v>263292274</v>
      </c>
      <c r="BM156" s="9">
        <v>263292274</v>
      </c>
      <c r="BN156" s="9">
        <v>263292274</v>
      </c>
      <c r="BO156" s="31">
        <v>263292274</v>
      </c>
      <c r="BP156" s="9">
        <v>237880088</v>
      </c>
      <c r="BQ156" s="9">
        <v>237880088</v>
      </c>
      <c r="BR156" s="9">
        <v>237880088</v>
      </c>
      <c r="BS156" s="9">
        <v>237880088</v>
      </c>
      <c r="BT156" s="9">
        <v>237880088</v>
      </c>
      <c r="BU156" s="9">
        <v>237880088</v>
      </c>
      <c r="BV156" s="9">
        <v>237880088</v>
      </c>
      <c r="BW156" s="9">
        <v>237880088</v>
      </c>
      <c r="BX156" s="9">
        <v>237880088</v>
      </c>
      <c r="BY156" s="9">
        <v>237880088</v>
      </c>
      <c r="BZ156" s="9">
        <v>237880088</v>
      </c>
      <c r="CA156" s="9">
        <v>237880088</v>
      </c>
      <c r="CB156" s="31">
        <v>237880088</v>
      </c>
    </row>
    <row r="157" spans="2:80" x14ac:dyDescent="0.3">
      <c r="B157" s="7" t="s">
        <v>57</v>
      </c>
      <c r="C157" s="9">
        <v>26708956</v>
      </c>
      <c r="D157" s="9">
        <v>26708956</v>
      </c>
      <c r="E157" s="9">
        <v>26708956</v>
      </c>
      <c r="F157" s="9">
        <v>26708956</v>
      </c>
      <c r="G157" s="9">
        <v>26708956</v>
      </c>
      <c r="H157" s="9">
        <v>26708956</v>
      </c>
      <c r="I157" s="9">
        <v>26708956</v>
      </c>
      <c r="J157" s="9">
        <v>26708956</v>
      </c>
      <c r="K157" s="9">
        <v>26708956</v>
      </c>
      <c r="L157" s="9">
        <v>26708956</v>
      </c>
      <c r="M157" s="9">
        <v>26708956</v>
      </c>
      <c r="N157" s="9">
        <v>26708956</v>
      </c>
      <c r="O157" s="31">
        <v>26708956</v>
      </c>
      <c r="P157" s="9">
        <v>67680251</v>
      </c>
      <c r="Q157" s="9">
        <v>67680251</v>
      </c>
      <c r="R157" s="9">
        <v>67680251</v>
      </c>
      <c r="S157" s="9">
        <v>67680251</v>
      </c>
      <c r="T157" s="9">
        <v>67680251</v>
      </c>
      <c r="U157" s="9">
        <v>67680251</v>
      </c>
      <c r="V157" s="9">
        <v>67680251</v>
      </c>
      <c r="W157" s="9">
        <v>67680251</v>
      </c>
      <c r="X157" s="9">
        <v>67680251</v>
      </c>
      <c r="Y157" s="9">
        <v>67680251</v>
      </c>
      <c r="Z157" s="9">
        <v>67680251</v>
      </c>
      <c r="AA157" s="9">
        <v>67680251</v>
      </c>
      <c r="AB157" s="31">
        <v>67680251</v>
      </c>
      <c r="AC157" s="9">
        <v>111469115</v>
      </c>
      <c r="AD157" s="9">
        <v>111469115</v>
      </c>
      <c r="AE157" s="9">
        <v>111469115</v>
      </c>
      <c r="AF157" s="9">
        <v>111469115</v>
      </c>
      <c r="AG157" s="9">
        <v>111469115</v>
      </c>
      <c r="AH157" s="9">
        <v>111469115</v>
      </c>
      <c r="AI157" s="9">
        <v>111469115</v>
      </c>
      <c r="AJ157" s="9">
        <v>111469115</v>
      </c>
      <c r="AK157" s="9">
        <v>111469115</v>
      </c>
      <c r="AL157" s="9">
        <v>111469115</v>
      </c>
      <c r="AM157" s="9">
        <v>111469115</v>
      </c>
      <c r="AN157" s="9">
        <v>111469115</v>
      </c>
      <c r="AO157" s="31">
        <v>111469115</v>
      </c>
      <c r="AP157" s="9">
        <v>116664561</v>
      </c>
      <c r="AQ157" s="9">
        <v>116664561</v>
      </c>
      <c r="AR157" s="9">
        <v>116664561</v>
      </c>
      <c r="AS157" s="9">
        <v>116664561</v>
      </c>
      <c r="AT157" s="9">
        <v>116664561</v>
      </c>
      <c r="AU157" s="9">
        <v>116664561</v>
      </c>
      <c r="AV157" s="9">
        <v>116664561</v>
      </c>
      <c r="AW157" s="9">
        <v>116664561</v>
      </c>
      <c r="AX157" s="9">
        <v>116664561</v>
      </c>
      <c r="AY157" s="9">
        <v>116664561</v>
      </c>
      <c r="AZ157" s="9">
        <v>116664561</v>
      </c>
      <c r="BA157" s="9">
        <v>116664561</v>
      </c>
      <c r="BB157" s="31">
        <v>116664561</v>
      </c>
      <c r="BC157" s="9">
        <v>154915622</v>
      </c>
      <c r="BD157" s="9">
        <v>154915622</v>
      </c>
      <c r="BE157" s="9">
        <v>154915622</v>
      </c>
      <c r="BF157" s="9">
        <v>154915622</v>
      </c>
      <c r="BG157" s="9">
        <v>154915622</v>
      </c>
      <c r="BH157" s="9">
        <v>154915622</v>
      </c>
      <c r="BI157" s="9">
        <v>154915622</v>
      </c>
      <c r="BJ157" s="9">
        <v>154915622</v>
      </c>
      <c r="BK157" s="9">
        <v>154915622</v>
      </c>
      <c r="BL157" s="9">
        <v>154915622</v>
      </c>
      <c r="BM157" s="9">
        <v>154915622</v>
      </c>
      <c r="BN157" s="9">
        <v>154915622</v>
      </c>
      <c r="BO157" s="31">
        <v>154915622</v>
      </c>
      <c r="BP157" s="9">
        <v>185909865</v>
      </c>
      <c r="BQ157" s="9">
        <v>185909865</v>
      </c>
      <c r="BR157" s="9">
        <v>185909865</v>
      </c>
      <c r="BS157" s="9">
        <v>185909865</v>
      </c>
      <c r="BT157" s="9">
        <v>185909865</v>
      </c>
      <c r="BU157" s="9">
        <v>185909865</v>
      </c>
      <c r="BV157" s="9">
        <v>185909865</v>
      </c>
      <c r="BW157" s="9">
        <v>185909865</v>
      </c>
      <c r="BX157" s="9">
        <v>185909865</v>
      </c>
      <c r="BY157" s="9">
        <v>185909865</v>
      </c>
      <c r="BZ157" s="9">
        <v>185909865</v>
      </c>
      <c r="CA157" s="9">
        <v>185909865</v>
      </c>
      <c r="CB157" s="31">
        <v>185909865</v>
      </c>
    </row>
    <row r="158" spans="2:80" x14ac:dyDescent="0.3">
      <c r="B158" s="7" t="s">
        <v>58</v>
      </c>
      <c r="C158" s="9">
        <v>259570845</v>
      </c>
      <c r="D158" s="9">
        <v>259570845</v>
      </c>
      <c r="E158" s="9">
        <v>259570845</v>
      </c>
      <c r="F158" s="9">
        <v>259570845</v>
      </c>
      <c r="G158" s="9">
        <v>259570845</v>
      </c>
      <c r="H158" s="9">
        <v>259570845</v>
      </c>
      <c r="I158" s="9">
        <v>259570845</v>
      </c>
      <c r="J158" s="9">
        <v>259570845</v>
      </c>
      <c r="K158" s="9">
        <v>259570845</v>
      </c>
      <c r="L158" s="9">
        <v>259570845</v>
      </c>
      <c r="M158" s="9">
        <v>259570845</v>
      </c>
      <c r="N158" s="9">
        <v>259570845</v>
      </c>
      <c r="O158" s="31">
        <v>259570845</v>
      </c>
      <c r="P158" s="9">
        <v>229958421</v>
      </c>
      <c r="Q158" s="9">
        <v>229958421</v>
      </c>
      <c r="R158" s="9">
        <v>229958421</v>
      </c>
      <c r="S158" s="9">
        <v>229958421</v>
      </c>
      <c r="T158" s="9">
        <v>229958421</v>
      </c>
      <c r="U158" s="9">
        <v>229958421</v>
      </c>
      <c r="V158" s="9">
        <v>229958421</v>
      </c>
      <c r="W158" s="9">
        <v>229958421</v>
      </c>
      <c r="X158" s="9">
        <v>229958421</v>
      </c>
      <c r="Y158" s="9">
        <v>229958421</v>
      </c>
      <c r="Z158" s="9">
        <v>229958421</v>
      </c>
      <c r="AA158" s="9">
        <v>229958421</v>
      </c>
      <c r="AB158" s="31">
        <v>229958421</v>
      </c>
      <c r="AC158" s="9">
        <v>219835704</v>
      </c>
      <c r="AD158" s="9">
        <v>219835704</v>
      </c>
      <c r="AE158" s="9">
        <v>219835704</v>
      </c>
      <c r="AF158" s="9">
        <v>219835704</v>
      </c>
      <c r="AG158" s="9">
        <v>219835704</v>
      </c>
      <c r="AH158" s="9">
        <v>219835704</v>
      </c>
      <c r="AI158" s="9">
        <v>219835704</v>
      </c>
      <c r="AJ158" s="9">
        <v>219835704</v>
      </c>
      <c r="AK158" s="9">
        <v>219835704</v>
      </c>
      <c r="AL158" s="9">
        <v>219835704</v>
      </c>
      <c r="AM158" s="9">
        <v>219835704</v>
      </c>
      <c r="AN158" s="9">
        <v>219835704</v>
      </c>
      <c r="AO158" s="31">
        <v>219835704</v>
      </c>
      <c r="AP158" s="9">
        <v>293321880</v>
      </c>
      <c r="AQ158" s="9">
        <v>293321880</v>
      </c>
      <c r="AR158" s="9">
        <v>293321880</v>
      </c>
      <c r="AS158" s="9">
        <v>293321880</v>
      </c>
      <c r="AT158" s="9">
        <v>293321880</v>
      </c>
      <c r="AU158" s="9">
        <v>293321880</v>
      </c>
      <c r="AV158" s="9">
        <v>293321880</v>
      </c>
      <c r="AW158" s="9">
        <v>293321880</v>
      </c>
      <c r="AX158" s="9">
        <v>293321880</v>
      </c>
      <c r="AY158" s="9">
        <v>293321880</v>
      </c>
      <c r="AZ158" s="9">
        <v>293321880</v>
      </c>
      <c r="BA158" s="9">
        <v>293321880</v>
      </c>
      <c r="BB158" s="31">
        <v>293321880</v>
      </c>
      <c r="BC158" s="9">
        <v>339023824</v>
      </c>
      <c r="BD158" s="9">
        <v>339023824</v>
      </c>
      <c r="BE158" s="9">
        <v>339023824</v>
      </c>
      <c r="BF158" s="9">
        <v>339023824</v>
      </c>
      <c r="BG158" s="9">
        <v>339023824</v>
      </c>
      <c r="BH158" s="9">
        <v>339023824</v>
      </c>
      <c r="BI158" s="9">
        <v>339023824</v>
      </c>
      <c r="BJ158" s="9">
        <v>339023824</v>
      </c>
      <c r="BK158" s="9">
        <v>339023824</v>
      </c>
      <c r="BL158" s="9">
        <v>339023824</v>
      </c>
      <c r="BM158" s="9">
        <v>339023824</v>
      </c>
      <c r="BN158" s="9">
        <v>339023824</v>
      </c>
      <c r="BO158" s="31">
        <v>339023824</v>
      </c>
      <c r="BP158" s="9">
        <v>343891426</v>
      </c>
      <c r="BQ158" s="9">
        <v>343891426</v>
      </c>
      <c r="BR158" s="9">
        <v>343891426</v>
      </c>
      <c r="BS158" s="9">
        <v>343891426</v>
      </c>
      <c r="BT158" s="9">
        <v>343891426</v>
      </c>
      <c r="BU158" s="9">
        <v>343891426</v>
      </c>
      <c r="BV158" s="9">
        <v>343891426</v>
      </c>
      <c r="BW158" s="9">
        <v>343891426</v>
      </c>
      <c r="BX158" s="9">
        <v>343891426</v>
      </c>
      <c r="BY158" s="9">
        <v>343891426</v>
      </c>
      <c r="BZ158" s="9">
        <v>343891426</v>
      </c>
      <c r="CA158" s="9">
        <v>343891426</v>
      </c>
      <c r="CB158" s="31">
        <v>343891426</v>
      </c>
    </row>
    <row r="159" spans="2:80" x14ac:dyDescent="0.3">
      <c r="B159" s="7" t="s">
        <v>59</v>
      </c>
      <c r="C159" s="9">
        <v>179860668</v>
      </c>
      <c r="D159" s="9">
        <v>179860668</v>
      </c>
      <c r="E159" s="9">
        <v>179860668</v>
      </c>
      <c r="F159" s="9">
        <v>179860668</v>
      </c>
      <c r="G159" s="9">
        <v>179860668</v>
      </c>
      <c r="H159" s="9">
        <v>179860668</v>
      </c>
      <c r="I159" s="9">
        <v>179860668</v>
      </c>
      <c r="J159" s="9">
        <v>179860668</v>
      </c>
      <c r="K159" s="9">
        <v>179860668</v>
      </c>
      <c r="L159" s="9">
        <v>179860668</v>
      </c>
      <c r="M159" s="9">
        <v>179860668</v>
      </c>
      <c r="N159" s="9">
        <v>179860668</v>
      </c>
      <c r="O159" s="31">
        <v>179860668</v>
      </c>
      <c r="P159" s="9">
        <v>158633262</v>
      </c>
      <c r="Q159" s="9">
        <v>158633262</v>
      </c>
      <c r="R159" s="9">
        <v>158633262</v>
      </c>
      <c r="S159" s="9">
        <v>158633262</v>
      </c>
      <c r="T159" s="9">
        <v>158633262</v>
      </c>
      <c r="U159" s="9">
        <v>158633262</v>
      </c>
      <c r="V159" s="9">
        <v>158633262</v>
      </c>
      <c r="W159" s="9">
        <v>158633262</v>
      </c>
      <c r="X159" s="9">
        <v>158633262</v>
      </c>
      <c r="Y159" s="9">
        <v>158633262</v>
      </c>
      <c r="Z159" s="9">
        <v>158633262</v>
      </c>
      <c r="AA159" s="9">
        <v>158633262</v>
      </c>
      <c r="AB159" s="31">
        <v>158633262</v>
      </c>
      <c r="AC159" s="9">
        <v>194797448</v>
      </c>
      <c r="AD159" s="9">
        <v>194797448</v>
      </c>
      <c r="AE159" s="9">
        <v>194797448</v>
      </c>
      <c r="AF159" s="9">
        <v>194797448</v>
      </c>
      <c r="AG159" s="9">
        <v>194797448</v>
      </c>
      <c r="AH159" s="9">
        <v>194797448</v>
      </c>
      <c r="AI159" s="9">
        <v>194797448</v>
      </c>
      <c r="AJ159" s="9">
        <v>194797448</v>
      </c>
      <c r="AK159" s="9">
        <v>194797448</v>
      </c>
      <c r="AL159" s="9">
        <v>194797448</v>
      </c>
      <c r="AM159" s="9">
        <v>194797448</v>
      </c>
      <c r="AN159" s="9">
        <v>194797448</v>
      </c>
      <c r="AO159" s="31">
        <v>194797448</v>
      </c>
      <c r="AP159" s="9">
        <v>249756619</v>
      </c>
      <c r="AQ159" s="9">
        <v>249756619</v>
      </c>
      <c r="AR159" s="9">
        <v>249756619</v>
      </c>
      <c r="AS159" s="9">
        <v>249756619</v>
      </c>
      <c r="AT159" s="9">
        <v>249756619</v>
      </c>
      <c r="AU159" s="9">
        <v>249756619</v>
      </c>
      <c r="AV159" s="9">
        <v>249756619</v>
      </c>
      <c r="AW159" s="9">
        <v>249756619</v>
      </c>
      <c r="AX159" s="9">
        <v>249756619</v>
      </c>
      <c r="AY159" s="9">
        <v>249756619</v>
      </c>
      <c r="AZ159" s="9">
        <v>249756619</v>
      </c>
      <c r="BA159" s="9">
        <v>249756619</v>
      </c>
      <c r="BB159" s="31">
        <v>249756619</v>
      </c>
      <c r="BC159" s="9">
        <v>284310890</v>
      </c>
      <c r="BD159" s="9">
        <v>284310890</v>
      </c>
      <c r="BE159" s="9">
        <v>284310890</v>
      </c>
      <c r="BF159" s="9">
        <v>284310890</v>
      </c>
      <c r="BG159" s="9">
        <v>284310890</v>
      </c>
      <c r="BH159" s="9">
        <v>284310890</v>
      </c>
      <c r="BI159" s="9">
        <v>284310890</v>
      </c>
      <c r="BJ159" s="9">
        <v>284310890</v>
      </c>
      <c r="BK159" s="9">
        <v>284310890</v>
      </c>
      <c r="BL159" s="9">
        <v>284310890</v>
      </c>
      <c r="BM159" s="9">
        <v>284310890</v>
      </c>
      <c r="BN159" s="9">
        <v>284310890</v>
      </c>
      <c r="BO159" s="31">
        <v>284310890</v>
      </c>
      <c r="BP159" s="9">
        <v>280082307</v>
      </c>
      <c r="BQ159" s="9">
        <v>280082307</v>
      </c>
      <c r="BR159" s="9">
        <v>280082307</v>
      </c>
      <c r="BS159" s="9">
        <v>280082307</v>
      </c>
      <c r="BT159" s="9">
        <v>280082307</v>
      </c>
      <c r="BU159" s="9">
        <v>280082307</v>
      </c>
      <c r="BV159" s="9">
        <v>280082307</v>
      </c>
      <c r="BW159" s="9">
        <v>280082307</v>
      </c>
      <c r="BX159" s="9">
        <v>280082307</v>
      </c>
      <c r="BY159" s="9">
        <v>280082307</v>
      </c>
      <c r="BZ159" s="9">
        <v>280082307</v>
      </c>
      <c r="CA159" s="9">
        <v>280082307</v>
      </c>
      <c r="CB159" s="31">
        <v>280082307</v>
      </c>
    </row>
    <row r="160" spans="2:80" x14ac:dyDescent="0.3">
      <c r="B160" s="7" t="s">
        <v>60</v>
      </c>
      <c r="C160" s="9">
        <v>54674637</v>
      </c>
      <c r="D160" s="9">
        <v>54674637</v>
      </c>
      <c r="E160" s="9">
        <v>54674637</v>
      </c>
      <c r="F160" s="9">
        <v>54674637</v>
      </c>
      <c r="G160" s="9">
        <v>54674637</v>
      </c>
      <c r="H160" s="9">
        <v>54674637</v>
      </c>
      <c r="I160" s="9">
        <v>54674637</v>
      </c>
      <c r="J160" s="9">
        <v>54674637</v>
      </c>
      <c r="K160" s="9">
        <v>54674637</v>
      </c>
      <c r="L160" s="9">
        <v>54674637</v>
      </c>
      <c r="M160" s="9">
        <v>54674637</v>
      </c>
      <c r="N160" s="9">
        <v>54674637</v>
      </c>
      <c r="O160" s="31">
        <v>54674637</v>
      </c>
      <c r="P160" s="9">
        <v>65122616</v>
      </c>
      <c r="Q160" s="9">
        <v>65122616</v>
      </c>
      <c r="R160" s="9">
        <v>65122616</v>
      </c>
      <c r="S160" s="9">
        <v>65122616</v>
      </c>
      <c r="T160" s="9">
        <v>65122616</v>
      </c>
      <c r="U160" s="9">
        <v>65122616</v>
      </c>
      <c r="V160" s="9">
        <v>65122616</v>
      </c>
      <c r="W160" s="9">
        <v>65122616</v>
      </c>
      <c r="X160" s="9">
        <v>65122616</v>
      </c>
      <c r="Y160" s="9">
        <v>65122616</v>
      </c>
      <c r="Z160" s="9">
        <v>65122616</v>
      </c>
      <c r="AA160" s="9">
        <v>65122616</v>
      </c>
      <c r="AB160" s="31">
        <v>65122616</v>
      </c>
      <c r="AC160" s="9">
        <v>71702362</v>
      </c>
      <c r="AD160" s="9">
        <v>71702362</v>
      </c>
      <c r="AE160" s="9">
        <v>71702362</v>
      </c>
      <c r="AF160" s="9">
        <v>71702362</v>
      </c>
      <c r="AG160" s="9">
        <v>71702362</v>
      </c>
      <c r="AH160" s="9">
        <v>71702362</v>
      </c>
      <c r="AI160" s="9">
        <v>71702362</v>
      </c>
      <c r="AJ160" s="9">
        <v>71702362</v>
      </c>
      <c r="AK160" s="9">
        <v>71702362</v>
      </c>
      <c r="AL160" s="9">
        <v>71702362</v>
      </c>
      <c r="AM160" s="9">
        <v>71702362</v>
      </c>
      <c r="AN160" s="9">
        <v>71702362</v>
      </c>
      <c r="AO160" s="31">
        <v>71702362</v>
      </c>
      <c r="AP160" s="9">
        <v>85120131</v>
      </c>
      <c r="AQ160" s="9">
        <v>85120131</v>
      </c>
      <c r="AR160" s="9">
        <v>85120131</v>
      </c>
      <c r="AS160" s="9">
        <v>85120131</v>
      </c>
      <c r="AT160" s="9">
        <v>85120131</v>
      </c>
      <c r="AU160" s="9">
        <v>85120131</v>
      </c>
      <c r="AV160" s="9">
        <v>85120131</v>
      </c>
      <c r="AW160" s="9">
        <v>85120131</v>
      </c>
      <c r="AX160" s="9">
        <v>85120131</v>
      </c>
      <c r="AY160" s="9">
        <v>85120131</v>
      </c>
      <c r="AZ160" s="9">
        <v>85120131</v>
      </c>
      <c r="BA160" s="9">
        <v>85120131</v>
      </c>
      <c r="BB160" s="31">
        <v>85120131</v>
      </c>
      <c r="BC160" s="9">
        <v>105212754</v>
      </c>
      <c r="BD160" s="9">
        <v>105212754</v>
      </c>
      <c r="BE160" s="9">
        <v>105212754</v>
      </c>
      <c r="BF160" s="9">
        <v>105212754</v>
      </c>
      <c r="BG160" s="9">
        <v>105212754</v>
      </c>
      <c r="BH160" s="9">
        <v>105212754</v>
      </c>
      <c r="BI160" s="9">
        <v>105212754</v>
      </c>
      <c r="BJ160" s="9">
        <v>105212754</v>
      </c>
      <c r="BK160" s="9">
        <v>105212754</v>
      </c>
      <c r="BL160" s="9">
        <v>105212754</v>
      </c>
      <c r="BM160" s="9">
        <v>105212754</v>
      </c>
      <c r="BN160" s="9">
        <v>105212754</v>
      </c>
      <c r="BO160" s="31">
        <v>105212754</v>
      </c>
      <c r="BP160" s="9">
        <v>84118714</v>
      </c>
      <c r="BQ160" s="9">
        <v>84118714</v>
      </c>
      <c r="BR160" s="9">
        <v>84118714</v>
      </c>
      <c r="BS160" s="9">
        <v>84118714</v>
      </c>
      <c r="BT160" s="9">
        <v>84118714</v>
      </c>
      <c r="BU160" s="9">
        <v>84118714</v>
      </c>
      <c r="BV160" s="9">
        <v>84118714</v>
      </c>
      <c r="BW160" s="9">
        <v>84118714</v>
      </c>
      <c r="BX160" s="9">
        <v>84118714</v>
      </c>
      <c r="BY160" s="9">
        <v>84118714</v>
      </c>
      <c r="BZ160" s="9">
        <v>84118714</v>
      </c>
      <c r="CA160" s="9">
        <v>84118714</v>
      </c>
      <c r="CB160" s="31">
        <v>84118714</v>
      </c>
    </row>
    <row r="161" spans="2:80" x14ac:dyDescent="0.3">
      <c r="B161" s="7" t="s">
        <v>61</v>
      </c>
      <c r="C161" s="9">
        <v>110753672</v>
      </c>
      <c r="D161" s="9">
        <v>110753672</v>
      </c>
      <c r="E161" s="9">
        <v>110753672</v>
      </c>
      <c r="F161" s="9">
        <v>110753672</v>
      </c>
      <c r="G161" s="9">
        <v>110753672</v>
      </c>
      <c r="H161" s="9">
        <v>110753672</v>
      </c>
      <c r="I161" s="9">
        <v>110753672</v>
      </c>
      <c r="J161" s="9">
        <v>110753672</v>
      </c>
      <c r="K161" s="9">
        <v>110753672</v>
      </c>
      <c r="L161" s="9">
        <v>110753672</v>
      </c>
      <c r="M161" s="9">
        <v>110753672</v>
      </c>
      <c r="N161" s="9">
        <v>110753672</v>
      </c>
      <c r="O161" s="31">
        <v>110753672</v>
      </c>
      <c r="P161" s="9">
        <v>107124855</v>
      </c>
      <c r="Q161" s="9">
        <v>107124855</v>
      </c>
      <c r="R161" s="9">
        <v>107124855</v>
      </c>
      <c r="S161" s="9">
        <v>107124855</v>
      </c>
      <c r="T161" s="9">
        <v>107124855</v>
      </c>
      <c r="U161" s="9">
        <v>107124855</v>
      </c>
      <c r="V161" s="9">
        <v>107124855</v>
      </c>
      <c r="W161" s="9">
        <v>107124855</v>
      </c>
      <c r="X161" s="9">
        <v>107124855</v>
      </c>
      <c r="Y161" s="9">
        <v>107124855</v>
      </c>
      <c r="Z161" s="9">
        <v>107124855</v>
      </c>
      <c r="AA161" s="9">
        <v>107124855</v>
      </c>
      <c r="AB161" s="31">
        <v>107124855</v>
      </c>
      <c r="AC161" s="9">
        <v>132146653</v>
      </c>
      <c r="AD161" s="9">
        <v>132146653</v>
      </c>
      <c r="AE161" s="9">
        <v>132146653</v>
      </c>
      <c r="AF161" s="9">
        <v>132146653</v>
      </c>
      <c r="AG161" s="9">
        <v>132146653</v>
      </c>
      <c r="AH161" s="9">
        <v>132146653</v>
      </c>
      <c r="AI161" s="9">
        <v>132146653</v>
      </c>
      <c r="AJ161" s="9">
        <v>132146653</v>
      </c>
      <c r="AK161" s="9">
        <v>132146653</v>
      </c>
      <c r="AL161" s="9">
        <v>132146653</v>
      </c>
      <c r="AM161" s="9">
        <v>132146653</v>
      </c>
      <c r="AN161" s="9">
        <v>132146653</v>
      </c>
      <c r="AO161" s="31">
        <v>132146653</v>
      </c>
      <c r="AP161" s="9">
        <v>153857890</v>
      </c>
      <c r="AQ161" s="9">
        <v>153857890</v>
      </c>
      <c r="AR161" s="9">
        <v>153857890</v>
      </c>
      <c r="AS161" s="9">
        <v>153857890</v>
      </c>
      <c r="AT161" s="9">
        <v>153857890</v>
      </c>
      <c r="AU161" s="9">
        <v>153857890</v>
      </c>
      <c r="AV161" s="9">
        <v>153857890</v>
      </c>
      <c r="AW161" s="9">
        <v>153857890</v>
      </c>
      <c r="AX161" s="9">
        <v>153857890</v>
      </c>
      <c r="AY161" s="9">
        <v>153857890</v>
      </c>
      <c r="AZ161" s="9">
        <v>153857890</v>
      </c>
      <c r="BA161" s="9">
        <v>153857890</v>
      </c>
      <c r="BB161" s="31">
        <v>153857890</v>
      </c>
      <c r="BC161" s="9">
        <v>204729212</v>
      </c>
      <c r="BD161" s="9">
        <v>204729212</v>
      </c>
      <c r="BE161" s="9">
        <v>204729212</v>
      </c>
      <c r="BF161" s="9">
        <v>204729212</v>
      </c>
      <c r="BG161" s="9">
        <v>204729212</v>
      </c>
      <c r="BH161" s="9">
        <v>204729212</v>
      </c>
      <c r="BI161" s="9">
        <v>204729212</v>
      </c>
      <c r="BJ161" s="9">
        <v>204729212</v>
      </c>
      <c r="BK161" s="9">
        <v>204729212</v>
      </c>
      <c r="BL161" s="9">
        <v>204729212</v>
      </c>
      <c r="BM161" s="9">
        <v>204729212</v>
      </c>
      <c r="BN161" s="9">
        <v>204729212</v>
      </c>
      <c r="BO161" s="31">
        <v>204729212</v>
      </c>
      <c r="BP161" s="9">
        <v>253550567</v>
      </c>
      <c r="BQ161" s="9">
        <v>253550567</v>
      </c>
      <c r="BR161" s="9">
        <v>253550567</v>
      </c>
      <c r="BS161" s="9">
        <v>253550567</v>
      </c>
      <c r="BT161" s="9">
        <v>253550567</v>
      </c>
      <c r="BU161" s="9">
        <v>253550567</v>
      </c>
      <c r="BV161" s="9">
        <v>253550567</v>
      </c>
      <c r="BW161" s="9">
        <v>253550567</v>
      </c>
      <c r="BX161" s="9">
        <v>253550567</v>
      </c>
      <c r="BY161" s="9">
        <v>253550567</v>
      </c>
      <c r="BZ161" s="9">
        <v>253550567</v>
      </c>
      <c r="CA161" s="9">
        <v>253550567</v>
      </c>
      <c r="CB161" s="31">
        <v>253550567</v>
      </c>
    </row>
    <row r="162" spans="2:80" x14ac:dyDescent="0.3">
      <c r="B162" s="7" t="s">
        <v>62</v>
      </c>
      <c r="C162" s="9">
        <v>20751066</v>
      </c>
      <c r="D162" s="9">
        <v>20751066</v>
      </c>
      <c r="E162" s="9">
        <v>20751066</v>
      </c>
      <c r="F162" s="9">
        <v>20751066</v>
      </c>
      <c r="G162" s="9">
        <v>20751066</v>
      </c>
      <c r="H162" s="9">
        <v>20751066</v>
      </c>
      <c r="I162" s="9">
        <v>20751066</v>
      </c>
      <c r="J162" s="9">
        <v>20751066</v>
      </c>
      <c r="K162" s="9">
        <v>20751066</v>
      </c>
      <c r="L162" s="9">
        <v>20751066</v>
      </c>
      <c r="M162" s="9">
        <v>20751066</v>
      </c>
      <c r="N162" s="9">
        <v>20751066</v>
      </c>
      <c r="O162" s="31">
        <v>20751066</v>
      </c>
      <c r="P162" s="9">
        <v>28166564</v>
      </c>
      <c r="Q162" s="9">
        <v>28166564</v>
      </c>
      <c r="R162" s="9">
        <v>28166564</v>
      </c>
      <c r="S162" s="9">
        <v>28166564</v>
      </c>
      <c r="T162" s="9">
        <v>28166564</v>
      </c>
      <c r="U162" s="9">
        <v>28166564</v>
      </c>
      <c r="V162" s="9">
        <v>28166564</v>
      </c>
      <c r="W162" s="9">
        <v>28166564</v>
      </c>
      <c r="X162" s="9">
        <v>28166564</v>
      </c>
      <c r="Y162" s="9">
        <v>28166564</v>
      </c>
      <c r="Z162" s="9">
        <v>28166564</v>
      </c>
      <c r="AA162" s="9">
        <v>28166564</v>
      </c>
      <c r="AB162" s="31">
        <v>28166564</v>
      </c>
      <c r="AC162" s="9">
        <v>52334886</v>
      </c>
      <c r="AD162" s="9">
        <v>52334886</v>
      </c>
      <c r="AE162" s="9">
        <v>52334886</v>
      </c>
      <c r="AF162" s="9">
        <v>52334886</v>
      </c>
      <c r="AG162" s="9">
        <v>52334886</v>
      </c>
      <c r="AH162" s="9">
        <v>52334886</v>
      </c>
      <c r="AI162" s="9">
        <v>52334886</v>
      </c>
      <c r="AJ162" s="9">
        <v>52334886</v>
      </c>
      <c r="AK162" s="9">
        <v>52334886</v>
      </c>
      <c r="AL162" s="9">
        <v>52334886</v>
      </c>
      <c r="AM162" s="9">
        <v>52334886</v>
      </c>
      <c r="AN162" s="9">
        <v>52334886</v>
      </c>
      <c r="AO162" s="31">
        <v>52334886</v>
      </c>
      <c r="AP162" s="9">
        <v>33487034</v>
      </c>
      <c r="AQ162" s="9">
        <v>33487034</v>
      </c>
      <c r="AR162" s="9">
        <v>33487034</v>
      </c>
      <c r="AS162" s="9">
        <v>33487034</v>
      </c>
      <c r="AT162" s="9">
        <v>33487034</v>
      </c>
      <c r="AU162" s="9">
        <v>33487034</v>
      </c>
      <c r="AV162" s="9">
        <v>33487034</v>
      </c>
      <c r="AW162" s="9">
        <v>33487034</v>
      </c>
      <c r="AX162" s="9">
        <v>33487034</v>
      </c>
      <c r="AY162" s="9">
        <v>33487034</v>
      </c>
      <c r="AZ162" s="9">
        <v>33487034</v>
      </c>
      <c r="BA162" s="9">
        <v>33487034</v>
      </c>
      <c r="BB162" s="31">
        <v>33487034</v>
      </c>
      <c r="BC162" s="9">
        <v>62332384</v>
      </c>
      <c r="BD162" s="9">
        <v>62332384</v>
      </c>
      <c r="BE162" s="9">
        <v>62332384</v>
      </c>
      <c r="BF162" s="9">
        <v>62332384</v>
      </c>
      <c r="BG162" s="9">
        <v>62332384</v>
      </c>
      <c r="BH162" s="9">
        <v>62332384</v>
      </c>
      <c r="BI162" s="9">
        <v>62332384</v>
      </c>
      <c r="BJ162" s="9">
        <v>62332384</v>
      </c>
      <c r="BK162" s="9">
        <v>62332384</v>
      </c>
      <c r="BL162" s="9">
        <v>62332384</v>
      </c>
      <c r="BM162" s="9">
        <v>62332384</v>
      </c>
      <c r="BN162" s="9">
        <v>62332384</v>
      </c>
      <c r="BO162" s="31">
        <v>62332384</v>
      </c>
      <c r="BP162" s="9">
        <v>52358707</v>
      </c>
      <c r="BQ162" s="9">
        <v>52358707</v>
      </c>
      <c r="BR162" s="9">
        <v>52358707</v>
      </c>
      <c r="BS162" s="9">
        <v>52358707</v>
      </c>
      <c r="BT162" s="9">
        <v>52358707</v>
      </c>
      <c r="BU162" s="9">
        <v>52358707</v>
      </c>
      <c r="BV162" s="9">
        <v>52358707</v>
      </c>
      <c r="BW162" s="9">
        <v>52358707</v>
      </c>
      <c r="BX162" s="9">
        <v>52358707</v>
      </c>
      <c r="BY162" s="9">
        <v>52358707</v>
      </c>
      <c r="BZ162" s="9">
        <v>52358707</v>
      </c>
      <c r="CA162" s="9">
        <v>52358707</v>
      </c>
      <c r="CB162" s="31">
        <v>52358707</v>
      </c>
    </row>
    <row r="163" spans="2:80" x14ac:dyDescent="0.3">
      <c r="B163" s="7" t="s">
        <v>63</v>
      </c>
      <c r="C163" s="9">
        <v>20744457</v>
      </c>
      <c r="D163" s="9">
        <v>20744457</v>
      </c>
      <c r="E163" s="9">
        <v>20744457</v>
      </c>
      <c r="F163" s="9">
        <v>20744457</v>
      </c>
      <c r="G163" s="9">
        <v>20744457</v>
      </c>
      <c r="H163" s="9">
        <v>20744457</v>
      </c>
      <c r="I163" s="9">
        <v>20744457</v>
      </c>
      <c r="J163" s="9">
        <v>20744457</v>
      </c>
      <c r="K163" s="9">
        <v>20744457</v>
      </c>
      <c r="L163" s="9">
        <v>20744457</v>
      </c>
      <c r="M163" s="9">
        <v>20744457</v>
      </c>
      <c r="N163" s="9">
        <v>20744457</v>
      </c>
      <c r="O163" s="31">
        <v>20744457</v>
      </c>
      <c r="P163" s="9">
        <v>52237769</v>
      </c>
      <c r="Q163" s="9">
        <v>52237769</v>
      </c>
      <c r="R163" s="9">
        <v>52237769</v>
      </c>
      <c r="S163" s="9">
        <v>52237769</v>
      </c>
      <c r="T163" s="9">
        <v>52237769</v>
      </c>
      <c r="U163" s="9">
        <v>52237769</v>
      </c>
      <c r="V163" s="9">
        <v>52237769</v>
      </c>
      <c r="W163" s="9">
        <v>52237769</v>
      </c>
      <c r="X163" s="9">
        <v>52237769</v>
      </c>
      <c r="Y163" s="9">
        <v>52237769</v>
      </c>
      <c r="Z163" s="9">
        <v>52237769</v>
      </c>
      <c r="AA163" s="9">
        <v>52237769</v>
      </c>
      <c r="AB163" s="31">
        <v>52237769</v>
      </c>
      <c r="AC163" s="9">
        <v>41497084</v>
      </c>
      <c r="AD163" s="9">
        <v>41497084</v>
      </c>
      <c r="AE163" s="9">
        <v>41497084</v>
      </c>
      <c r="AF163" s="9">
        <v>41497084</v>
      </c>
      <c r="AG163" s="9">
        <v>41497084</v>
      </c>
      <c r="AH163" s="9">
        <v>41497084</v>
      </c>
      <c r="AI163" s="9">
        <v>41497084</v>
      </c>
      <c r="AJ163" s="9">
        <v>41497084</v>
      </c>
      <c r="AK163" s="9">
        <v>41497084</v>
      </c>
      <c r="AL163" s="9">
        <v>41497084</v>
      </c>
      <c r="AM163" s="9">
        <v>41497084</v>
      </c>
      <c r="AN163" s="9">
        <v>41497084</v>
      </c>
      <c r="AO163" s="31">
        <v>41497084</v>
      </c>
      <c r="AP163" s="9">
        <v>86021116</v>
      </c>
      <c r="AQ163" s="9">
        <v>86021116</v>
      </c>
      <c r="AR163" s="9">
        <v>86021116</v>
      </c>
      <c r="AS163" s="9">
        <v>86021116</v>
      </c>
      <c r="AT163" s="9">
        <v>86021116</v>
      </c>
      <c r="AU163" s="9">
        <v>86021116</v>
      </c>
      <c r="AV163" s="9">
        <v>86021116</v>
      </c>
      <c r="AW163" s="9">
        <v>86021116</v>
      </c>
      <c r="AX163" s="9">
        <v>86021116</v>
      </c>
      <c r="AY163" s="9">
        <v>86021116</v>
      </c>
      <c r="AZ163" s="9">
        <v>86021116</v>
      </c>
      <c r="BA163" s="9">
        <v>86021116</v>
      </c>
      <c r="BB163" s="31">
        <v>86021116</v>
      </c>
      <c r="BC163" s="9">
        <v>122155247</v>
      </c>
      <c r="BD163" s="9">
        <v>122155247</v>
      </c>
      <c r="BE163" s="9">
        <v>122155247</v>
      </c>
      <c r="BF163" s="9">
        <v>122155247</v>
      </c>
      <c r="BG163" s="9">
        <v>122155247</v>
      </c>
      <c r="BH163" s="9">
        <v>122155247</v>
      </c>
      <c r="BI163" s="9">
        <v>122155247</v>
      </c>
      <c r="BJ163" s="9">
        <v>122155247</v>
      </c>
      <c r="BK163" s="9">
        <v>122155247</v>
      </c>
      <c r="BL163" s="9">
        <v>122155247</v>
      </c>
      <c r="BM163" s="9">
        <v>122155247</v>
      </c>
      <c r="BN163" s="9">
        <v>122155247</v>
      </c>
      <c r="BO163" s="31">
        <v>122155247</v>
      </c>
      <c r="BP163" s="9">
        <v>77301509</v>
      </c>
      <c r="BQ163" s="9">
        <v>77301509</v>
      </c>
      <c r="BR163" s="9">
        <v>77301509</v>
      </c>
      <c r="BS163" s="9">
        <v>77301509</v>
      </c>
      <c r="BT163" s="9">
        <v>77301509</v>
      </c>
      <c r="BU163" s="9">
        <v>77301509</v>
      </c>
      <c r="BV163" s="9">
        <v>77301509</v>
      </c>
      <c r="BW163" s="9">
        <v>77301509</v>
      </c>
      <c r="BX163" s="9">
        <v>77301509</v>
      </c>
      <c r="BY163" s="9">
        <v>77301509</v>
      </c>
      <c r="BZ163" s="9">
        <v>77301509</v>
      </c>
      <c r="CA163" s="9">
        <v>77301509</v>
      </c>
      <c r="CB163" s="31">
        <v>77301509</v>
      </c>
    </row>
    <row r="164" spans="2:80" x14ac:dyDescent="0.3">
      <c r="B164" s="11" t="s">
        <v>117</v>
      </c>
      <c r="C164" s="13">
        <f t="shared" ref="C164:AH164" si="18">SUM(C146:C163)</f>
        <v>1691444654</v>
      </c>
      <c r="D164" s="13">
        <f t="shared" si="18"/>
        <v>1691444654</v>
      </c>
      <c r="E164" s="13">
        <f t="shared" si="18"/>
        <v>1691444654</v>
      </c>
      <c r="F164" s="13">
        <f t="shared" si="18"/>
        <v>1691444654</v>
      </c>
      <c r="G164" s="13">
        <f t="shared" si="18"/>
        <v>1691444654</v>
      </c>
      <c r="H164" s="13">
        <f t="shared" si="18"/>
        <v>1691444654</v>
      </c>
      <c r="I164" s="13">
        <f t="shared" si="18"/>
        <v>1691444654</v>
      </c>
      <c r="J164" s="13">
        <f t="shared" si="18"/>
        <v>1691444654</v>
      </c>
      <c r="K164" s="13">
        <f t="shared" si="18"/>
        <v>1691444654</v>
      </c>
      <c r="L164" s="13">
        <f t="shared" si="18"/>
        <v>1691444654</v>
      </c>
      <c r="M164" s="13">
        <f t="shared" si="18"/>
        <v>1691444654</v>
      </c>
      <c r="N164" s="13">
        <f t="shared" si="18"/>
        <v>1691444654</v>
      </c>
      <c r="O164" s="13">
        <f t="shared" si="18"/>
        <v>1691444654</v>
      </c>
      <c r="P164" s="13">
        <f t="shared" si="18"/>
        <v>1981210073</v>
      </c>
      <c r="Q164" s="13">
        <f t="shared" si="18"/>
        <v>1981210073</v>
      </c>
      <c r="R164" s="13">
        <f t="shared" si="18"/>
        <v>1981210073</v>
      </c>
      <c r="S164" s="13">
        <f t="shared" si="18"/>
        <v>1981210073</v>
      </c>
      <c r="T164" s="13">
        <f t="shared" si="18"/>
        <v>1981210073</v>
      </c>
      <c r="U164" s="13">
        <f t="shared" si="18"/>
        <v>1981210073</v>
      </c>
      <c r="V164" s="13">
        <f t="shared" si="18"/>
        <v>1981210073</v>
      </c>
      <c r="W164" s="13">
        <f t="shared" si="18"/>
        <v>1981210073</v>
      </c>
      <c r="X164" s="13">
        <f t="shared" si="18"/>
        <v>1981210073</v>
      </c>
      <c r="Y164" s="13">
        <f t="shared" si="18"/>
        <v>1981210073</v>
      </c>
      <c r="Z164" s="13">
        <f t="shared" si="18"/>
        <v>1981210073</v>
      </c>
      <c r="AA164" s="13">
        <f t="shared" si="18"/>
        <v>1981210073</v>
      </c>
      <c r="AB164" s="13">
        <f t="shared" si="18"/>
        <v>1981210073</v>
      </c>
      <c r="AC164" s="13">
        <f t="shared" si="18"/>
        <v>2367597587</v>
      </c>
      <c r="AD164" s="13">
        <f t="shared" si="18"/>
        <v>2367597587</v>
      </c>
      <c r="AE164" s="13">
        <f t="shared" si="18"/>
        <v>2367597587</v>
      </c>
      <c r="AF164" s="13">
        <f t="shared" si="18"/>
        <v>2367597587</v>
      </c>
      <c r="AG164" s="13">
        <f t="shared" si="18"/>
        <v>2367597587</v>
      </c>
      <c r="AH164" s="13">
        <f t="shared" si="18"/>
        <v>2367597587</v>
      </c>
      <c r="AI164" s="13">
        <f t="shared" ref="AI164:BN164" si="19">SUM(AI146:AI163)</f>
        <v>2367597587</v>
      </c>
      <c r="AJ164" s="13">
        <f t="shared" si="19"/>
        <v>2367597587</v>
      </c>
      <c r="AK164" s="13">
        <f t="shared" si="19"/>
        <v>2367597587</v>
      </c>
      <c r="AL164" s="13">
        <f t="shared" si="19"/>
        <v>2367597587</v>
      </c>
      <c r="AM164" s="13">
        <f t="shared" si="19"/>
        <v>2367597587</v>
      </c>
      <c r="AN164" s="13">
        <f t="shared" si="19"/>
        <v>2367597587</v>
      </c>
      <c r="AO164" s="13">
        <f t="shared" si="19"/>
        <v>2367597587</v>
      </c>
      <c r="AP164" s="13">
        <f t="shared" si="19"/>
        <v>2729162964</v>
      </c>
      <c r="AQ164" s="13">
        <f t="shared" si="19"/>
        <v>2729162964</v>
      </c>
      <c r="AR164" s="13">
        <f t="shared" si="19"/>
        <v>2729162964</v>
      </c>
      <c r="AS164" s="13">
        <f t="shared" si="19"/>
        <v>2729162964</v>
      </c>
      <c r="AT164" s="13">
        <f t="shared" si="19"/>
        <v>2729162964</v>
      </c>
      <c r="AU164" s="13">
        <f t="shared" si="19"/>
        <v>2729162964</v>
      </c>
      <c r="AV164" s="13">
        <f t="shared" si="19"/>
        <v>2729162964</v>
      </c>
      <c r="AW164" s="13">
        <f t="shared" si="19"/>
        <v>2729162964</v>
      </c>
      <c r="AX164" s="13">
        <f t="shared" si="19"/>
        <v>2729162964</v>
      </c>
      <c r="AY164" s="13">
        <f t="shared" si="19"/>
        <v>2729162964</v>
      </c>
      <c r="AZ164" s="13">
        <f t="shared" si="19"/>
        <v>2729162964</v>
      </c>
      <c r="BA164" s="13">
        <f t="shared" si="19"/>
        <v>2729162964</v>
      </c>
      <c r="BB164" s="13">
        <f t="shared" si="19"/>
        <v>2729162964</v>
      </c>
      <c r="BC164" s="13">
        <f t="shared" si="19"/>
        <v>3213324447</v>
      </c>
      <c r="BD164" s="13">
        <f t="shared" si="19"/>
        <v>3213324447</v>
      </c>
      <c r="BE164" s="13">
        <f t="shared" si="19"/>
        <v>3213324447</v>
      </c>
      <c r="BF164" s="13">
        <f t="shared" si="19"/>
        <v>3213324447</v>
      </c>
      <c r="BG164" s="13">
        <f t="shared" si="19"/>
        <v>3213324447</v>
      </c>
      <c r="BH164" s="13">
        <f t="shared" si="19"/>
        <v>3213324447</v>
      </c>
      <c r="BI164" s="13">
        <f t="shared" si="19"/>
        <v>3213324447</v>
      </c>
      <c r="BJ164" s="13">
        <f t="shared" si="19"/>
        <v>3213324447</v>
      </c>
      <c r="BK164" s="13">
        <f t="shared" si="19"/>
        <v>3213324447</v>
      </c>
      <c r="BL164" s="13">
        <f t="shared" si="19"/>
        <v>3213324447</v>
      </c>
      <c r="BM164" s="13">
        <f t="shared" si="19"/>
        <v>3213324447</v>
      </c>
      <c r="BN164" s="13">
        <f t="shared" si="19"/>
        <v>3213324447</v>
      </c>
      <c r="BO164" s="13">
        <f t="shared" ref="BO164:CT164" si="20">SUM(BO146:BO163)</f>
        <v>3213324447</v>
      </c>
      <c r="BP164" s="13">
        <f t="shared" si="20"/>
        <v>3680035337</v>
      </c>
      <c r="BQ164" s="13">
        <f t="shared" si="20"/>
        <v>3680035337</v>
      </c>
      <c r="BR164" s="13">
        <f t="shared" si="20"/>
        <v>3680035337</v>
      </c>
      <c r="BS164" s="13">
        <f t="shared" si="20"/>
        <v>3680035337</v>
      </c>
      <c r="BT164" s="13">
        <f t="shared" si="20"/>
        <v>3680035337</v>
      </c>
      <c r="BU164" s="13">
        <f t="shared" si="20"/>
        <v>3680035337</v>
      </c>
      <c r="BV164" s="13">
        <f t="shared" si="20"/>
        <v>3680035337</v>
      </c>
      <c r="BW164" s="13">
        <f t="shared" si="20"/>
        <v>3680035337</v>
      </c>
      <c r="BX164" s="13">
        <f t="shared" si="20"/>
        <v>3680035337</v>
      </c>
      <c r="BY164" s="13">
        <f t="shared" si="20"/>
        <v>3680035337</v>
      </c>
      <c r="BZ164" s="13">
        <f t="shared" si="20"/>
        <v>3680035337</v>
      </c>
      <c r="CA164" s="13">
        <f t="shared" si="20"/>
        <v>3680035337</v>
      </c>
      <c r="CB164" s="13">
        <f t="shared" si="20"/>
        <v>3680035337</v>
      </c>
    </row>
    <row r="165" spans="2:80" x14ac:dyDescent="0.3">
      <c r="B165" s="5" t="s">
        <v>118</v>
      </c>
    </row>
    <row r="166" spans="2:80" x14ac:dyDescent="0.3">
      <c r="C166" s="49" t="s">
        <v>90</v>
      </c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49" t="s">
        <v>91</v>
      </c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49" t="s">
        <v>92</v>
      </c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49" t="s">
        <v>93</v>
      </c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49" t="s">
        <v>94</v>
      </c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49" t="s">
        <v>95</v>
      </c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</row>
    <row r="167" spans="2:80" x14ac:dyDescent="0.3">
      <c r="B167" s="19" t="s">
        <v>96</v>
      </c>
      <c r="C167" s="30" t="s">
        <v>67</v>
      </c>
      <c r="D167" s="30" t="s">
        <v>68</v>
      </c>
      <c r="E167" s="30" t="s">
        <v>69</v>
      </c>
      <c r="F167" s="30" t="s">
        <v>70</v>
      </c>
      <c r="G167" s="30" t="s">
        <v>71</v>
      </c>
      <c r="H167" s="30" t="s">
        <v>72</v>
      </c>
      <c r="I167" s="30" t="s">
        <v>73</v>
      </c>
      <c r="J167" s="30" t="s">
        <v>74</v>
      </c>
      <c r="K167" s="30" t="s">
        <v>75</v>
      </c>
      <c r="L167" s="30" t="s">
        <v>76</v>
      </c>
      <c r="M167" s="30" t="s">
        <v>77</v>
      </c>
      <c r="N167" s="30" t="s">
        <v>78</v>
      </c>
      <c r="O167" s="30" t="s">
        <v>97</v>
      </c>
      <c r="P167" s="30" t="s">
        <v>67</v>
      </c>
      <c r="Q167" s="30" t="s">
        <v>68</v>
      </c>
      <c r="R167" s="30" t="s">
        <v>69</v>
      </c>
      <c r="S167" s="30" t="s">
        <v>70</v>
      </c>
      <c r="T167" s="30" t="s">
        <v>71</v>
      </c>
      <c r="U167" s="30" t="s">
        <v>72</v>
      </c>
      <c r="V167" s="30" t="s">
        <v>73</v>
      </c>
      <c r="W167" s="30" t="s">
        <v>74</v>
      </c>
      <c r="X167" s="30" t="s">
        <v>75</v>
      </c>
      <c r="Y167" s="30" t="s">
        <v>76</v>
      </c>
      <c r="Z167" s="30" t="s">
        <v>77</v>
      </c>
      <c r="AA167" s="30" t="s">
        <v>78</v>
      </c>
      <c r="AB167" s="30" t="s">
        <v>98</v>
      </c>
      <c r="AC167" s="30" t="s">
        <v>67</v>
      </c>
      <c r="AD167" s="30" t="s">
        <v>68</v>
      </c>
      <c r="AE167" s="30" t="s">
        <v>69</v>
      </c>
      <c r="AF167" s="30" t="s">
        <v>70</v>
      </c>
      <c r="AG167" s="30" t="s">
        <v>71</v>
      </c>
      <c r="AH167" s="30" t="s">
        <v>72</v>
      </c>
      <c r="AI167" s="30" t="s">
        <v>73</v>
      </c>
      <c r="AJ167" s="30" t="s">
        <v>74</v>
      </c>
      <c r="AK167" s="30" t="s">
        <v>75</v>
      </c>
      <c r="AL167" s="30" t="s">
        <v>76</v>
      </c>
      <c r="AM167" s="30" t="s">
        <v>77</v>
      </c>
      <c r="AN167" s="30" t="s">
        <v>78</v>
      </c>
      <c r="AO167" s="30" t="s">
        <v>99</v>
      </c>
      <c r="AP167" s="30" t="s">
        <v>67</v>
      </c>
      <c r="AQ167" s="30" t="s">
        <v>68</v>
      </c>
      <c r="AR167" s="30" t="s">
        <v>69</v>
      </c>
      <c r="AS167" s="30" t="s">
        <v>70</v>
      </c>
      <c r="AT167" s="30" t="s">
        <v>71</v>
      </c>
      <c r="AU167" s="30" t="s">
        <v>72</v>
      </c>
      <c r="AV167" s="30" t="s">
        <v>73</v>
      </c>
      <c r="AW167" s="30" t="s">
        <v>74</v>
      </c>
      <c r="AX167" s="30" t="s">
        <v>75</v>
      </c>
      <c r="AY167" s="30" t="s">
        <v>76</v>
      </c>
      <c r="AZ167" s="30" t="s">
        <v>77</v>
      </c>
      <c r="BA167" s="30" t="s">
        <v>78</v>
      </c>
      <c r="BB167" s="30" t="s">
        <v>100</v>
      </c>
      <c r="BC167" s="30" t="s">
        <v>67</v>
      </c>
      <c r="BD167" s="30" t="s">
        <v>68</v>
      </c>
      <c r="BE167" s="30" t="s">
        <v>69</v>
      </c>
      <c r="BF167" s="30" t="s">
        <v>70</v>
      </c>
      <c r="BG167" s="30" t="s">
        <v>71</v>
      </c>
      <c r="BH167" s="30" t="s">
        <v>72</v>
      </c>
      <c r="BI167" s="30" t="s">
        <v>73</v>
      </c>
      <c r="BJ167" s="30" t="s">
        <v>74</v>
      </c>
      <c r="BK167" s="30" t="s">
        <v>75</v>
      </c>
      <c r="BL167" s="30" t="s">
        <v>76</v>
      </c>
      <c r="BM167" s="30" t="s">
        <v>77</v>
      </c>
      <c r="BN167" s="30" t="s">
        <v>78</v>
      </c>
      <c r="BO167" s="30" t="s">
        <v>101</v>
      </c>
      <c r="BP167" s="30" t="s">
        <v>67</v>
      </c>
      <c r="BQ167" s="30" t="s">
        <v>68</v>
      </c>
      <c r="BR167" s="30" t="s">
        <v>69</v>
      </c>
      <c r="BS167" s="30" t="s">
        <v>70</v>
      </c>
      <c r="BT167" s="30" t="s">
        <v>71</v>
      </c>
      <c r="BU167" s="30" t="s">
        <v>72</v>
      </c>
      <c r="BV167" s="30" t="s">
        <v>73</v>
      </c>
      <c r="BW167" s="30" t="s">
        <v>74</v>
      </c>
      <c r="BX167" s="30" t="s">
        <v>75</v>
      </c>
      <c r="BY167" s="30" t="s">
        <v>76</v>
      </c>
      <c r="BZ167" s="30" t="s">
        <v>77</v>
      </c>
      <c r="CA167" s="30" t="s">
        <v>78</v>
      </c>
      <c r="CB167" s="30" t="s">
        <v>102</v>
      </c>
    </row>
    <row r="168" spans="2:80" x14ac:dyDescent="0.3">
      <c r="B168" s="7" t="s">
        <v>46</v>
      </c>
      <c r="C168" s="9">
        <v>177369229</v>
      </c>
      <c r="D168" s="9">
        <v>177369229</v>
      </c>
      <c r="E168" s="9">
        <v>177369229</v>
      </c>
      <c r="F168" s="9">
        <v>175569574</v>
      </c>
      <c r="G168" s="9">
        <v>204794475</v>
      </c>
      <c r="H168" s="9">
        <v>204794475</v>
      </c>
      <c r="I168" s="9">
        <v>204794475</v>
      </c>
      <c r="J168" s="9">
        <v>212809140</v>
      </c>
      <c r="K168" s="9">
        <v>212809140</v>
      </c>
      <c r="L168" s="9">
        <v>209826261</v>
      </c>
      <c r="M168" s="9">
        <v>213755667</v>
      </c>
      <c r="N168" s="9">
        <v>224405254</v>
      </c>
      <c r="O168" s="31">
        <v>224405254</v>
      </c>
      <c r="P168" s="9">
        <v>225560049</v>
      </c>
      <c r="Q168" s="9">
        <v>222189373</v>
      </c>
      <c r="R168" s="9">
        <v>222189373</v>
      </c>
      <c r="S168" s="9">
        <v>222189373</v>
      </c>
      <c r="T168" s="9">
        <v>210439644</v>
      </c>
      <c r="U168" s="9">
        <v>209980245</v>
      </c>
      <c r="V168" s="9">
        <v>209811451</v>
      </c>
      <c r="W168" s="9">
        <v>207857276</v>
      </c>
      <c r="X168" s="9">
        <v>204643276</v>
      </c>
      <c r="Y168" s="9">
        <v>204643276</v>
      </c>
      <c r="Z168" s="9">
        <v>202810669</v>
      </c>
      <c r="AA168" s="9">
        <v>199015330</v>
      </c>
      <c r="AB168" s="31">
        <v>199015330</v>
      </c>
      <c r="AC168" s="9">
        <v>261708490</v>
      </c>
      <c r="AD168" s="9">
        <v>256214447</v>
      </c>
      <c r="AE168" s="9">
        <v>256214447</v>
      </c>
      <c r="AF168" s="9">
        <v>255696311</v>
      </c>
      <c r="AG168" s="9">
        <v>255634272</v>
      </c>
      <c r="AH168" s="9">
        <v>254448959</v>
      </c>
      <c r="AI168" s="9">
        <v>253487817</v>
      </c>
      <c r="AJ168" s="9">
        <v>253487817</v>
      </c>
      <c r="AK168" s="9">
        <v>253487817</v>
      </c>
      <c r="AL168" s="9">
        <v>253019803</v>
      </c>
      <c r="AM168" s="9">
        <v>244580966</v>
      </c>
      <c r="AN168" s="9">
        <v>219510229</v>
      </c>
      <c r="AO168" s="31">
        <v>219510229</v>
      </c>
      <c r="AP168" s="9">
        <v>259798881</v>
      </c>
      <c r="AQ168" s="9">
        <v>259798881</v>
      </c>
      <c r="AR168" s="9">
        <v>253793858</v>
      </c>
      <c r="AS168" s="9">
        <v>253793858</v>
      </c>
      <c r="AT168" s="9">
        <v>251979629</v>
      </c>
      <c r="AU168" s="9">
        <v>251979629</v>
      </c>
      <c r="AV168" s="9">
        <v>250971976</v>
      </c>
      <c r="AW168" s="9">
        <v>250971976</v>
      </c>
      <c r="AX168" s="9">
        <v>250971976</v>
      </c>
      <c r="AY168" s="9">
        <v>248314595</v>
      </c>
      <c r="AZ168" s="9">
        <v>259414595</v>
      </c>
      <c r="BA168" s="9">
        <v>253260952</v>
      </c>
      <c r="BB168" s="31">
        <v>253260952</v>
      </c>
      <c r="BC168" s="9">
        <v>288622626</v>
      </c>
      <c r="BD168" s="9">
        <v>281866986</v>
      </c>
      <c r="BE168" s="9">
        <v>279676204</v>
      </c>
      <c r="BF168" s="9">
        <v>278838975</v>
      </c>
      <c r="BG168" s="9">
        <v>278838975</v>
      </c>
      <c r="BH168" s="9">
        <v>276199607</v>
      </c>
      <c r="BI168" s="9">
        <v>290559537</v>
      </c>
      <c r="BJ168" s="9">
        <v>290559537</v>
      </c>
      <c r="BK168" s="9">
        <v>290559537</v>
      </c>
      <c r="BL168" s="9">
        <v>311767170</v>
      </c>
      <c r="BM168" s="9">
        <v>311767170</v>
      </c>
      <c r="BN168" s="9">
        <v>276265997</v>
      </c>
      <c r="BO168" s="31">
        <v>276265997</v>
      </c>
      <c r="BP168" s="9">
        <v>359934455</v>
      </c>
      <c r="BQ168" s="9">
        <v>360334455</v>
      </c>
      <c r="BR168" s="9">
        <v>360334455</v>
      </c>
      <c r="BS168" s="9">
        <v>360334455</v>
      </c>
      <c r="BT168" s="9">
        <v>360334455</v>
      </c>
      <c r="BU168" s="9">
        <v>343615247</v>
      </c>
      <c r="BV168" s="9">
        <v>339013387</v>
      </c>
      <c r="BW168" s="9">
        <v>339013387</v>
      </c>
      <c r="BX168" s="9">
        <v>339013387</v>
      </c>
      <c r="BY168" s="9">
        <v>339013387</v>
      </c>
      <c r="BZ168" s="9">
        <v>339013387</v>
      </c>
      <c r="CA168" s="9">
        <v>339013387</v>
      </c>
      <c r="CB168" s="31">
        <v>339013387</v>
      </c>
    </row>
    <row r="169" spans="2:80" x14ac:dyDescent="0.3">
      <c r="B169" s="7" t="s">
        <v>47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31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1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31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31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31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31">
        <v>0</v>
      </c>
    </row>
    <row r="170" spans="2:80" x14ac:dyDescent="0.3">
      <c r="B170" s="7" t="s">
        <v>48</v>
      </c>
      <c r="C170" s="9">
        <v>28635739</v>
      </c>
      <c r="D170" s="9">
        <v>28635739</v>
      </c>
      <c r="E170" s="9">
        <v>28675739</v>
      </c>
      <c r="F170" s="9">
        <v>33880010</v>
      </c>
      <c r="G170" s="9">
        <v>30529155</v>
      </c>
      <c r="H170" s="9">
        <v>30529155</v>
      </c>
      <c r="I170" s="9">
        <v>30529155</v>
      </c>
      <c r="J170" s="9">
        <v>29330781</v>
      </c>
      <c r="K170" s="9">
        <v>29330781</v>
      </c>
      <c r="L170" s="9">
        <v>29330781</v>
      </c>
      <c r="M170" s="9">
        <v>29330781</v>
      </c>
      <c r="N170" s="9">
        <v>31499910</v>
      </c>
      <c r="O170" s="31">
        <v>31499910</v>
      </c>
      <c r="P170" s="9">
        <v>39356191</v>
      </c>
      <c r="Q170" s="9">
        <v>40557843</v>
      </c>
      <c r="R170" s="9">
        <v>40557843</v>
      </c>
      <c r="S170" s="9">
        <v>40557843</v>
      </c>
      <c r="T170" s="9">
        <v>40557843</v>
      </c>
      <c r="U170" s="9">
        <v>40557843</v>
      </c>
      <c r="V170" s="9">
        <v>40557843</v>
      </c>
      <c r="W170" s="9">
        <v>40557843</v>
      </c>
      <c r="X170" s="9">
        <v>40547843</v>
      </c>
      <c r="Y170" s="9">
        <v>40547843</v>
      </c>
      <c r="Z170" s="9">
        <v>40547843</v>
      </c>
      <c r="AA170" s="9">
        <v>39145795</v>
      </c>
      <c r="AB170" s="31">
        <v>39145795</v>
      </c>
      <c r="AC170" s="9">
        <v>78240619</v>
      </c>
      <c r="AD170" s="9">
        <v>78280619</v>
      </c>
      <c r="AE170" s="9">
        <v>78280619</v>
      </c>
      <c r="AF170" s="9">
        <v>78280619</v>
      </c>
      <c r="AG170" s="9">
        <v>78280619</v>
      </c>
      <c r="AH170" s="9">
        <v>78280619</v>
      </c>
      <c r="AI170" s="9">
        <v>78280619</v>
      </c>
      <c r="AJ170" s="9">
        <v>78280619</v>
      </c>
      <c r="AK170" s="9">
        <v>78280619</v>
      </c>
      <c r="AL170" s="9">
        <v>78280619</v>
      </c>
      <c r="AM170" s="9">
        <v>78280619</v>
      </c>
      <c r="AN170" s="9">
        <v>78315638</v>
      </c>
      <c r="AO170" s="31">
        <v>78315638</v>
      </c>
      <c r="AP170" s="9">
        <v>70228343</v>
      </c>
      <c r="AQ170" s="9">
        <v>70228343</v>
      </c>
      <c r="AR170" s="9">
        <v>70468343</v>
      </c>
      <c r="AS170" s="9">
        <v>70468343</v>
      </c>
      <c r="AT170" s="9">
        <v>70468343</v>
      </c>
      <c r="AU170" s="9">
        <v>70468343</v>
      </c>
      <c r="AV170" s="9">
        <v>74227631</v>
      </c>
      <c r="AW170" s="9">
        <v>74227631</v>
      </c>
      <c r="AX170" s="9">
        <v>75227631</v>
      </c>
      <c r="AY170" s="9">
        <v>80777707</v>
      </c>
      <c r="AZ170" s="9">
        <v>82777707</v>
      </c>
      <c r="BA170" s="9">
        <v>83210671</v>
      </c>
      <c r="BB170" s="31">
        <v>83210671</v>
      </c>
      <c r="BC170" s="9">
        <v>102230033</v>
      </c>
      <c r="BD170" s="9">
        <v>102307191</v>
      </c>
      <c r="BE170" s="9">
        <v>102307191</v>
      </c>
      <c r="BF170" s="9">
        <v>102307191</v>
      </c>
      <c r="BG170" s="9">
        <v>102307191</v>
      </c>
      <c r="BH170" s="9">
        <v>102307191</v>
      </c>
      <c r="BI170" s="9">
        <v>102157891</v>
      </c>
      <c r="BJ170" s="9">
        <v>102157891</v>
      </c>
      <c r="BK170" s="9">
        <v>102157891</v>
      </c>
      <c r="BL170" s="9">
        <v>101822139</v>
      </c>
      <c r="BM170" s="9">
        <v>100752314</v>
      </c>
      <c r="BN170" s="9">
        <v>98783726</v>
      </c>
      <c r="BO170" s="31">
        <v>98783726</v>
      </c>
      <c r="BP170" s="9">
        <v>109150858</v>
      </c>
      <c r="BQ170" s="9">
        <v>106800858</v>
      </c>
      <c r="BR170" s="9">
        <v>106800858</v>
      </c>
      <c r="BS170" s="9">
        <v>106800858</v>
      </c>
      <c r="BT170" s="9">
        <v>106800858</v>
      </c>
      <c r="BU170" s="9">
        <v>107371045</v>
      </c>
      <c r="BV170" s="9">
        <v>107371045</v>
      </c>
      <c r="BW170" s="9">
        <v>107371045</v>
      </c>
      <c r="BX170" s="9">
        <v>107371045</v>
      </c>
      <c r="BY170" s="9">
        <v>107371045</v>
      </c>
      <c r="BZ170" s="9">
        <v>107371045</v>
      </c>
      <c r="CA170" s="9">
        <v>107371045</v>
      </c>
      <c r="CB170" s="31">
        <v>107371045</v>
      </c>
    </row>
    <row r="171" spans="2:80" x14ac:dyDescent="0.3">
      <c r="B171" s="7" t="s">
        <v>49</v>
      </c>
      <c r="C171" s="9">
        <v>49281590</v>
      </c>
      <c r="D171" s="9">
        <v>49281590</v>
      </c>
      <c r="E171" s="9">
        <v>49321590</v>
      </c>
      <c r="F171" s="9">
        <v>49868346</v>
      </c>
      <c r="G171" s="9">
        <v>46285227</v>
      </c>
      <c r="H171" s="9">
        <v>46285227</v>
      </c>
      <c r="I171" s="9">
        <v>46285227</v>
      </c>
      <c r="J171" s="9">
        <v>46085227</v>
      </c>
      <c r="K171" s="9">
        <v>46020466</v>
      </c>
      <c r="L171" s="9">
        <v>46107696</v>
      </c>
      <c r="M171" s="9">
        <v>49092696</v>
      </c>
      <c r="N171" s="9">
        <v>39382594</v>
      </c>
      <c r="O171" s="31">
        <v>39382594</v>
      </c>
      <c r="P171" s="9">
        <v>65497216</v>
      </c>
      <c r="Q171" s="9">
        <v>67599285</v>
      </c>
      <c r="R171" s="9">
        <v>67599285</v>
      </c>
      <c r="S171" s="9">
        <v>67599285</v>
      </c>
      <c r="T171" s="9">
        <v>67599285</v>
      </c>
      <c r="U171" s="9">
        <v>67599285</v>
      </c>
      <c r="V171" s="9">
        <v>67599285</v>
      </c>
      <c r="W171" s="9">
        <v>68069285</v>
      </c>
      <c r="X171" s="9">
        <v>86329960</v>
      </c>
      <c r="Y171" s="9">
        <v>86329960</v>
      </c>
      <c r="Z171" s="9">
        <v>86329960</v>
      </c>
      <c r="AA171" s="9">
        <v>85934589</v>
      </c>
      <c r="AB171" s="31">
        <v>85934589</v>
      </c>
      <c r="AC171" s="9">
        <v>88307532</v>
      </c>
      <c r="AD171" s="9">
        <v>84409286</v>
      </c>
      <c r="AE171" s="9">
        <v>84409286</v>
      </c>
      <c r="AF171" s="9">
        <v>84409286</v>
      </c>
      <c r="AG171" s="9">
        <v>84469825</v>
      </c>
      <c r="AH171" s="9">
        <v>93469825</v>
      </c>
      <c r="AI171" s="9">
        <v>93469825</v>
      </c>
      <c r="AJ171" s="9">
        <v>93469825</v>
      </c>
      <c r="AK171" s="9">
        <v>93469825</v>
      </c>
      <c r="AL171" s="9">
        <v>93469825</v>
      </c>
      <c r="AM171" s="9">
        <v>93996307</v>
      </c>
      <c r="AN171" s="9">
        <v>91826366</v>
      </c>
      <c r="AO171" s="31">
        <v>91826366</v>
      </c>
      <c r="AP171" s="9">
        <v>97459423</v>
      </c>
      <c r="AQ171" s="9">
        <v>97459423</v>
      </c>
      <c r="AR171" s="9">
        <v>98169304</v>
      </c>
      <c r="AS171" s="9">
        <v>98169304</v>
      </c>
      <c r="AT171" s="9">
        <v>98320593</v>
      </c>
      <c r="AU171" s="9">
        <v>98320593</v>
      </c>
      <c r="AV171" s="9">
        <v>98320593</v>
      </c>
      <c r="AW171" s="9">
        <v>98320593</v>
      </c>
      <c r="AX171" s="9">
        <v>98320593</v>
      </c>
      <c r="AY171" s="9">
        <v>88269707</v>
      </c>
      <c r="AZ171" s="9">
        <v>88269707</v>
      </c>
      <c r="BA171" s="9">
        <v>81745804</v>
      </c>
      <c r="BB171" s="31">
        <v>81745804</v>
      </c>
      <c r="BC171" s="9">
        <v>125360133</v>
      </c>
      <c r="BD171" s="9">
        <v>125442633</v>
      </c>
      <c r="BE171" s="9">
        <v>125482633</v>
      </c>
      <c r="BF171" s="9">
        <v>125482633</v>
      </c>
      <c r="BG171" s="9">
        <v>125482633</v>
      </c>
      <c r="BH171" s="9">
        <v>136297860</v>
      </c>
      <c r="BI171" s="9">
        <v>135281204</v>
      </c>
      <c r="BJ171" s="9">
        <v>135281204</v>
      </c>
      <c r="BK171" s="9">
        <v>135281204</v>
      </c>
      <c r="BL171" s="9">
        <v>130217135</v>
      </c>
      <c r="BM171" s="9">
        <v>129351635</v>
      </c>
      <c r="BN171" s="9">
        <v>119605336</v>
      </c>
      <c r="BO171" s="31">
        <v>119605336</v>
      </c>
      <c r="BP171" s="9">
        <v>124147527</v>
      </c>
      <c r="BQ171" s="9">
        <v>122147527</v>
      </c>
      <c r="BR171" s="9">
        <v>122147527</v>
      </c>
      <c r="BS171" s="9">
        <v>122147527</v>
      </c>
      <c r="BT171" s="9">
        <v>122147527</v>
      </c>
      <c r="BU171" s="9">
        <v>122698381</v>
      </c>
      <c r="BV171" s="9">
        <v>122698381</v>
      </c>
      <c r="BW171" s="9">
        <v>122698381</v>
      </c>
      <c r="BX171" s="9">
        <v>122698381</v>
      </c>
      <c r="BY171" s="9">
        <v>122698381</v>
      </c>
      <c r="BZ171" s="9">
        <v>122698381</v>
      </c>
      <c r="CA171" s="9">
        <v>122698381</v>
      </c>
      <c r="CB171" s="31">
        <v>122698381</v>
      </c>
    </row>
    <row r="172" spans="2:80" x14ac:dyDescent="0.3">
      <c r="B172" s="7" t="s">
        <v>50</v>
      </c>
      <c r="C172" s="9">
        <v>33675173</v>
      </c>
      <c r="D172" s="9">
        <v>42175173</v>
      </c>
      <c r="E172" s="9">
        <v>42175173</v>
      </c>
      <c r="F172" s="9">
        <v>42175173</v>
      </c>
      <c r="G172" s="9">
        <v>42088198</v>
      </c>
      <c r="H172" s="9">
        <v>42088198</v>
      </c>
      <c r="I172" s="9">
        <v>42088198</v>
      </c>
      <c r="J172" s="9">
        <v>41488198</v>
      </c>
      <c r="K172" s="9">
        <v>41488198</v>
      </c>
      <c r="L172" s="9">
        <v>41591072</v>
      </c>
      <c r="M172" s="9">
        <v>47046072</v>
      </c>
      <c r="N172" s="9">
        <v>47720605</v>
      </c>
      <c r="O172" s="31">
        <v>47720605</v>
      </c>
      <c r="P172" s="9">
        <v>44146114</v>
      </c>
      <c r="Q172" s="9">
        <v>46124389</v>
      </c>
      <c r="R172" s="9">
        <v>46124389</v>
      </c>
      <c r="S172" s="9">
        <v>46124389</v>
      </c>
      <c r="T172" s="9">
        <v>46124389</v>
      </c>
      <c r="U172" s="9">
        <v>46124389</v>
      </c>
      <c r="V172" s="9">
        <v>46124389</v>
      </c>
      <c r="W172" s="9">
        <v>51439389</v>
      </c>
      <c r="X172" s="9">
        <v>52484389</v>
      </c>
      <c r="Y172" s="9">
        <v>52484389</v>
      </c>
      <c r="Z172" s="9">
        <v>52484389</v>
      </c>
      <c r="AA172" s="9">
        <v>58540799</v>
      </c>
      <c r="AB172" s="31">
        <v>58540799</v>
      </c>
      <c r="AC172" s="9">
        <v>66736778</v>
      </c>
      <c r="AD172" s="9">
        <v>66736778</v>
      </c>
      <c r="AE172" s="9">
        <v>66736778</v>
      </c>
      <c r="AF172" s="9">
        <v>66736778</v>
      </c>
      <c r="AG172" s="9">
        <v>66736778</v>
      </c>
      <c r="AH172" s="9">
        <v>68736778</v>
      </c>
      <c r="AI172" s="9">
        <v>68736778</v>
      </c>
      <c r="AJ172" s="9">
        <v>68736778</v>
      </c>
      <c r="AK172" s="9">
        <v>68736778</v>
      </c>
      <c r="AL172" s="9">
        <v>68736778</v>
      </c>
      <c r="AM172" s="9">
        <v>88036778</v>
      </c>
      <c r="AN172" s="9">
        <v>87935808</v>
      </c>
      <c r="AO172" s="31">
        <v>87935808</v>
      </c>
      <c r="AP172" s="9">
        <v>57746379</v>
      </c>
      <c r="AQ172" s="9">
        <v>57746379</v>
      </c>
      <c r="AR172" s="9">
        <v>60035977</v>
      </c>
      <c r="AS172" s="9">
        <v>60035977</v>
      </c>
      <c r="AT172" s="9">
        <v>60035977</v>
      </c>
      <c r="AU172" s="9">
        <v>60035977</v>
      </c>
      <c r="AV172" s="9">
        <v>65135396</v>
      </c>
      <c r="AW172" s="9">
        <v>65135396</v>
      </c>
      <c r="AX172" s="9">
        <v>65135396</v>
      </c>
      <c r="AY172" s="9">
        <v>65622774</v>
      </c>
      <c r="AZ172" s="9">
        <v>65622774</v>
      </c>
      <c r="BA172" s="9">
        <v>73119497</v>
      </c>
      <c r="BB172" s="31">
        <v>73119497</v>
      </c>
      <c r="BC172" s="9">
        <v>72789613</v>
      </c>
      <c r="BD172" s="9">
        <v>75348740</v>
      </c>
      <c r="BE172" s="9">
        <v>75348740</v>
      </c>
      <c r="BF172" s="9">
        <v>75348740</v>
      </c>
      <c r="BG172" s="9">
        <v>75348740</v>
      </c>
      <c r="BH172" s="9">
        <v>75348740</v>
      </c>
      <c r="BI172" s="9">
        <v>74364706</v>
      </c>
      <c r="BJ172" s="9">
        <v>74364706</v>
      </c>
      <c r="BK172" s="9">
        <v>74364706</v>
      </c>
      <c r="BL172" s="9">
        <v>75891821</v>
      </c>
      <c r="BM172" s="9">
        <v>75944276</v>
      </c>
      <c r="BN172" s="9">
        <v>79415239</v>
      </c>
      <c r="BO172" s="31">
        <v>79415239</v>
      </c>
      <c r="BP172" s="9">
        <v>132477179</v>
      </c>
      <c r="BQ172" s="9">
        <v>129977179</v>
      </c>
      <c r="BR172" s="9">
        <v>129977179</v>
      </c>
      <c r="BS172" s="9">
        <v>129977179</v>
      </c>
      <c r="BT172" s="9">
        <v>129977179</v>
      </c>
      <c r="BU172" s="9">
        <v>130121882</v>
      </c>
      <c r="BV172" s="9">
        <v>130121882</v>
      </c>
      <c r="BW172" s="9">
        <v>130121882</v>
      </c>
      <c r="BX172" s="9">
        <v>130121882</v>
      </c>
      <c r="BY172" s="9">
        <v>130121882</v>
      </c>
      <c r="BZ172" s="9">
        <v>130121882</v>
      </c>
      <c r="CA172" s="9">
        <v>130121882</v>
      </c>
      <c r="CB172" s="31">
        <v>130121882</v>
      </c>
    </row>
    <row r="173" spans="2:80" x14ac:dyDescent="0.3">
      <c r="B173" s="7" t="s">
        <v>51</v>
      </c>
      <c r="C173" s="9">
        <v>20770537</v>
      </c>
      <c r="D173" s="9">
        <v>20770537</v>
      </c>
      <c r="E173" s="9">
        <v>20770537</v>
      </c>
      <c r="F173" s="9">
        <v>20770537</v>
      </c>
      <c r="G173" s="9">
        <v>22991303</v>
      </c>
      <c r="H173" s="9">
        <v>22991303</v>
      </c>
      <c r="I173" s="9">
        <v>22991303</v>
      </c>
      <c r="J173" s="9">
        <v>23496966</v>
      </c>
      <c r="K173" s="9">
        <v>23496966</v>
      </c>
      <c r="L173" s="9">
        <v>23496966</v>
      </c>
      <c r="M173" s="9">
        <v>27494466</v>
      </c>
      <c r="N173" s="9">
        <v>33796645</v>
      </c>
      <c r="O173" s="31">
        <v>33796645</v>
      </c>
      <c r="P173" s="9">
        <v>33226672</v>
      </c>
      <c r="Q173" s="9">
        <v>34482164</v>
      </c>
      <c r="R173" s="9">
        <v>34482164</v>
      </c>
      <c r="S173" s="9">
        <v>34482164</v>
      </c>
      <c r="T173" s="9">
        <v>34482164</v>
      </c>
      <c r="U173" s="9">
        <v>34482164</v>
      </c>
      <c r="V173" s="9">
        <v>34482164</v>
      </c>
      <c r="W173" s="9">
        <v>34482164</v>
      </c>
      <c r="X173" s="9">
        <v>37352194</v>
      </c>
      <c r="Y173" s="9">
        <v>37352194</v>
      </c>
      <c r="Z173" s="9">
        <v>37352194</v>
      </c>
      <c r="AA173" s="9">
        <v>38796255</v>
      </c>
      <c r="AB173" s="31">
        <v>38796255</v>
      </c>
      <c r="AC173" s="9">
        <v>47626282</v>
      </c>
      <c r="AD173" s="9">
        <v>47666282</v>
      </c>
      <c r="AE173" s="9">
        <v>47666282</v>
      </c>
      <c r="AF173" s="9">
        <v>47666282</v>
      </c>
      <c r="AG173" s="9">
        <v>47666282</v>
      </c>
      <c r="AH173" s="9">
        <v>47718353</v>
      </c>
      <c r="AI173" s="9">
        <v>47838457</v>
      </c>
      <c r="AJ173" s="9">
        <v>47838457</v>
      </c>
      <c r="AK173" s="9">
        <v>47838457</v>
      </c>
      <c r="AL173" s="9">
        <v>47838457</v>
      </c>
      <c r="AM173" s="9">
        <v>43442777</v>
      </c>
      <c r="AN173" s="9">
        <v>43946778</v>
      </c>
      <c r="AO173" s="31">
        <v>43946778</v>
      </c>
      <c r="AP173" s="9">
        <v>53240790</v>
      </c>
      <c r="AQ173" s="9">
        <v>53240790</v>
      </c>
      <c r="AR173" s="9">
        <v>53240790</v>
      </c>
      <c r="AS173" s="9">
        <v>53240790</v>
      </c>
      <c r="AT173" s="9">
        <v>53240790</v>
      </c>
      <c r="AU173" s="9">
        <v>53240790</v>
      </c>
      <c r="AV173" s="9">
        <v>53240790</v>
      </c>
      <c r="AW173" s="9">
        <v>53240790</v>
      </c>
      <c r="AX173" s="9">
        <v>53240790</v>
      </c>
      <c r="AY173" s="9">
        <v>52395853</v>
      </c>
      <c r="AZ173" s="9">
        <v>52395853</v>
      </c>
      <c r="BA173" s="9">
        <v>50339570</v>
      </c>
      <c r="BB173" s="31">
        <v>50339570</v>
      </c>
      <c r="BC173" s="9">
        <v>92931481</v>
      </c>
      <c r="BD173" s="9">
        <v>93131497</v>
      </c>
      <c r="BE173" s="9">
        <v>93131497</v>
      </c>
      <c r="BF173" s="9">
        <v>93319045</v>
      </c>
      <c r="BG173" s="9">
        <v>93319045</v>
      </c>
      <c r="BH173" s="9">
        <v>93319045</v>
      </c>
      <c r="BI173" s="9">
        <v>92558948</v>
      </c>
      <c r="BJ173" s="9">
        <v>92558948</v>
      </c>
      <c r="BK173" s="9">
        <v>92558948</v>
      </c>
      <c r="BL173" s="9">
        <v>93089284</v>
      </c>
      <c r="BM173" s="9">
        <v>93118579</v>
      </c>
      <c r="BN173" s="9">
        <v>92604764</v>
      </c>
      <c r="BO173" s="31">
        <v>92604764</v>
      </c>
      <c r="BP173" s="9">
        <v>89750044</v>
      </c>
      <c r="BQ173" s="9">
        <v>88000044</v>
      </c>
      <c r="BR173" s="9">
        <v>88000044</v>
      </c>
      <c r="BS173" s="9">
        <v>88000044</v>
      </c>
      <c r="BT173" s="9">
        <v>88000044</v>
      </c>
      <c r="BU173" s="9">
        <v>88764542</v>
      </c>
      <c r="BV173" s="9">
        <v>88764542</v>
      </c>
      <c r="BW173" s="9">
        <v>88764542</v>
      </c>
      <c r="BX173" s="9">
        <v>88764542</v>
      </c>
      <c r="BY173" s="9">
        <v>88764542</v>
      </c>
      <c r="BZ173" s="9">
        <v>88764542</v>
      </c>
      <c r="CA173" s="9">
        <v>88764542</v>
      </c>
      <c r="CB173" s="31">
        <v>88764542</v>
      </c>
    </row>
    <row r="174" spans="2:80" x14ac:dyDescent="0.3">
      <c r="B174" s="7" t="s">
        <v>52</v>
      </c>
      <c r="C174" s="9">
        <v>91254878</v>
      </c>
      <c r="D174" s="9">
        <v>91254878</v>
      </c>
      <c r="E174" s="9">
        <v>91414878</v>
      </c>
      <c r="F174" s="9">
        <v>91686489</v>
      </c>
      <c r="G174" s="9">
        <v>89060668</v>
      </c>
      <c r="H174" s="9">
        <v>89060668</v>
      </c>
      <c r="I174" s="9">
        <v>89060668</v>
      </c>
      <c r="J174" s="9">
        <v>72006668</v>
      </c>
      <c r="K174" s="9">
        <v>72006668</v>
      </c>
      <c r="L174" s="9">
        <v>72006668</v>
      </c>
      <c r="M174" s="9">
        <v>71994668</v>
      </c>
      <c r="N174" s="9">
        <v>70578277</v>
      </c>
      <c r="O174" s="31">
        <v>70578277</v>
      </c>
      <c r="P174" s="9">
        <v>68909036</v>
      </c>
      <c r="Q174" s="9">
        <v>80347934</v>
      </c>
      <c r="R174" s="9">
        <v>80347934</v>
      </c>
      <c r="S174" s="9">
        <v>80347934</v>
      </c>
      <c r="T174" s="9">
        <v>81001058</v>
      </c>
      <c r="U174" s="9">
        <v>81001058</v>
      </c>
      <c r="V174" s="9">
        <v>81001058</v>
      </c>
      <c r="W174" s="9">
        <v>81001058</v>
      </c>
      <c r="X174" s="9">
        <v>77945058</v>
      </c>
      <c r="Y174" s="9">
        <v>77945058</v>
      </c>
      <c r="Z174" s="9">
        <v>78163500</v>
      </c>
      <c r="AA174" s="9">
        <v>73598403</v>
      </c>
      <c r="AB174" s="31">
        <v>73598403</v>
      </c>
      <c r="AC174" s="9">
        <v>107813988</v>
      </c>
      <c r="AD174" s="9">
        <v>108396494</v>
      </c>
      <c r="AE174" s="9">
        <v>108396494</v>
      </c>
      <c r="AF174" s="9">
        <v>108396494</v>
      </c>
      <c r="AG174" s="9">
        <v>108396494</v>
      </c>
      <c r="AH174" s="9">
        <v>108605292</v>
      </c>
      <c r="AI174" s="9">
        <v>108995695</v>
      </c>
      <c r="AJ174" s="9">
        <v>108995695</v>
      </c>
      <c r="AK174" s="9">
        <v>108995695</v>
      </c>
      <c r="AL174" s="9">
        <v>108995695</v>
      </c>
      <c r="AM174" s="9">
        <v>88222070</v>
      </c>
      <c r="AN174" s="9">
        <v>95712461</v>
      </c>
      <c r="AO174" s="31">
        <v>95712461</v>
      </c>
      <c r="AP174" s="9">
        <v>123704390</v>
      </c>
      <c r="AQ174" s="9">
        <v>123704390</v>
      </c>
      <c r="AR174" s="9">
        <v>125327726</v>
      </c>
      <c r="AS174" s="9">
        <v>125327726</v>
      </c>
      <c r="AT174" s="9">
        <v>125578117</v>
      </c>
      <c r="AU174" s="9">
        <v>125578117</v>
      </c>
      <c r="AV174" s="9">
        <v>125578117</v>
      </c>
      <c r="AW174" s="9">
        <v>125578117</v>
      </c>
      <c r="AX174" s="9">
        <v>125578117</v>
      </c>
      <c r="AY174" s="9">
        <v>115253698</v>
      </c>
      <c r="AZ174" s="9">
        <v>115253698</v>
      </c>
      <c r="BA174" s="9">
        <v>107360177</v>
      </c>
      <c r="BB174" s="31">
        <v>107360177</v>
      </c>
      <c r="BC174" s="9">
        <v>145360457</v>
      </c>
      <c r="BD174" s="9">
        <v>145360457</v>
      </c>
      <c r="BE174" s="9">
        <v>145818224</v>
      </c>
      <c r="BF174" s="9">
        <v>147604105</v>
      </c>
      <c r="BG174" s="9">
        <v>147604105</v>
      </c>
      <c r="BH174" s="9">
        <v>147604105</v>
      </c>
      <c r="BI174" s="9">
        <v>137115059</v>
      </c>
      <c r="BJ174" s="9">
        <v>137115059</v>
      </c>
      <c r="BK174" s="9">
        <v>137115059</v>
      </c>
      <c r="BL174" s="9">
        <v>127848797</v>
      </c>
      <c r="BM174" s="9">
        <v>126672597</v>
      </c>
      <c r="BN174" s="9">
        <v>122802073</v>
      </c>
      <c r="BO174" s="31">
        <v>122802073</v>
      </c>
      <c r="BP174" s="9">
        <v>135508027</v>
      </c>
      <c r="BQ174" s="9">
        <v>132508027</v>
      </c>
      <c r="BR174" s="9">
        <v>132508027</v>
      </c>
      <c r="BS174" s="9">
        <v>132508027</v>
      </c>
      <c r="BT174" s="9">
        <v>132508027</v>
      </c>
      <c r="BU174" s="9">
        <v>133330696</v>
      </c>
      <c r="BV174" s="9">
        <v>133985654</v>
      </c>
      <c r="BW174" s="9">
        <v>133985654</v>
      </c>
      <c r="BX174" s="9">
        <v>133985654</v>
      </c>
      <c r="BY174" s="9">
        <v>133985654</v>
      </c>
      <c r="BZ174" s="9">
        <v>133985654</v>
      </c>
      <c r="CA174" s="9">
        <v>133985654</v>
      </c>
      <c r="CB174" s="31">
        <v>133985654</v>
      </c>
    </row>
    <row r="175" spans="2:80" x14ac:dyDescent="0.3">
      <c r="B175" s="7" t="s">
        <v>53</v>
      </c>
      <c r="C175" s="9">
        <v>124411299</v>
      </c>
      <c r="D175" s="9">
        <v>124411299</v>
      </c>
      <c r="E175" s="9">
        <v>124419299</v>
      </c>
      <c r="F175" s="9">
        <v>124840169</v>
      </c>
      <c r="G175" s="9">
        <v>124951527</v>
      </c>
      <c r="H175" s="9">
        <v>124951527</v>
      </c>
      <c r="I175" s="9">
        <v>124951527</v>
      </c>
      <c r="J175" s="9">
        <v>139838527</v>
      </c>
      <c r="K175" s="9">
        <v>139838527</v>
      </c>
      <c r="L175" s="9">
        <v>139947527</v>
      </c>
      <c r="M175" s="9">
        <v>139922527</v>
      </c>
      <c r="N175" s="9">
        <v>135541831</v>
      </c>
      <c r="O175" s="31">
        <v>135541831</v>
      </c>
      <c r="P175" s="9">
        <v>166182827</v>
      </c>
      <c r="Q175" s="9">
        <v>176712602</v>
      </c>
      <c r="R175" s="9">
        <v>176712602</v>
      </c>
      <c r="S175" s="9">
        <v>176712602</v>
      </c>
      <c r="T175" s="9">
        <v>176712602</v>
      </c>
      <c r="U175" s="9">
        <v>176712602</v>
      </c>
      <c r="V175" s="9">
        <v>176712602</v>
      </c>
      <c r="W175" s="9">
        <v>176712602</v>
      </c>
      <c r="X175" s="9">
        <v>189372602</v>
      </c>
      <c r="Y175" s="9">
        <v>189372602</v>
      </c>
      <c r="Z175" s="9">
        <v>189574580</v>
      </c>
      <c r="AA175" s="9">
        <v>186565323</v>
      </c>
      <c r="AB175" s="31">
        <v>186565323</v>
      </c>
      <c r="AC175" s="9">
        <v>199830432</v>
      </c>
      <c r="AD175" s="9">
        <v>200242044</v>
      </c>
      <c r="AE175" s="9">
        <v>200242044</v>
      </c>
      <c r="AF175" s="9">
        <v>200512403</v>
      </c>
      <c r="AG175" s="9">
        <v>200512403</v>
      </c>
      <c r="AH175" s="9">
        <v>208512403</v>
      </c>
      <c r="AI175" s="9">
        <v>208512403</v>
      </c>
      <c r="AJ175" s="9">
        <v>208512403</v>
      </c>
      <c r="AK175" s="9">
        <v>208512403</v>
      </c>
      <c r="AL175" s="9">
        <v>208512403</v>
      </c>
      <c r="AM175" s="9">
        <v>194685163</v>
      </c>
      <c r="AN175" s="9">
        <v>194165737</v>
      </c>
      <c r="AO175" s="31">
        <v>194165737</v>
      </c>
      <c r="AP175" s="9">
        <v>225771051</v>
      </c>
      <c r="AQ175" s="9">
        <v>225771051</v>
      </c>
      <c r="AR175" s="9">
        <v>226444734</v>
      </c>
      <c r="AS175" s="9">
        <v>226444734</v>
      </c>
      <c r="AT175" s="9">
        <v>226444734</v>
      </c>
      <c r="AU175" s="9">
        <v>226444734</v>
      </c>
      <c r="AV175" s="9">
        <v>227008185</v>
      </c>
      <c r="AW175" s="9">
        <v>269598971</v>
      </c>
      <c r="AX175" s="9">
        <v>269598971</v>
      </c>
      <c r="AY175" s="9">
        <v>268086083</v>
      </c>
      <c r="AZ175" s="9">
        <v>268086083</v>
      </c>
      <c r="BA175" s="9">
        <v>226125474</v>
      </c>
      <c r="BB175" s="31">
        <v>226125474</v>
      </c>
      <c r="BC175" s="9">
        <v>286562984</v>
      </c>
      <c r="BD175" s="9">
        <v>330490553</v>
      </c>
      <c r="BE175" s="9">
        <v>330490553</v>
      </c>
      <c r="BF175" s="9">
        <v>330490553</v>
      </c>
      <c r="BG175" s="9">
        <v>330490553</v>
      </c>
      <c r="BH175" s="9">
        <v>330544553</v>
      </c>
      <c r="BI175" s="9">
        <v>325783217</v>
      </c>
      <c r="BJ175" s="9">
        <v>325783217</v>
      </c>
      <c r="BK175" s="9">
        <v>325783217</v>
      </c>
      <c r="BL175" s="9">
        <v>314639115</v>
      </c>
      <c r="BM175" s="9">
        <v>319715115</v>
      </c>
      <c r="BN175" s="9">
        <v>287629766</v>
      </c>
      <c r="BO175" s="31">
        <v>287629766</v>
      </c>
      <c r="BP175" s="9">
        <v>303922147</v>
      </c>
      <c r="BQ175" s="9">
        <v>299922147</v>
      </c>
      <c r="BR175" s="9">
        <v>299922147</v>
      </c>
      <c r="BS175" s="9">
        <v>299922147</v>
      </c>
      <c r="BT175" s="9">
        <v>299603973</v>
      </c>
      <c r="BU175" s="9">
        <v>299576213</v>
      </c>
      <c r="BV175" s="9">
        <v>299775335</v>
      </c>
      <c r="BW175" s="9">
        <v>299775335</v>
      </c>
      <c r="BX175" s="9">
        <v>299775335</v>
      </c>
      <c r="BY175" s="9">
        <v>299775335</v>
      </c>
      <c r="BZ175" s="9">
        <v>299775335</v>
      </c>
      <c r="CA175" s="9">
        <v>299775335</v>
      </c>
      <c r="CB175" s="31">
        <v>299775335</v>
      </c>
    </row>
    <row r="176" spans="2:80" x14ac:dyDescent="0.3">
      <c r="B176" s="7" t="s">
        <v>54</v>
      </c>
      <c r="C176" s="9">
        <v>332881709</v>
      </c>
      <c r="D176" s="9">
        <v>332881709</v>
      </c>
      <c r="E176" s="9">
        <v>332881709</v>
      </c>
      <c r="F176" s="9">
        <v>334118228</v>
      </c>
      <c r="G176" s="9">
        <v>322562732</v>
      </c>
      <c r="H176" s="9">
        <v>322562732</v>
      </c>
      <c r="I176" s="9">
        <v>322562732</v>
      </c>
      <c r="J176" s="9">
        <v>321453941</v>
      </c>
      <c r="K176" s="9">
        <v>322412109</v>
      </c>
      <c r="L176" s="9">
        <v>323806044</v>
      </c>
      <c r="M176" s="9">
        <v>350855497</v>
      </c>
      <c r="N176" s="9">
        <v>370793232</v>
      </c>
      <c r="O176" s="31">
        <v>370793232</v>
      </c>
      <c r="P176" s="9">
        <v>406538500</v>
      </c>
      <c r="Q176" s="9">
        <v>441626360</v>
      </c>
      <c r="R176" s="9">
        <v>441626360</v>
      </c>
      <c r="S176" s="9">
        <v>439111845</v>
      </c>
      <c r="T176" s="9">
        <v>439492557</v>
      </c>
      <c r="U176" s="9">
        <v>439492557</v>
      </c>
      <c r="V176" s="9">
        <v>439492557</v>
      </c>
      <c r="W176" s="9">
        <v>439735414</v>
      </c>
      <c r="X176" s="9">
        <v>467217631</v>
      </c>
      <c r="Y176" s="9">
        <v>438008416</v>
      </c>
      <c r="Z176" s="9">
        <v>438088416</v>
      </c>
      <c r="AA176" s="9">
        <v>520035480</v>
      </c>
      <c r="AB176" s="31">
        <v>520035480</v>
      </c>
      <c r="AC176" s="9">
        <v>387419275</v>
      </c>
      <c r="AD176" s="9">
        <v>389208436</v>
      </c>
      <c r="AE176" s="9">
        <v>389208436</v>
      </c>
      <c r="AF176" s="9">
        <v>389208436</v>
      </c>
      <c r="AG176" s="9">
        <v>389208436</v>
      </c>
      <c r="AH176" s="9">
        <v>412671410</v>
      </c>
      <c r="AI176" s="9">
        <v>412671410</v>
      </c>
      <c r="AJ176" s="9">
        <v>412671410</v>
      </c>
      <c r="AK176" s="9">
        <v>412671410</v>
      </c>
      <c r="AL176" s="9">
        <v>413134384</v>
      </c>
      <c r="AM176" s="9">
        <v>453383732</v>
      </c>
      <c r="AN176" s="9">
        <v>479058544</v>
      </c>
      <c r="AO176" s="31">
        <v>479058544</v>
      </c>
      <c r="AP176" s="9">
        <v>467857630</v>
      </c>
      <c r="AQ176" s="9">
        <v>467857630</v>
      </c>
      <c r="AR176" s="9">
        <v>469655094</v>
      </c>
      <c r="AS176" s="9">
        <v>469655094</v>
      </c>
      <c r="AT176" s="9">
        <v>469655094</v>
      </c>
      <c r="AU176" s="9">
        <v>469655094</v>
      </c>
      <c r="AV176" s="9">
        <v>469655094</v>
      </c>
      <c r="AW176" s="9">
        <v>469655094</v>
      </c>
      <c r="AX176" s="9">
        <v>491655094</v>
      </c>
      <c r="AY176" s="9">
        <v>526150582</v>
      </c>
      <c r="AZ176" s="9">
        <v>544848582</v>
      </c>
      <c r="BA176" s="9">
        <v>536507887</v>
      </c>
      <c r="BB176" s="31">
        <v>536507887</v>
      </c>
      <c r="BC176" s="9">
        <v>371219703</v>
      </c>
      <c r="BD176" s="9">
        <v>371219703</v>
      </c>
      <c r="BE176" s="9">
        <v>371219703</v>
      </c>
      <c r="BF176" s="9">
        <v>371219703</v>
      </c>
      <c r="BG176" s="9">
        <v>371219703</v>
      </c>
      <c r="BH176" s="9">
        <v>373154196</v>
      </c>
      <c r="BI176" s="9">
        <v>401615007</v>
      </c>
      <c r="BJ176" s="9">
        <v>401615007</v>
      </c>
      <c r="BK176" s="9">
        <v>401615007</v>
      </c>
      <c r="BL176" s="9">
        <v>471641998</v>
      </c>
      <c r="BM176" s="9">
        <v>483642998</v>
      </c>
      <c r="BN176" s="9">
        <v>540684218</v>
      </c>
      <c r="BO176" s="31">
        <v>540684218</v>
      </c>
      <c r="BP176" s="9">
        <v>776352146</v>
      </c>
      <c r="BQ176" s="9">
        <v>757502146</v>
      </c>
      <c r="BR176" s="9">
        <v>757502146</v>
      </c>
      <c r="BS176" s="9">
        <v>757502146</v>
      </c>
      <c r="BT176" s="9">
        <v>757502146</v>
      </c>
      <c r="BU176" s="9">
        <v>758331938</v>
      </c>
      <c r="BV176" s="9">
        <v>759411467</v>
      </c>
      <c r="BW176" s="9">
        <v>759411467</v>
      </c>
      <c r="BX176" s="9">
        <v>759411467</v>
      </c>
      <c r="BY176" s="9">
        <v>759411467</v>
      </c>
      <c r="BZ176" s="9">
        <v>759411467</v>
      </c>
      <c r="CA176" s="9">
        <v>759411467</v>
      </c>
      <c r="CB176" s="31">
        <v>759411467</v>
      </c>
    </row>
    <row r="177" spans="2:80" x14ac:dyDescent="0.3">
      <c r="B177" s="7" t="s">
        <v>55</v>
      </c>
      <c r="C177" s="9">
        <v>71654272</v>
      </c>
      <c r="D177" s="9">
        <v>71654272</v>
      </c>
      <c r="E177" s="9">
        <v>71654272</v>
      </c>
      <c r="F177" s="9">
        <v>71654272</v>
      </c>
      <c r="G177" s="9">
        <v>68504970</v>
      </c>
      <c r="H177" s="9">
        <v>68504970</v>
      </c>
      <c r="I177" s="9">
        <v>68504970</v>
      </c>
      <c r="J177" s="9">
        <v>99481570</v>
      </c>
      <c r="K177" s="9">
        <v>99481570</v>
      </c>
      <c r="L177" s="9">
        <v>103557209</v>
      </c>
      <c r="M177" s="9">
        <v>115540209</v>
      </c>
      <c r="N177" s="9">
        <v>117188222</v>
      </c>
      <c r="O177" s="31">
        <v>117188222</v>
      </c>
      <c r="P177" s="9">
        <v>77138039</v>
      </c>
      <c r="Q177" s="9">
        <v>83569182</v>
      </c>
      <c r="R177" s="9">
        <v>82479467</v>
      </c>
      <c r="S177" s="9">
        <v>82479467</v>
      </c>
      <c r="T177" s="9">
        <v>82479467</v>
      </c>
      <c r="U177" s="9">
        <v>82479467</v>
      </c>
      <c r="V177" s="9">
        <v>82479467</v>
      </c>
      <c r="W177" s="9">
        <v>82479467</v>
      </c>
      <c r="X177" s="9">
        <v>108393467</v>
      </c>
      <c r="Y177" s="9">
        <v>108393467</v>
      </c>
      <c r="Z177" s="9">
        <v>108473467</v>
      </c>
      <c r="AA177" s="9">
        <v>98456018</v>
      </c>
      <c r="AB177" s="31">
        <v>98456018</v>
      </c>
      <c r="AC177" s="9">
        <v>130494761</v>
      </c>
      <c r="AD177" s="9">
        <v>130614761</v>
      </c>
      <c r="AE177" s="9">
        <v>130614761</v>
      </c>
      <c r="AF177" s="9">
        <v>130614761</v>
      </c>
      <c r="AG177" s="9">
        <v>130614761</v>
      </c>
      <c r="AH177" s="9">
        <v>130893605</v>
      </c>
      <c r="AI177" s="9">
        <v>131280030</v>
      </c>
      <c r="AJ177" s="9">
        <v>131280030</v>
      </c>
      <c r="AK177" s="9">
        <v>131280030</v>
      </c>
      <c r="AL177" s="9">
        <v>131280030</v>
      </c>
      <c r="AM177" s="9">
        <v>121369140</v>
      </c>
      <c r="AN177" s="9">
        <v>115468655</v>
      </c>
      <c r="AO177" s="31">
        <v>115468655</v>
      </c>
      <c r="AP177" s="9">
        <v>164160945</v>
      </c>
      <c r="AQ177" s="9">
        <v>164160945</v>
      </c>
      <c r="AR177" s="9">
        <v>164788137</v>
      </c>
      <c r="AS177" s="9">
        <v>164788137</v>
      </c>
      <c r="AT177" s="9">
        <v>164810704</v>
      </c>
      <c r="AU177" s="9">
        <v>164810704</v>
      </c>
      <c r="AV177" s="9">
        <v>165176824</v>
      </c>
      <c r="AW177" s="9">
        <v>165176824</v>
      </c>
      <c r="AX177" s="9">
        <v>167176824</v>
      </c>
      <c r="AY177" s="9">
        <v>173976760</v>
      </c>
      <c r="AZ177" s="9">
        <v>173976760</v>
      </c>
      <c r="BA177" s="9">
        <v>172944682</v>
      </c>
      <c r="BB177" s="31">
        <v>172944682</v>
      </c>
      <c r="BC177" s="9">
        <v>192275210</v>
      </c>
      <c r="BD177" s="9">
        <v>192275210</v>
      </c>
      <c r="BE177" s="9">
        <v>192523010</v>
      </c>
      <c r="BF177" s="9">
        <v>192523010</v>
      </c>
      <c r="BG177" s="9">
        <v>192523010</v>
      </c>
      <c r="BH177" s="9">
        <v>192523010</v>
      </c>
      <c r="BI177" s="9">
        <v>201434593</v>
      </c>
      <c r="BJ177" s="9">
        <v>201434593</v>
      </c>
      <c r="BK177" s="9">
        <v>201434593</v>
      </c>
      <c r="BL177" s="9">
        <v>179316698</v>
      </c>
      <c r="BM177" s="9">
        <v>175464498</v>
      </c>
      <c r="BN177" s="9">
        <v>162893531</v>
      </c>
      <c r="BO177" s="31">
        <v>162893531</v>
      </c>
      <c r="BP177" s="9">
        <v>196116811</v>
      </c>
      <c r="BQ177" s="9">
        <v>192116811</v>
      </c>
      <c r="BR177" s="9">
        <v>192116811</v>
      </c>
      <c r="BS177" s="9">
        <v>192116811</v>
      </c>
      <c r="BT177" s="9">
        <v>192116811</v>
      </c>
      <c r="BU177" s="9">
        <v>193385572</v>
      </c>
      <c r="BV177" s="9">
        <v>193385572</v>
      </c>
      <c r="BW177" s="9">
        <v>193385572</v>
      </c>
      <c r="BX177" s="9">
        <v>193385572</v>
      </c>
      <c r="BY177" s="9">
        <v>193385572</v>
      </c>
      <c r="BZ177" s="9">
        <v>193385572</v>
      </c>
      <c r="CA177" s="9">
        <v>193385572</v>
      </c>
      <c r="CB177" s="31">
        <v>193385572</v>
      </c>
    </row>
    <row r="178" spans="2:80" x14ac:dyDescent="0.3">
      <c r="B178" s="7" t="s">
        <v>56</v>
      </c>
      <c r="C178" s="9">
        <v>137108361</v>
      </c>
      <c r="D178" s="9">
        <v>137108361</v>
      </c>
      <c r="E178" s="9">
        <v>137108361</v>
      </c>
      <c r="F178" s="9">
        <v>137108361</v>
      </c>
      <c r="G178" s="9">
        <v>135583256</v>
      </c>
      <c r="H178" s="9">
        <v>135583256</v>
      </c>
      <c r="I178" s="9">
        <v>135566295</v>
      </c>
      <c r="J178" s="9">
        <v>136982295</v>
      </c>
      <c r="K178" s="9">
        <v>136982295</v>
      </c>
      <c r="L178" s="9">
        <v>137710556</v>
      </c>
      <c r="M178" s="9">
        <v>139777952</v>
      </c>
      <c r="N178" s="9">
        <v>138092751</v>
      </c>
      <c r="O178" s="31">
        <v>138092751</v>
      </c>
      <c r="P178" s="9">
        <v>145731691</v>
      </c>
      <c r="Q178" s="9">
        <v>158898570</v>
      </c>
      <c r="R178" s="9">
        <v>158898570</v>
      </c>
      <c r="S178" s="9">
        <v>158898570</v>
      </c>
      <c r="T178" s="9">
        <v>158864744</v>
      </c>
      <c r="U178" s="9">
        <v>158864744</v>
      </c>
      <c r="V178" s="9">
        <v>158864744</v>
      </c>
      <c r="W178" s="9">
        <v>159264744</v>
      </c>
      <c r="X178" s="9">
        <v>161504744</v>
      </c>
      <c r="Y178" s="9">
        <v>167707660</v>
      </c>
      <c r="Z178" s="9">
        <v>168187660</v>
      </c>
      <c r="AA178" s="9">
        <v>167624775</v>
      </c>
      <c r="AB178" s="31">
        <v>167624775</v>
      </c>
      <c r="AC178" s="9">
        <v>175636178</v>
      </c>
      <c r="AD178" s="9">
        <v>176796178</v>
      </c>
      <c r="AE178" s="9">
        <v>176796178</v>
      </c>
      <c r="AF178" s="9">
        <v>176876178</v>
      </c>
      <c r="AG178" s="9">
        <v>176877678</v>
      </c>
      <c r="AH178" s="9">
        <v>191877678</v>
      </c>
      <c r="AI178" s="9">
        <v>191877678</v>
      </c>
      <c r="AJ178" s="9">
        <v>191877678</v>
      </c>
      <c r="AK178" s="9">
        <v>191877678</v>
      </c>
      <c r="AL178" s="9">
        <v>191877678</v>
      </c>
      <c r="AM178" s="9">
        <v>216426514</v>
      </c>
      <c r="AN178" s="9">
        <v>219468834</v>
      </c>
      <c r="AO178" s="31">
        <v>219468834</v>
      </c>
      <c r="AP178" s="9">
        <v>190965901</v>
      </c>
      <c r="AQ178" s="9">
        <v>190965901</v>
      </c>
      <c r="AR178" s="9">
        <v>191356201</v>
      </c>
      <c r="AS178" s="9">
        <v>191356201</v>
      </c>
      <c r="AT178" s="9">
        <v>191405200</v>
      </c>
      <c r="AU178" s="9">
        <v>191405200</v>
      </c>
      <c r="AV178" s="9">
        <v>191405200</v>
      </c>
      <c r="AW178" s="9">
        <v>191405200</v>
      </c>
      <c r="AX178" s="9">
        <v>193405200</v>
      </c>
      <c r="AY178" s="9">
        <v>213655318</v>
      </c>
      <c r="AZ178" s="9">
        <v>216655318</v>
      </c>
      <c r="BA178" s="9">
        <v>213444748</v>
      </c>
      <c r="BB178" s="31">
        <v>213444748</v>
      </c>
      <c r="BC178" s="9">
        <v>263292274</v>
      </c>
      <c r="BD178" s="9">
        <v>263497063</v>
      </c>
      <c r="BE178" s="9">
        <v>263497063</v>
      </c>
      <c r="BF178" s="9">
        <v>263497063</v>
      </c>
      <c r="BG178" s="9">
        <v>263497063</v>
      </c>
      <c r="BH178" s="9">
        <v>263497063</v>
      </c>
      <c r="BI178" s="9">
        <v>263237933</v>
      </c>
      <c r="BJ178" s="9">
        <v>263237933</v>
      </c>
      <c r="BK178" s="9">
        <v>263237933</v>
      </c>
      <c r="BL178" s="9">
        <v>256093165</v>
      </c>
      <c r="BM178" s="9">
        <v>256916287</v>
      </c>
      <c r="BN178" s="9">
        <v>253541087</v>
      </c>
      <c r="BO178" s="31">
        <v>253541087</v>
      </c>
      <c r="BP178" s="9">
        <v>237880088</v>
      </c>
      <c r="BQ178" s="9">
        <v>235880088</v>
      </c>
      <c r="BR178" s="9">
        <v>235880088</v>
      </c>
      <c r="BS178" s="9">
        <v>235880088</v>
      </c>
      <c r="BT178" s="9">
        <v>235880088</v>
      </c>
      <c r="BU178" s="9">
        <v>236629939</v>
      </c>
      <c r="BV178" s="9">
        <v>237753345</v>
      </c>
      <c r="BW178" s="9">
        <v>237753345</v>
      </c>
      <c r="BX178" s="9">
        <v>237753345</v>
      </c>
      <c r="BY178" s="9">
        <v>237753345</v>
      </c>
      <c r="BZ178" s="9">
        <v>237753345</v>
      </c>
      <c r="CA178" s="9">
        <v>237753345</v>
      </c>
      <c r="CB178" s="31">
        <v>237753345</v>
      </c>
    </row>
    <row r="179" spans="2:80" x14ac:dyDescent="0.3">
      <c r="B179" s="7" t="s">
        <v>57</v>
      </c>
      <c r="C179" s="9">
        <v>32706828</v>
      </c>
      <c r="D179" s="9">
        <v>32706828</v>
      </c>
      <c r="E179" s="9">
        <v>32706828</v>
      </c>
      <c r="F179" s="9">
        <v>32706828</v>
      </c>
      <c r="G179" s="9">
        <v>40339761</v>
      </c>
      <c r="H179" s="9">
        <v>40339761</v>
      </c>
      <c r="I179" s="9">
        <v>40339761</v>
      </c>
      <c r="J179" s="9">
        <v>50198744</v>
      </c>
      <c r="K179" s="9">
        <v>50198744</v>
      </c>
      <c r="L179" s="9">
        <v>56478126</v>
      </c>
      <c r="M179" s="9">
        <v>56980557</v>
      </c>
      <c r="N179" s="9">
        <v>49684459</v>
      </c>
      <c r="O179" s="31">
        <v>49684459</v>
      </c>
      <c r="P179" s="9">
        <v>67680251</v>
      </c>
      <c r="Q179" s="9">
        <v>88400751</v>
      </c>
      <c r="R179" s="9">
        <v>88400751</v>
      </c>
      <c r="S179" s="9">
        <v>88400751</v>
      </c>
      <c r="T179" s="9">
        <v>89406248</v>
      </c>
      <c r="U179" s="9">
        <v>89406248</v>
      </c>
      <c r="V179" s="9">
        <v>89406248</v>
      </c>
      <c r="W179" s="9">
        <v>89524930</v>
      </c>
      <c r="X179" s="9">
        <v>89736786</v>
      </c>
      <c r="Y179" s="9">
        <v>89736786</v>
      </c>
      <c r="Z179" s="9">
        <v>89889953</v>
      </c>
      <c r="AA179" s="9">
        <v>92119186</v>
      </c>
      <c r="AB179" s="31">
        <v>92119186</v>
      </c>
      <c r="AC179" s="9">
        <v>111469115</v>
      </c>
      <c r="AD179" s="9">
        <v>111469115</v>
      </c>
      <c r="AE179" s="9">
        <v>111469115</v>
      </c>
      <c r="AF179" s="9">
        <v>111469115</v>
      </c>
      <c r="AG179" s="9">
        <v>111469115</v>
      </c>
      <c r="AH179" s="9">
        <v>113469115</v>
      </c>
      <c r="AI179" s="9">
        <v>113469115</v>
      </c>
      <c r="AJ179" s="9">
        <v>113469115</v>
      </c>
      <c r="AK179" s="9">
        <v>113469115</v>
      </c>
      <c r="AL179" s="9">
        <v>113469115</v>
      </c>
      <c r="AM179" s="9">
        <v>118629115</v>
      </c>
      <c r="AN179" s="9">
        <v>120515252</v>
      </c>
      <c r="AO179" s="31">
        <v>120515252</v>
      </c>
      <c r="AP179" s="9">
        <v>116664561</v>
      </c>
      <c r="AQ179" s="9">
        <v>116664561</v>
      </c>
      <c r="AR179" s="9">
        <v>116744561</v>
      </c>
      <c r="AS179" s="9">
        <v>116744561</v>
      </c>
      <c r="AT179" s="9">
        <v>116844409</v>
      </c>
      <c r="AU179" s="9">
        <v>116844409</v>
      </c>
      <c r="AV179" s="9">
        <v>116844409</v>
      </c>
      <c r="AW179" s="9">
        <v>116844409</v>
      </c>
      <c r="AX179" s="9">
        <v>119844409</v>
      </c>
      <c r="AY179" s="9">
        <v>142233036</v>
      </c>
      <c r="AZ179" s="9">
        <v>142233036</v>
      </c>
      <c r="BA179" s="9">
        <v>154702362</v>
      </c>
      <c r="BB179" s="31">
        <v>154702362</v>
      </c>
      <c r="BC179" s="9">
        <v>154915622</v>
      </c>
      <c r="BD179" s="9">
        <v>154915622</v>
      </c>
      <c r="BE179" s="9">
        <v>154915622</v>
      </c>
      <c r="BF179" s="9">
        <v>154915622</v>
      </c>
      <c r="BG179" s="9">
        <v>154915622</v>
      </c>
      <c r="BH179" s="9">
        <v>154915622</v>
      </c>
      <c r="BI179" s="9">
        <v>165235367</v>
      </c>
      <c r="BJ179" s="9">
        <v>165235367</v>
      </c>
      <c r="BK179" s="9">
        <v>165235367</v>
      </c>
      <c r="BL179" s="9">
        <v>189916720</v>
      </c>
      <c r="BM179" s="9">
        <v>187467078</v>
      </c>
      <c r="BN179" s="9">
        <v>187909116</v>
      </c>
      <c r="BO179" s="31">
        <v>187909116</v>
      </c>
      <c r="BP179" s="9">
        <v>185909865</v>
      </c>
      <c r="BQ179" s="9">
        <v>181909865</v>
      </c>
      <c r="BR179" s="9">
        <v>181909865</v>
      </c>
      <c r="BS179" s="9">
        <v>181909865</v>
      </c>
      <c r="BT179" s="9">
        <v>181909865</v>
      </c>
      <c r="BU179" s="9">
        <v>182635761</v>
      </c>
      <c r="BV179" s="9">
        <v>182989649</v>
      </c>
      <c r="BW179" s="9">
        <v>182989649</v>
      </c>
      <c r="BX179" s="9">
        <v>182989649</v>
      </c>
      <c r="BY179" s="9">
        <v>182989649</v>
      </c>
      <c r="BZ179" s="9">
        <v>182989649</v>
      </c>
      <c r="CA179" s="9">
        <v>182989649</v>
      </c>
      <c r="CB179" s="31">
        <v>182989649</v>
      </c>
    </row>
    <row r="180" spans="2:80" x14ac:dyDescent="0.3">
      <c r="B180" s="7" t="s">
        <v>58</v>
      </c>
      <c r="C180" s="9">
        <v>273426027</v>
      </c>
      <c r="D180" s="9">
        <v>273426027</v>
      </c>
      <c r="E180" s="9">
        <v>273426027</v>
      </c>
      <c r="F180" s="9">
        <v>272661797</v>
      </c>
      <c r="G180" s="9">
        <v>269607341</v>
      </c>
      <c r="H180" s="9">
        <v>269607341</v>
      </c>
      <c r="I180" s="9">
        <v>269607341</v>
      </c>
      <c r="J180" s="9">
        <v>244098234</v>
      </c>
      <c r="K180" s="9">
        <v>244911929</v>
      </c>
      <c r="L180" s="9">
        <v>245071929</v>
      </c>
      <c r="M180" s="9">
        <v>245036929</v>
      </c>
      <c r="N180" s="9">
        <v>247350627</v>
      </c>
      <c r="O180" s="31">
        <v>247350627</v>
      </c>
      <c r="P180" s="9">
        <v>229958421</v>
      </c>
      <c r="Q180" s="9">
        <v>248269635</v>
      </c>
      <c r="R180" s="9">
        <v>248269635</v>
      </c>
      <c r="S180" s="9">
        <v>248269635</v>
      </c>
      <c r="T180" s="9">
        <v>248604168</v>
      </c>
      <c r="U180" s="9">
        <v>248604168</v>
      </c>
      <c r="V180" s="9">
        <v>248604168</v>
      </c>
      <c r="W180" s="9">
        <v>248604168</v>
      </c>
      <c r="X180" s="9">
        <v>222179302</v>
      </c>
      <c r="Y180" s="9">
        <v>222179302</v>
      </c>
      <c r="Z180" s="9">
        <v>224869873</v>
      </c>
      <c r="AA180" s="9">
        <v>226989568</v>
      </c>
      <c r="AB180" s="31">
        <v>226989568</v>
      </c>
      <c r="AC180" s="9">
        <v>219835704</v>
      </c>
      <c r="AD180" s="9">
        <v>219875704</v>
      </c>
      <c r="AE180" s="9">
        <v>219875704</v>
      </c>
      <c r="AF180" s="9">
        <v>219875704</v>
      </c>
      <c r="AG180" s="9">
        <v>219875704</v>
      </c>
      <c r="AH180" s="9">
        <v>229875704</v>
      </c>
      <c r="AI180" s="9">
        <v>229939914</v>
      </c>
      <c r="AJ180" s="9">
        <v>229939914</v>
      </c>
      <c r="AK180" s="9">
        <v>229939914</v>
      </c>
      <c r="AL180" s="9">
        <v>229939914</v>
      </c>
      <c r="AM180" s="9">
        <v>253921925</v>
      </c>
      <c r="AN180" s="9">
        <v>254289795</v>
      </c>
      <c r="AO180" s="31">
        <v>254289795</v>
      </c>
      <c r="AP180" s="9">
        <v>293321880</v>
      </c>
      <c r="AQ180" s="9">
        <v>293321880</v>
      </c>
      <c r="AR180" s="9">
        <v>295017448</v>
      </c>
      <c r="AS180" s="9">
        <v>295017448</v>
      </c>
      <c r="AT180" s="9">
        <v>295296897</v>
      </c>
      <c r="AU180" s="9">
        <v>295296897</v>
      </c>
      <c r="AV180" s="9">
        <v>295296897</v>
      </c>
      <c r="AW180" s="9">
        <v>295296897</v>
      </c>
      <c r="AX180" s="9">
        <v>295296897</v>
      </c>
      <c r="AY180" s="9">
        <v>292814252</v>
      </c>
      <c r="AZ180" s="9">
        <v>294214252</v>
      </c>
      <c r="BA180" s="9">
        <v>303934966</v>
      </c>
      <c r="BB180" s="31">
        <v>303934966</v>
      </c>
      <c r="BC180" s="9">
        <v>339023824</v>
      </c>
      <c r="BD180" s="9">
        <v>339191329</v>
      </c>
      <c r="BE180" s="9">
        <v>339191329</v>
      </c>
      <c r="BF180" s="9">
        <v>339191329</v>
      </c>
      <c r="BG180" s="9">
        <v>339191329</v>
      </c>
      <c r="BH180" s="9">
        <v>339191329</v>
      </c>
      <c r="BI180" s="9">
        <v>358437931</v>
      </c>
      <c r="BJ180" s="9">
        <v>358437931</v>
      </c>
      <c r="BK180" s="9">
        <v>358437931</v>
      </c>
      <c r="BL180" s="9">
        <v>339273828</v>
      </c>
      <c r="BM180" s="9">
        <v>335170414</v>
      </c>
      <c r="BN180" s="9">
        <v>330148272</v>
      </c>
      <c r="BO180" s="31">
        <v>330148272</v>
      </c>
      <c r="BP180" s="9">
        <v>343891426</v>
      </c>
      <c r="BQ180" s="9">
        <v>340891426</v>
      </c>
      <c r="BR180" s="9">
        <v>340891426</v>
      </c>
      <c r="BS180" s="9">
        <v>340891426</v>
      </c>
      <c r="BT180" s="9">
        <v>340891426</v>
      </c>
      <c r="BU180" s="9">
        <v>345526651</v>
      </c>
      <c r="BV180" s="9">
        <v>345526651</v>
      </c>
      <c r="BW180" s="9">
        <v>345526651</v>
      </c>
      <c r="BX180" s="9">
        <v>345526651</v>
      </c>
      <c r="BY180" s="9">
        <v>345526651</v>
      </c>
      <c r="BZ180" s="9">
        <v>345526651</v>
      </c>
      <c r="CA180" s="9">
        <v>345526651</v>
      </c>
      <c r="CB180" s="31">
        <v>345526651</v>
      </c>
    </row>
    <row r="181" spans="2:80" x14ac:dyDescent="0.3">
      <c r="B181" s="7" t="s">
        <v>59</v>
      </c>
      <c r="C181" s="9">
        <v>189005523</v>
      </c>
      <c r="D181" s="9">
        <v>189005523</v>
      </c>
      <c r="E181" s="9">
        <v>189245523</v>
      </c>
      <c r="F181" s="9">
        <v>189245523</v>
      </c>
      <c r="G181" s="9">
        <v>196762953</v>
      </c>
      <c r="H181" s="9">
        <v>196762953</v>
      </c>
      <c r="I181" s="9">
        <v>196762953</v>
      </c>
      <c r="J181" s="9">
        <v>171602853</v>
      </c>
      <c r="K181" s="9">
        <v>171602853</v>
      </c>
      <c r="L181" s="9">
        <v>162552848</v>
      </c>
      <c r="M181" s="9">
        <v>143542848</v>
      </c>
      <c r="N181" s="9">
        <v>129759877</v>
      </c>
      <c r="O181" s="31">
        <v>129759877</v>
      </c>
      <c r="P181" s="9">
        <v>158633262</v>
      </c>
      <c r="Q181" s="9">
        <v>187900956</v>
      </c>
      <c r="R181" s="9">
        <v>187900956</v>
      </c>
      <c r="S181" s="9">
        <v>187900956</v>
      </c>
      <c r="T181" s="9">
        <v>187990956</v>
      </c>
      <c r="U181" s="9">
        <v>188450355</v>
      </c>
      <c r="V181" s="9">
        <v>188450355</v>
      </c>
      <c r="W181" s="9">
        <v>183623469</v>
      </c>
      <c r="X181" s="9">
        <v>158811874</v>
      </c>
      <c r="Y181" s="9">
        <v>158811874</v>
      </c>
      <c r="Z181" s="9">
        <v>158923874</v>
      </c>
      <c r="AA181" s="9">
        <v>157575218</v>
      </c>
      <c r="AB181" s="31">
        <v>157575218</v>
      </c>
      <c r="AC181" s="9">
        <v>194797448</v>
      </c>
      <c r="AD181" s="9">
        <v>194827253</v>
      </c>
      <c r="AE181" s="9">
        <v>194827253</v>
      </c>
      <c r="AF181" s="9">
        <v>194827253</v>
      </c>
      <c r="AG181" s="9">
        <v>194827253</v>
      </c>
      <c r="AH181" s="9">
        <v>194827253</v>
      </c>
      <c r="AI181" s="9">
        <v>194827253</v>
      </c>
      <c r="AJ181" s="9">
        <v>194827253</v>
      </c>
      <c r="AK181" s="9">
        <v>194827253</v>
      </c>
      <c r="AL181" s="9">
        <v>194827253</v>
      </c>
      <c r="AM181" s="9">
        <v>200746614</v>
      </c>
      <c r="AN181" s="9">
        <v>203572763</v>
      </c>
      <c r="AO181" s="31">
        <v>203572763</v>
      </c>
      <c r="AP181" s="9">
        <v>249756619</v>
      </c>
      <c r="AQ181" s="9">
        <v>249756619</v>
      </c>
      <c r="AR181" s="9">
        <v>251561509</v>
      </c>
      <c r="AS181" s="9">
        <v>251561509</v>
      </c>
      <c r="AT181" s="9">
        <v>251910867</v>
      </c>
      <c r="AU181" s="9">
        <v>251910867</v>
      </c>
      <c r="AV181" s="9">
        <v>251910867</v>
      </c>
      <c r="AW181" s="9">
        <v>251910867</v>
      </c>
      <c r="AX181" s="9">
        <v>257090867</v>
      </c>
      <c r="AY181" s="9">
        <v>259715030</v>
      </c>
      <c r="AZ181" s="9">
        <v>261715030</v>
      </c>
      <c r="BA181" s="9">
        <v>266347073</v>
      </c>
      <c r="BB181" s="31">
        <v>266347073</v>
      </c>
      <c r="BC181" s="9">
        <v>284310890</v>
      </c>
      <c r="BD181" s="9">
        <v>284664514</v>
      </c>
      <c r="BE181" s="9">
        <v>285230729</v>
      </c>
      <c r="BF181" s="9">
        <v>285410729</v>
      </c>
      <c r="BG181" s="9">
        <v>285410729</v>
      </c>
      <c r="BH181" s="9">
        <v>285410729</v>
      </c>
      <c r="BI181" s="9">
        <v>287486255</v>
      </c>
      <c r="BJ181" s="9">
        <v>287486255</v>
      </c>
      <c r="BK181" s="9">
        <v>287486255</v>
      </c>
      <c r="BL181" s="9">
        <v>284249006</v>
      </c>
      <c r="BM181" s="9">
        <v>284249006</v>
      </c>
      <c r="BN181" s="9">
        <v>282838420</v>
      </c>
      <c r="BO181" s="31">
        <v>282838420</v>
      </c>
      <c r="BP181" s="9">
        <v>280082307</v>
      </c>
      <c r="BQ181" s="9">
        <v>275682307</v>
      </c>
      <c r="BR181" s="9">
        <v>275682307</v>
      </c>
      <c r="BS181" s="9">
        <v>275682307</v>
      </c>
      <c r="BT181" s="9">
        <v>275682307</v>
      </c>
      <c r="BU181" s="9">
        <v>277309735</v>
      </c>
      <c r="BV181" s="9">
        <v>277430246</v>
      </c>
      <c r="BW181" s="9">
        <v>277430246</v>
      </c>
      <c r="BX181" s="9">
        <v>277430246</v>
      </c>
      <c r="BY181" s="9">
        <v>277430246</v>
      </c>
      <c r="BZ181" s="9">
        <v>277430246</v>
      </c>
      <c r="CA181" s="9">
        <v>277430246</v>
      </c>
      <c r="CB181" s="31">
        <v>277430246</v>
      </c>
    </row>
    <row r="182" spans="2:80" x14ac:dyDescent="0.3">
      <c r="B182" s="7" t="s">
        <v>60</v>
      </c>
      <c r="C182" s="9">
        <v>59001297</v>
      </c>
      <c r="D182" s="9">
        <v>59001297</v>
      </c>
      <c r="E182" s="9">
        <v>59001297</v>
      </c>
      <c r="F182" s="9">
        <v>59118445</v>
      </c>
      <c r="G182" s="9">
        <v>57090170</v>
      </c>
      <c r="H182" s="9">
        <v>57090170</v>
      </c>
      <c r="I182" s="9">
        <v>57090170</v>
      </c>
      <c r="J182" s="9">
        <v>50890170</v>
      </c>
      <c r="K182" s="9">
        <v>50890170</v>
      </c>
      <c r="L182" s="9">
        <v>52741430</v>
      </c>
      <c r="M182" s="9">
        <v>53735001</v>
      </c>
      <c r="N182" s="9">
        <v>47671970</v>
      </c>
      <c r="O182" s="31">
        <v>47671970</v>
      </c>
      <c r="P182" s="9">
        <v>65122616</v>
      </c>
      <c r="Q182" s="9">
        <v>72160481</v>
      </c>
      <c r="R182" s="9">
        <v>71346442</v>
      </c>
      <c r="S182" s="9">
        <v>71346442</v>
      </c>
      <c r="T182" s="9">
        <v>71346442</v>
      </c>
      <c r="U182" s="9">
        <v>71346442</v>
      </c>
      <c r="V182" s="9">
        <v>71346442</v>
      </c>
      <c r="W182" s="9">
        <v>71346442</v>
      </c>
      <c r="X182" s="9">
        <v>65286442</v>
      </c>
      <c r="Y182" s="9">
        <v>65286442</v>
      </c>
      <c r="Z182" s="9">
        <v>65286442</v>
      </c>
      <c r="AA182" s="9">
        <v>52386172</v>
      </c>
      <c r="AB182" s="31">
        <v>52386172</v>
      </c>
      <c r="AC182" s="9">
        <v>71702362</v>
      </c>
      <c r="AD182" s="9">
        <v>72287362</v>
      </c>
      <c r="AE182" s="9">
        <v>72287362</v>
      </c>
      <c r="AF182" s="9">
        <v>72287362</v>
      </c>
      <c r="AG182" s="9">
        <v>72287362</v>
      </c>
      <c r="AH182" s="9">
        <v>72478562</v>
      </c>
      <c r="AI182" s="9">
        <v>72478562</v>
      </c>
      <c r="AJ182" s="9">
        <v>72478562</v>
      </c>
      <c r="AK182" s="9">
        <v>72478562</v>
      </c>
      <c r="AL182" s="9">
        <v>72483602</v>
      </c>
      <c r="AM182" s="9">
        <v>64323602</v>
      </c>
      <c r="AN182" s="9">
        <v>61141985</v>
      </c>
      <c r="AO182" s="31">
        <v>61141985</v>
      </c>
      <c r="AP182" s="9">
        <v>85120131</v>
      </c>
      <c r="AQ182" s="9">
        <v>85120131</v>
      </c>
      <c r="AR182" s="9">
        <v>85280131</v>
      </c>
      <c r="AS182" s="9">
        <v>85280131</v>
      </c>
      <c r="AT182" s="9">
        <v>85442459</v>
      </c>
      <c r="AU182" s="9">
        <v>85442459</v>
      </c>
      <c r="AV182" s="9">
        <v>85442459</v>
      </c>
      <c r="AW182" s="9">
        <v>85442459</v>
      </c>
      <c r="AX182" s="9">
        <v>85442459</v>
      </c>
      <c r="AY182" s="9">
        <v>78525914</v>
      </c>
      <c r="AZ182" s="9">
        <v>78525914</v>
      </c>
      <c r="BA182" s="9">
        <v>73852164</v>
      </c>
      <c r="BB182" s="31">
        <v>73852164</v>
      </c>
      <c r="BC182" s="9">
        <v>105212754</v>
      </c>
      <c r="BD182" s="9">
        <v>105414108</v>
      </c>
      <c r="BE182" s="9">
        <v>106293108</v>
      </c>
      <c r="BF182" s="9">
        <v>106293108</v>
      </c>
      <c r="BG182" s="9">
        <v>106293108</v>
      </c>
      <c r="BH182" s="9">
        <v>106512970</v>
      </c>
      <c r="BI182" s="9">
        <v>90904180</v>
      </c>
      <c r="BJ182" s="9">
        <v>90904180</v>
      </c>
      <c r="BK182" s="9">
        <v>90904180</v>
      </c>
      <c r="BL182" s="9">
        <v>78690932</v>
      </c>
      <c r="BM182" s="9">
        <v>76260230</v>
      </c>
      <c r="BN182" s="9">
        <v>68572554</v>
      </c>
      <c r="BO182" s="31">
        <v>68572554</v>
      </c>
      <c r="BP182" s="9">
        <v>84118714</v>
      </c>
      <c r="BQ182" s="9">
        <v>82118714</v>
      </c>
      <c r="BR182" s="9">
        <v>82118714</v>
      </c>
      <c r="BS182" s="9">
        <v>82118714</v>
      </c>
      <c r="BT182" s="9">
        <v>82118714</v>
      </c>
      <c r="BU182" s="9">
        <v>82920697</v>
      </c>
      <c r="BV182" s="9">
        <v>83140559</v>
      </c>
      <c r="BW182" s="9">
        <v>83140559</v>
      </c>
      <c r="BX182" s="9">
        <v>83140559</v>
      </c>
      <c r="BY182" s="9">
        <v>83140559</v>
      </c>
      <c r="BZ182" s="9">
        <v>83140559</v>
      </c>
      <c r="CA182" s="9">
        <v>83140559</v>
      </c>
      <c r="CB182" s="31">
        <v>83140559</v>
      </c>
    </row>
    <row r="183" spans="2:80" x14ac:dyDescent="0.3">
      <c r="B183" s="7" t="s">
        <v>61</v>
      </c>
      <c r="C183" s="9">
        <v>121277707</v>
      </c>
      <c r="D183" s="9">
        <v>121277707</v>
      </c>
      <c r="E183" s="9">
        <v>121277707</v>
      </c>
      <c r="F183" s="9">
        <v>121584457</v>
      </c>
      <c r="G183" s="9">
        <v>118994815</v>
      </c>
      <c r="H183" s="9">
        <v>118994815</v>
      </c>
      <c r="I183" s="9">
        <v>118994815</v>
      </c>
      <c r="J183" s="9">
        <v>115194815</v>
      </c>
      <c r="K183" s="9">
        <v>115194815</v>
      </c>
      <c r="L183" s="9">
        <v>115194815</v>
      </c>
      <c r="M183" s="9">
        <v>115179815</v>
      </c>
      <c r="N183" s="9">
        <v>113154266</v>
      </c>
      <c r="O183" s="31">
        <v>113154266</v>
      </c>
      <c r="P183" s="9">
        <v>107124855</v>
      </c>
      <c r="Q183" s="9">
        <v>116329347</v>
      </c>
      <c r="R183" s="9">
        <v>116329347</v>
      </c>
      <c r="S183" s="9">
        <v>116329347</v>
      </c>
      <c r="T183" s="9">
        <v>116329347</v>
      </c>
      <c r="U183" s="9">
        <v>116329347</v>
      </c>
      <c r="V183" s="9">
        <v>116329347</v>
      </c>
      <c r="W183" s="9">
        <v>116476369</v>
      </c>
      <c r="X183" s="9">
        <v>117634869</v>
      </c>
      <c r="Y183" s="9">
        <v>117634869</v>
      </c>
      <c r="Z183" s="9">
        <v>117834869</v>
      </c>
      <c r="AA183" s="9">
        <v>118428905</v>
      </c>
      <c r="AB183" s="31">
        <v>118428905</v>
      </c>
      <c r="AC183" s="9">
        <v>132146653</v>
      </c>
      <c r="AD183" s="9">
        <v>132146653</v>
      </c>
      <c r="AE183" s="9">
        <v>132146653</v>
      </c>
      <c r="AF183" s="9">
        <v>132146653</v>
      </c>
      <c r="AG183" s="9">
        <v>132146653</v>
      </c>
      <c r="AH183" s="9">
        <v>148146653</v>
      </c>
      <c r="AI183" s="9">
        <v>148146653</v>
      </c>
      <c r="AJ183" s="9">
        <v>148146653</v>
      </c>
      <c r="AK183" s="9">
        <v>148146653</v>
      </c>
      <c r="AL183" s="9">
        <v>148146653</v>
      </c>
      <c r="AM183" s="9">
        <v>144769767</v>
      </c>
      <c r="AN183" s="9">
        <v>146848229</v>
      </c>
      <c r="AO183" s="31">
        <v>146848229</v>
      </c>
      <c r="AP183" s="9">
        <v>153857890</v>
      </c>
      <c r="AQ183" s="9">
        <v>153857890</v>
      </c>
      <c r="AR183" s="9">
        <v>154097890</v>
      </c>
      <c r="AS183" s="9">
        <v>154097890</v>
      </c>
      <c r="AT183" s="9">
        <v>154097890</v>
      </c>
      <c r="AU183" s="9">
        <v>154097890</v>
      </c>
      <c r="AV183" s="9">
        <v>154097890</v>
      </c>
      <c r="AW183" s="9">
        <v>154097890</v>
      </c>
      <c r="AX183" s="9">
        <v>164097890</v>
      </c>
      <c r="AY183" s="9">
        <v>190206299</v>
      </c>
      <c r="AZ183" s="9">
        <v>193206299</v>
      </c>
      <c r="BA183" s="9">
        <v>209110935</v>
      </c>
      <c r="BB183" s="31">
        <v>209110935</v>
      </c>
      <c r="BC183" s="9">
        <v>204729212</v>
      </c>
      <c r="BD183" s="9">
        <v>206516275</v>
      </c>
      <c r="BE183" s="9">
        <v>206516275</v>
      </c>
      <c r="BF183" s="9">
        <v>206516275</v>
      </c>
      <c r="BG183" s="9">
        <v>206516275</v>
      </c>
      <c r="BH183" s="9">
        <v>206516275</v>
      </c>
      <c r="BI183" s="9">
        <v>226188007</v>
      </c>
      <c r="BJ183" s="9">
        <v>226188007</v>
      </c>
      <c r="BK183" s="9">
        <v>226188007</v>
      </c>
      <c r="BL183" s="9">
        <v>240800108</v>
      </c>
      <c r="BM183" s="9">
        <v>240800108</v>
      </c>
      <c r="BN183" s="9">
        <v>256732296</v>
      </c>
      <c r="BO183" s="31">
        <v>256732296</v>
      </c>
      <c r="BP183" s="9">
        <v>253550567</v>
      </c>
      <c r="BQ183" s="9">
        <v>249550567</v>
      </c>
      <c r="BR183" s="9">
        <v>249550567</v>
      </c>
      <c r="BS183" s="9">
        <v>249550567</v>
      </c>
      <c r="BT183" s="9">
        <v>249550567</v>
      </c>
      <c r="BU183" s="9">
        <v>252101636</v>
      </c>
      <c r="BV183" s="9">
        <v>253151342</v>
      </c>
      <c r="BW183" s="9">
        <v>253151342</v>
      </c>
      <c r="BX183" s="9">
        <v>253151342</v>
      </c>
      <c r="BY183" s="9">
        <v>253151342</v>
      </c>
      <c r="BZ183" s="9">
        <v>253151342</v>
      </c>
      <c r="CA183" s="9">
        <v>253151342</v>
      </c>
      <c r="CB183" s="31">
        <v>253151342</v>
      </c>
    </row>
    <row r="184" spans="2:80" x14ac:dyDescent="0.3">
      <c r="B184" s="7" t="s">
        <v>62</v>
      </c>
      <c r="C184" s="9">
        <v>29319332</v>
      </c>
      <c r="D184" s="9">
        <v>29319332</v>
      </c>
      <c r="E184" s="9">
        <v>29319332</v>
      </c>
      <c r="F184" s="9">
        <v>31319332</v>
      </c>
      <c r="G184" s="9">
        <v>26187092</v>
      </c>
      <c r="H184" s="9">
        <v>26187092</v>
      </c>
      <c r="I184" s="9">
        <v>26187092</v>
      </c>
      <c r="J184" s="9">
        <v>28478553</v>
      </c>
      <c r="K184" s="9">
        <v>28478553</v>
      </c>
      <c r="L184" s="9">
        <v>29018366</v>
      </c>
      <c r="M184" s="9">
        <v>29018366</v>
      </c>
      <c r="N184" s="9">
        <v>28917061</v>
      </c>
      <c r="O184" s="31">
        <v>28917061</v>
      </c>
      <c r="P184" s="9">
        <v>28166564</v>
      </c>
      <c r="Q184" s="9">
        <v>31431649</v>
      </c>
      <c r="R184" s="9">
        <v>31431649</v>
      </c>
      <c r="S184" s="9">
        <v>31431649</v>
      </c>
      <c r="T184" s="9">
        <v>31431649</v>
      </c>
      <c r="U184" s="9">
        <v>31431649</v>
      </c>
      <c r="V184" s="9">
        <v>31431649</v>
      </c>
      <c r="W184" s="9">
        <v>31431649</v>
      </c>
      <c r="X184" s="9">
        <v>37867832</v>
      </c>
      <c r="Y184" s="9">
        <v>41047832</v>
      </c>
      <c r="Z184" s="9">
        <v>41047832</v>
      </c>
      <c r="AA184" s="9">
        <v>39557869</v>
      </c>
      <c r="AB184" s="31">
        <v>39557869</v>
      </c>
      <c r="AC184" s="9">
        <v>52334886</v>
      </c>
      <c r="AD184" s="9">
        <v>52334886</v>
      </c>
      <c r="AE184" s="9">
        <v>52334886</v>
      </c>
      <c r="AF184" s="9">
        <v>52502663</v>
      </c>
      <c r="AG184" s="9">
        <v>52502663</v>
      </c>
      <c r="AH184" s="9">
        <v>52502663</v>
      </c>
      <c r="AI184" s="9">
        <v>52502663</v>
      </c>
      <c r="AJ184" s="9">
        <v>52502663</v>
      </c>
      <c r="AK184" s="9">
        <v>52502663</v>
      </c>
      <c r="AL184" s="9">
        <v>52502663</v>
      </c>
      <c r="AM184" s="9">
        <v>52972280</v>
      </c>
      <c r="AN184" s="9">
        <v>52755613</v>
      </c>
      <c r="AO184" s="31">
        <v>52755613</v>
      </c>
      <c r="AP184" s="9">
        <v>33487034</v>
      </c>
      <c r="AQ184" s="9">
        <v>33487034</v>
      </c>
      <c r="AR184" s="9">
        <v>33647034</v>
      </c>
      <c r="AS184" s="9">
        <v>33647034</v>
      </c>
      <c r="AT184" s="9">
        <v>34097034</v>
      </c>
      <c r="AU184" s="9">
        <v>34097034</v>
      </c>
      <c r="AV184" s="9">
        <v>34097034</v>
      </c>
      <c r="AW184" s="9">
        <v>34097034</v>
      </c>
      <c r="AX184" s="9">
        <v>34097034</v>
      </c>
      <c r="AY184" s="9">
        <v>36842945</v>
      </c>
      <c r="AZ184" s="9">
        <v>39842945</v>
      </c>
      <c r="BA184" s="9">
        <v>40911462</v>
      </c>
      <c r="BB184" s="31">
        <v>40911462</v>
      </c>
      <c r="BC184" s="9">
        <v>62332384</v>
      </c>
      <c r="BD184" s="9">
        <v>62658631</v>
      </c>
      <c r="BE184" s="9">
        <v>62658631</v>
      </c>
      <c r="BF184" s="9">
        <v>62658631</v>
      </c>
      <c r="BG184" s="9">
        <v>62658631</v>
      </c>
      <c r="BH184" s="9">
        <v>62940186</v>
      </c>
      <c r="BI184" s="9">
        <v>62859105</v>
      </c>
      <c r="BJ184" s="9">
        <v>62859105</v>
      </c>
      <c r="BK184" s="9">
        <v>62859105</v>
      </c>
      <c r="BL184" s="9">
        <v>61143121</v>
      </c>
      <c r="BM184" s="9">
        <v>59245303</v>
      </c>
      <c r="BN184" s="9">
        <v>50534617</v>
      </c>
      <c r="BO184" s="31">
        <v>50534617</v>
      </c>
      <c r="BP184" s="9">
        <v>52358707</v>
      </c>
      <c r="BQ184" s="9">
        <v>51458707</v>
      </c>
      <c r="BR184" s="9">
        <v>51458707</v>
      </c>
      <c r="BS184" s="9">
        <v>51458707</v>
      </c>
      <c r="BT184" s="9">
        <v>51458707</v>
      </c>
      <c r="BU184" s="9">
        <v>51630599</v>
      </c>
      <c r="BV184" s="9">
        <v>51630599</v>
      </c>
      <c r="BW184" s="9">
        <v>51630599</v>
      </c>
      <c r="BX184" s="9">
        <v>51630599</v>
      </c>
      <c r="BY184" s="9">
        <v>51630599</v>
      </c>
      <c r="BZ184" s="9">
        <v>51630599</v>
      </c>
      <c r="CA184" s="9">
        <v>51630599</v>
      </c>
      <c r="CB184" s="31">
        <v>51630599</v>
      </c>
    </row>
    <row r="185" spans="2:80" x14ac:dyDescent="0.3">
      <c r="B185" s="7" t="s">
        <v>63</v>
      </c>
      <c r="C185" s="9">
        <v>21317527</v>
      </c>
      <c r="D185" s="9">
        <v>21317527</v>
      </c>
      <c r="E185" s="9">
        <v>21317527</v>
      </c>
      <c r="F185" s="9">
        <v>21317527</v>
      </c>
      <c r="G185" s="9">
        <v>21160855</v>
      </c>
      <c r="H185" s="9">
        <v>21160855</v>
      </c>
      <c r="I185" s="9">
        <v>21160855</v>
      </c>
      <c r="J185" s="9">
        <v>34040855</v>
      </c>
      <c r="K185" s="9">
        <v>48852697</v>
      </c>
      <c r="L185" s="9">
        <v>49002697</v>
      </c>
      <c r="M185" s="9">
        <v>50144753</v>
      </c>
      <c r="N185" s="9">
        <v>51896873</v>
      </c>
      <c r="O185" s="31">
        <v>51896873</v>
      </c>
      <c r="P185" s="9">
        <v>52237769</v>
      </c>
      <c r="Q185" s="9">
        <v>53125446</v>
      </c>
      <c r="R185" s="9">
        <v>53125446</v>
      </c>
      <c r="S185" s="9">
        <v>53125446</v>
      </c>
      <c r="T185" s="9">
        <v>53125446</v>
      </c>
      <c r="U185" s="9">
        <v>53125446</v>
      </c>
      <c r="V185" s="9">
        <v>53125446</v>
      </c>
      <c r="W185" s="9">
        <v>53125446</v>
      </c>
      <c r="X185" s="9">
        <v>53388446</v>
      </c>
      <c r="Y185" s="9">
        <v>53388446</v>
      </c>
      <c r="Z185" s="9">
        <v>53388446</v>
      </c>
      <c r="AA185" s="9">
        <v>59801404</v>
      </c>
      <c r="AB185" s="31">
        <v>59801404</v>
      </c>
      <c r="AC185" s="9">
        <v>41497084</v>
      </c>
      <c r="AD185" s="9">
        <v>42113043</v>
      </c>
      <c r="AE185" s="9">
        <v>42113043</v>
      </c>
      <c r="AF185" s="9">
        <v>42113043</v>
      </c>
      <c r="AG185" s="9">
        <v>42113043</v>
      </c>
      <c r="AH185" s="9">
        <v>42113043</v>
      </c>
      <c r="AI185" s="9">
        <v>42113043</v>
      </c>
      <c r="AJ185" s="9">
        <v>42113043</v>
      </c>
      <c r="AK185" s="9">
        <v>42113043</v>
      </c>
      <c r="AL185" s="9">
        <v>42113043</v>
      </c>
      <c r="AM185" s="9">
        <v>42084164</v>
      </c>
      <c r="AN185" s="9">
        <v>49312263</v>
      </c>
      <c r="AO185" s="31">
        <v>49312263</v>
      </c>
      <c r="AP185" s="9">
        <v>86021116</v>
      </c>
      <c r="AQ185" s="9">
        <v>86021116</v>
      </c>
      <c r="AR185" s="9">
        <v>86101116</v>
      </c>
      <c r="AS185" s="9">
        <v>86101116</v>
      </c>
      <c r="AT185" s="9">
        <v>86101116</v>
      </c>
      <c r="AU185" s="9">
        <v>86101116</v>
      </c>
      <c r="AV185" s="9">
        <v>86101116</v>
      </c>
      <c r="AW185" s="9">
        <v>86101116</v>
      </c>
      <c r="AX185" s="9">
        <v>86101116</v>
      </c>
      <c r="AY185" s="9">
        <v>68621867</v>
      </c>
      <c r="AZ185" s="9">
        <v>68621867</v>
      </c>
      <c r="BA185" s="9">
        <v>66490061</v>
      </c>
      <c r="BB185" s="31">
        <v>66490061</v>
      </c>
      <c r="BC185" s="9">
        <v>122155247</v>
      </c>
      <c r="BD185" s="9">
        <v>122406272</v>
      </c>
      <c r="BE185" s="9">
        <v>122406272</v>
      </c>
      <c r="BF185" s="9">
        <v>122406272</v>
      </c>
      <c r="BG185" s="9">
        <v>122406272</v>
      </c>
      <c r="BH185" s="9">
        <v>122323772</v>
      </c>
      <c r="BI185" s="9">
        <v>68851579</v>
      </c>
      <c r="BJ185" s="9">
        <v>68851579</v>
      </c>
      <c r="BK185" s="9">
        <v>68851579</v>
      </c>
      <c r="BL185" s="9">
        <v>54909642</v>
      </c>
      <c r="BM185" s="9">
        <v>54936042</v>
      </c>
      <c r="BN185" s="9">
        <v>54940045</v>
      </c>
      <c r="BO185" s="31">
        <v>54940045</v>
      </c>
      <c r="BP185" s="9">
        <v>77301509</v>
      </c>
      <c r="BQ185" s="9">
        <v>76051509</v>
      </c>
      <c r="BR185" s="9">
        <v>76051509</v>
      </c>
      <c r="BS185" s="9">
        <v>76051509</v>
      </c>
      <c r="BT185" s="9">
        <v>76051509</v>
      </c>
      <c r="BU185" s="9">
        <v>76096259</v>
      </c>
      <c r="BV185" s="9">
        <v>76096259</v>
      </c>
      <c r="BW185" s="9">
        <v>76096259</v>
      </c>
      <c r="BX185" s="9">
        <v>76096259</v>
      </c>
      <c r="BY185" s="9">
        <v>76096259</v>
      </c>
      <c r="BZ185" s="9">
        <v>76096259</v>
      </c>
      <c r="CA185" s="9">
        <v>76096259</v>
      </c>
      <c r="CB185" s="31">
        <v>76096259</v>
      </c>
    </row>
    <row r="186" spans="2:80" x14ac:dyDescent="0.3">
      <c r="B186" s="11" t="s">
        <v>119</v>
      </c>
      <c r="C186" s="13">
        <f t="shared" ref="C186:AH186" si="21">SUM(C168:C185)</f>
        <v>1793097028</v>
      </c>
      <c r="D186" s="13">
        <f t="shared" si="21"/>
        <v>1801597028</v>
      </c>
      <c r="E186" s="13">
        <f t="shared" si="21"/>
        <v>1802085028</v>
      </c>
      <c r="F186" s="13">
        <f t="shared" si="21"/>
        <v>1809625068</v>
      </c>
      <c r="G186" s="13">
        <f t="shared" si="21"/>
        <v>1817494498</v>
      </c>
      <c r="H186" s="13">
        <f t="shared" si="21"/>
        <v>1817494498</v>
      </c>
      <c r="I186" s="13">
        <f t="shared" si="21"/>
        <v>1817477537</v>
      </c>
      <c r="J186" s="13">
        <f t="shared" si="21"/>
        <v>1817477537</v>
      </c>
      <c r="K186" s="13">
        <f t="shared" si="21"/>
        <v>1833996481</v>
      </c>
      <c r="L186" s="13">
        <f t="shared" si="21"/>
        <v>1837440991</v>
      </c>
      <c r="M186" s="13">
        <f t="shared" si="21"/>
        <v>1878448804</v>
      </c>
      <c r="N186" s="13">
        <f t="shared" si="21"/>
        <v>1877434454</v>
      </c>
      <c r="O186" s="13">
        <f t="shared" si="21"/>
        <v>1877434454</v>
      </c>
      <c r="P186" s="13">
        <f t="shared" si="21"/>
        <v>1981210073</v>
      </c>
      <c r="Q186" s="13">
        <f t="shared" si="21"/>
        <v>2149725967</v>
      </c>
      <c r="R186" s="13">
        <f t="shared" si="21"/>
        <v>2147822213</v>
      </c>
      <c r="S186" s="13">
        <f t="shared" si="21"/>
        <v>2145307698</v>
      </c>
      <c r="T186" s="13">
        <f t="shared" si="21"/>
        <v>2135988009</v>
      </c>
      <c r="U186" s="13">
        <f t="shared" si="21"/>
        <v>2135988009</v>
      </c>
      <c r="V186" s="13">
        <f t="shared" si="21"/>
        <v>2135819215</v>
      </c>
      <c r="W186" s="13">
        <f t="shared" si="21"/>
        <v>2135731715</v>
      </c>
      <c r="X186" s="13">
        <f t="shared" si="21"/>
        <v>2170696715</v>
      </c>
      <c r="Y186" s="13">
        <f t="shared" si="21"/>
        <v>2150870416</v>
      </c>
      <c r="Z186" s="13">
        <f t="shared" si="21"/>
        <v>2153253967</v>
      </c>
      <c r="AA186" s="13">
        <f t="shared" si="21"/>
        <v>2214571089</v>
      </c>
      <c r="AB186" s="13">
        <f t="shared" si="21"/>
        <v>2214571089</v>
      </c>
      <c r="AC186" s="13">
        <f t="shared" si="21"/>
        <v>2367597587</v>
      </c>
      <c r="AD186" s="13">
        <f t="shared" si="21"/>
        <v>2363619341</v>
      </c>
      <c r="AE186" s="13">
        <f t="shared" si="21"/>
        <v>2363619341</v>
      </c>
      <c r="AF186" s="13">
        <f t="shared" si="21"/>
        <v>2363619341</v>
      </c>
      <c r="AG186" s="13">
        <f t="shared" si="21"/>
        <v>2363619341</v>
      </c>
      <c r="AH186" s="13">
        <f t="shared" si="21"/>
        <v>2448627915</v>
      </c>
      <c r="AI186" s="13">
        <f t="shared" ref="AI186:BN186" si="22">SUM(AI168:AI185)</f>
        <v>2448627915</v>
      </c>
      <c r="AJ186" s="13">
        <f t="shared" si="22"/>
        <v>2448627915</v>
      </c>
      <c r="AK186" s="13">
        <f t="shared" si="22"/>
        <v>2448627915</v>
      </c>
      <c r="AL186" s="13">
        <f t="shared" si="22"/>
        <v>2448627915</v>
      </c>
      <c r="AM186" s="13">
        <f t="shared" si="22"/>
        <v>2499871533</v>
      </c>
      <c r="AN186" s="13">
        <f t="shared" si="22"/>
        <v>2513844950</v>
      </c>
      <c r="AO186" s="13">
        <f t="shared" si="22"/>
        <v>2513844950</v>
      </c>
      <c r="AP186" s="13">
        <f t="shared" si="22"/>
        <v>2729162964</v>
      </c>
      <c r="AQ186" s="13">
        <f t="shared" si="22"/>
        <v>2729162964</v>
      </c>
      <c r="AR186" s="13">
        <f t="shared" si="22"/>
        <v>2735729853</v>
      </c>
      <c r="AS186" s="13">
        <f t="shared" si="22"/>
        <v>2735729853</v>
      </c>
      <c r="AT186" s="13">
        <f t="shared" si="22"/>
        <v>2735729853</v>
      </c>
      <c r="AU186" s="13">
        <f t="shared" si="22"/>
        <v>2735729853</v>
      </c>
      <c r="AV186" s="13">
        <f t="shared" si="22"/>
        <v>2744510478</v>
      </c>
      <c r="AW186" s="13">
        <f t="shared" si="22"/>
        <v>2787101264</v>
      </c>
      <c r="AX186" s="13">
        <f t="shared" si="22"/>
        <v>2832281264</v>
      </c>
      <c r="AY186" s="13">
        <f t="shared" si="22"/>
        <v>2901462420</v>
      </c>
      <c r="AZ186" s="13">
        <f t="shared" si="22"/>
        <v>2945660420</v>
      </c>
      <c r="BA186" s="13">
        <f t="shared" si="22"/>
        <v>2913408485</v>
      </c>
      <c r="BB186" s="13">
        <f t="shared" si="22"/>
        <v>2913408485</v>
      </c>
      <c r="BC186" s="13">
        <f t="shared" si="22"/>
        <v>3213324447</v>
      </c>
      <c r="BD186" s="13">
        <f t="shared" si="22"/>
        <v>3256706784</v>
      </c>
      <c r="BE186" s="13">
        <f t="shared" si="22"/>
        <v>3256706784</v>
      </c>
      <c r="BF186" s="13">
        <f t="shared" si="22"/>
        <v>3258022984</v>
      </c>
      <c r="BG186" s="13">
        <f t="shared" si="22"/>
        <v>3258022984</v>
      </c>
      <c r="BH186" s="13">
        <f t="shared" si="22"/>
        <v>3268606253</v>
      </c>
      <c r="BI186" s="13">
        <f t="shared" si="22"/>
        <v>3284070519</v>
      </c>
      <c r="BJ186" s="13">
        <f t="shared" si="22"/>
        <v>3284070519</v>
      </c>
      <c r="BK186" s="13">
        <f t="shared" si="22"/>
        <v>3284070519</v>
      </c>
      <c r="BL186" s="13">
        <f t="shared" si="22"/>
        <v>3311310679</v>
      </c>
      <c r="BM186" s="13">
        <f t="shared" si="22"/>
        <v>3311473650</v>
      </c>
      <c r="BN186" s="13">
        <f t="shared" si="22"/>
        <v>3265901057</v>
      </c>
      <c r="BO186" s="13">
        <f t="shared" ref="BO186:CT186" si="23">SUM(BO168:BO185)</f>
        <v>3265901057</v>
      </c>
      <c r="BP186" s="13">
        <f t="shared" si="23"/>
        <v>3742452377</v>
      </c>
      <c r="BQ186" s="13">
        <f t="shared" si="23"/>
        <v>3682852377</v>
      </c>
      <c r="BR186" s="13">
        <f t="shared" si="23"/>
        <v>3682852377</v>
      </c>
      <c r="BS186" s="13">
        <f t="shared" si="23"/>
        <v>3682852377</v>
      </c>
      <c r="BT186" s="13">
        <f t="shared" si="23"/>
        <v>3682534203</v>
      </c>
      <c r="BU186" s="13">
        <f t="shared" si="23"/>
        <v>3682046793</v>
      </c>
      <c r="BV186" s="13">
        <f t="shared" si="23"/>
        <v>3682245915</v>
      </c>
      <c r="BW186" s="13">
        <f t="shared" si="23"/>
        <v>3682245915</v>
      </c>
      <c r="BX186" s="13">
        <f t="shared" si="23"/>
        <v>3682245915</v>
      </c>
      <c r="BY186" s="13">
        <f t="shared" si="23"/>
        <v>3682245915</v>
      </c>
      <c r="BZ186" s="13">
        <f t="shared" si="23"/>
        <v>3682245915</v>
      </c>
      <c r="CA186" s="13">
        <f t="shared" si="23"/>
        <v>3682245915</v>
      </c>
      <c r="CB186" s="13">
        <f t="shared" si="23"/>
        <v>3682245915</v>
      </c>
    </row>
    <row r="187" spans="2:80" x14ac:dyDescent="0.3">
      <c r="B187" s="5" t="s">
        <v>120</v>
      </c>
    </row>
    <row r="188" spans="2:80" x14ac:dyDescent="0.3">
      <c r="C188" s="49" t="s">
        <v>90</v>
      </c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49" t="s">
        <v>91</v>
      </c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49" t="s">
        <v>92</v>
      </c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49" t="s">
        <v>93</v>
      </c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49" t="s">
        <v>94</v>
      </c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49" t="s">
        <v>95</v>
      </c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</row>
    <row r="189" spans="2:80" x14ac:dyDescent="0.3">
      <c r="B189" s="19" t="s">
        <v>96</v>
      </c>
      <c r="C189" s="30" t="s">
        <v>67</v>
      </c>
      <c r="D189" s="30" t="s">
        <v>68</v>
      </c>
      <c r="E189" s="30" t="s">
        <v>69</v>
      </c>
      <c r="F189" s="30" t="s">
        <v>70</v>
      </c>
      <c r="G189" s="30" t="s">
        <v>71</v>
      </c>
      <c r="H189" s="30" t="s">
        <v>72</v>
      </c>
      <c r="I189" s="30" t="s">
        <v>73</v>
      </c>
      <c r="J189" s="30" t="s">
        <v>74</v>
      </c>
      <c r="K189" s="30" t="s">
        <v>75</v>
      </c>
      <c r="L189" s="30" t="s">
        <v>76</v>
      </c>
      <c r="M189" s="30" t="s">
        <v>77</v>
      </c>
      <c r="N189" s="30" t="s">
        <v>78</v>
      </c>
      <c r="O189" s="30" t="s">
        <v>97</v>
      </c>
      <c r="P189" s="30" t="s">
        <v>67</v>
      </c>
      <c r="Q189" s="30" t="s">
        <v>68</v>
      </c>
      <c r="R189" s="30" t="s">
        <v>69</v>
      </c>
      <c r="S189" s="30" t="s">
        <v>70</v>
      </c>
      <c r="T189" s="30" t="s">
        <v>71</v>
      </c>
      <c r="U189" s="30" t="s">
        <v>72</v>
      </c>
      <c r="V189" s="30" t="s">
        <v>73</v>
      </c>
      <c r="W189" s="30" t="s">
        <v>74</v>
      </c>
      <c r="X189" s="30" t="s">
        <v>75</v>
      </c>
      <c r="Y189" s="30" t="s">
        <v>76</v>
      </c>
      <c r="Z189" s="30" t="s">
        <v>77</v>
      </c>
      <c r="AA189" s="30" t="s">
        <v>78</v>
      </c>
      <c r="AB189" s="30" t="s">
        <v>98</v>
      </c>
      <c r="AC189" s="30" t="s">
        <v>67</v>
      </c>
      <c r="AD189" s="30" t="s">
        <v>68</v>
      </c>
      <c r="AE189" s="30" t="s">
        <v>69</v>
      </c>
      <c r="AF189" s="30" t="s">
        <v>70</v>
      </c>
      <c r="AG189" s="30" t="s">
        <v>71</v>
      </c>
      <c r="AH189" s="30" t="s">
        <v>72</v>
      </c>
      <c r="AI189" s="30" t="s">
        <v>73</v>
      </c>
      <c r="AJ189" s="30" t="s">
        <v>74</v>
      </c>
      <c r="AK189" s="30" t="s">
        <v>75</v>
      </c>
      <c r="AL189" s="30" t="s">
        <v>76</v>
      </c>
      <c r="AM189" s="30" t="s">
        <v>77</v>
      </c>
      <c r="AN189" s="30" t="s">
        <v>78</v>
      </c>
      <c r="AO189" s="30" t="s">
        <v>99</v>
      </c>
      <c r="AP189" s="30" t="s">
        <v>67</v>
      </c>
      <c r="AQ189" s="30" t="s">
        <v>68</v>
      </c>
      <c r="AR189" s="30" t="s">
        <v>69</v>
      </c>
      <c r="AS189" s="30" t="s">
        <v>70</v>
      </c>
      <c r="AT189" s="30" t="s">
        <v>71</v>
      </c>
      <c r="AU189" s="30" t="s">
        <v>72</v>
      </c>
      <c r="AV189" s="30" t="s">
        <v>73</v>
      </c>
      <c r="AW189" s="30" t="s">
        <v>74</v>
      </c>
      <c r="AX189" s="30" t="s">
        <v>75</v>
      </c>
      <c r="AY189" s="30" t="s">
        <v>76</v>
      </c>
      <c r="AZ189" s="30" t="s">
        <v>77</v>
      </c>
      <c r="BA189" s="30" t="s">
        <v>78</v>
      </c>
      <c r="BB189" s="30" t="s">
        <v>100</v>
      </c>
      <c r="BC189" s="30" t="s">
        <v>67</v>
      </c>
      <c r="BD189" s="30" t="s">
        <v>68</v>
      </c>
      <c r="BE189" s="30" t="s">
        <v>69</v>
      </c>
      <c r="BF189" s="30" t="s">
        <v>70</v>
      </c>
      <c r="BG189" s="30" t="s">
        <v>71</v>
      </c>
      <c r="BH189" s="30" t="s">
        <v>72</v>
      </c>
      <c r="BI189" s="30" t="s">
        <v>73</v>
      </c>
      <c r="BJ189" s="30" t="s">
        <v>74</v>
      </c>
      <c r="BK189" s="30" t="s">
        <v>75</v>
      </c>
      <c r="BL189" s="30" t="s">
        <v>76</v>
      </c>
      <c r="BM189" s="30" t="s">
        <v>77</v>
      </c>
      <c r="BN189" s="30" t="s">
        <v>78</v>
      </c>
      <c r="BO189" s="30" t="s">
        <v>101</v>
      </c>
      <c r="BP189" s="30" t="s">
        <v>67</v>
      </c>
      <c r="BQ189" s="30" t="s">
        <v>68</v>
      </c>
      <c r="BR189" s="30" t="s">
        <v>69</v>
      </c>
      <c r="BS189" s="30" t="s">
        <v>70</v>
      </c>
      <c r="BT189" s="30" t="s">
        <v>71</v>
      </c>
      <c r="BU189" s="30" t="s">
        <v>72</v>
      </c>
      <c r="BV189" s="30" t="s">
        <v>73</v>
      </c>
      <c r="BW189" s="30" t="s">
        <v>74</v>
      </c>
      <c r="BX189" s="30" t="s">
        <v>75</v>
      </c>
      <c r="BY189" s="30" t="s">
        <v>76</v>
      </c>
      <c r="BZ189" s="30" t="s">
        <v>77</v>
      </c>
      <c r="CA189" s="30" t="s">
        <v>78</v>
      </c>
      <c r="CB189" s="30" t="s">
        <v>102</v>
      </c>
    </row>
    <row r="190" spans="2:80" x14ac:dyDescent="0.3">
      <c r="B190" s="7" t="s">
        <v>46</v>
      </c>
      <c r="C190" s="9">
        <v>10974976</v>
      </c>
      <c r="D190" s="9">
        <v>24103181</v>
      </c>
      <c r="E190" s="9">
        <v>33756294</v>
      </c>
      <c r="F190" s="9">
        <v>49680272</v>
      </c>
      <c r="G190" s="9">
        <v>73457274</v>
      </c>
      <c r="H190" s="9">
        <v>95206458</v>
      </c>
      <c r="I190" s="9">
        <v>115553770</v>
      </c>
      <c r="J190" s="9">
        <v>140959259</v>
      </c>
      <c r="K190" s="9">
        <v>160725594</v>
      </c>
      <c r="L190" s="9">
        <v>174838670</v>
      </c>
      <c r="M190" s="9">
        <v>193671048</v>
      </c>
      <c r="N190" s="9">
        <v>220242223</v>
      </c>
      <c r="O190" s="31">
        <v>220242223</v>
      </c>
      <c r="P190" s="9">
        <v>5279604</v>
      </c>
      <c r="Q190" s="9">
        <v>22006992</v>
      </c>
      <c r="R190" s="9">
        <v>34546981</v>
      </c>
      <c r="S190" s="9">
        <v>50440849</v>
      </c>
      <c r="T190" s="9">
        <v>65847682</v>
      </c>
      <c r="U190" s="9">
        <v>76844958</v>
      </c>
      <c r="V190" s="9">
        <v>93219747</v>
      </c>
      <c r="W190" s="9">
        <v>114084682</v>
      </c>
      <c r="X190" s="9">
        <v>136698508</v>
      </c>
      <c r="Y190" s="9">
        <v>150221204</v>
      </c>
      <c r="Z190" s="9">
        <v>171765624</v>
      </c>
      <c r="AA190" s="9">
        <v>198037514</v>
      </c>
      <c r="AB190" s="31">
        <v>198037514</v>
      </c>
      <c r="AC190" s="9">
        <v>14032699</v>
      </c>
      <c r="AD190" s="9">
        <v>32778605</v>
      </c>
      <c r="AE190" s="9">
        <v>51849706</v>
      </c>
      <c r="AF190" s="9">
        <v>65694907</v>
      </c>
      <c r="AG190" s="9">
        <v>88622950</v>
      </c>
      <c r="AH190" s="9">
        <v>100877596</v>
      </c>
      <c r="AI190" s="9">
        <v>114844834</v>
      </c>
      <c r="AJ190" s="9">
        <v>136050870</v>
      </c>
      <c r="AK190" s="9">
        <v>150180307</v>
      </c>
      <c r="AL190" s="9">
        <v>163602118</v>
      </c>
      <c r="AM190" s="9">
        <v>175604072</v>
      </c>
      <c r="AN190" s="9">
        <v>217749671</v>
      </c>
      <c r="AO190" s="31">
        <v>217749671</v>
      </c>
      <c r="AP190" s="9">
        <v>19047105</v>
      </c>
      <c r="AQ190" s="9">
        <v>36555205</v>
      </c>
      <c r="AR190" s="9">
        <v>58052342</v>
      </c>
      <c r="AS190" s="9">
        <v>70702780</v>
      </c>
      <c r="AT190" s="9">
        <v>94272744</v>
      </c>
      <c r="AU190" s="9">
        <v>110106554</v>
      </c>
      <c r="AV190" s="9">
        <v>129130015</v>
      </c>
      <c r="AW190" s="9">
        <v>150079321</v>
      </c>
      <c r="AX190" s="9">
        <v>164894773</v>
      </c>
      <c r="AY190" s="9">
        <v>182211792</v>
      </c>
      <c r="AZ190" s="9">
        <v>203501844</v>
      </c>
      <c r="BA190" s="9">
        <v>249185192</v>
      </c>
      <c r="BB190" s="31">
        <v>249185192</v>
      </c>
      <c r="BC190" s="9">
        <v>17206044</v>
      </c>
      <c r="BD190" s="9">
        <v>44796320</v>
      </c>
      <c r="BE190" s="9">
        <v>62780942</v>
      </c>
      <c r="BF190" s="9">
        <v>80794825</v>
      </c>
      <c r="BG190" s="9">
        <v>110179131</v>
      </c>
      <c r="BH190" s="9">
        <v>130265406</v>
      </c>
      <c r="BI190" s="9">
        <v>150808728</v>
      </c>
      <c r="BJ190" s="9">
        <v>168968552</v>
      </c>
      <c r="BK190" s="9">
        <v>196714744</v>
      </c>
      <c r="BL190" s="9">
        <v>224987711</v>
      </c>
      <c r="BM190" s="9">
        <v>249256474</v>
      </c>
      <c r="BN190" s="9">
        <v>273789362</v>
      </c>
      <c r="BO190" s="31">
        <v>273789362</v>
      </c>
      <c r="BP190" s="9">
        <v>18176422</v>
      </c>
      <c r="BQ190" s="9">
        <v>52371832</v>
      </c>
      <c r="BR190" s="9">
        <v>71824798</v>
      </c>
      <c r="BS190" s="9">
        <v>100096546</v>
      </c>
      <c r="BT190" s="9">
        <v>126038083</v>
      </c>
      <c r="BU190" s="9">
        <v>155743479</v>
      </c>
      <c r="BV190" s="9">
        <v>180238546</v>
      </c>
      <c r="BW190" s="9">
        <v>180238546</v>
      </c>
      <c r="BX190" s="9">
        <v>180238546</v>
      </c>
      <c r="BY190" s="9">
        <v>180238546</v>
      </c>
      <c r="BZ190" s="9">
        <v>180238546</v>
      </c>
      <c r="CA190" s="9">
        <v>180238546</v>
      </c>
      <c r="CB190" s="31">
        <v>180238546</v>
      </c>
    </row>
    <row r="191" spans="2:80" x14ac:dyDescent="0.3">
      <c r="B191" s="7" t="s">
        <v>47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31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1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31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31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31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31">
        <v>0</v>
      </c>
    </row>
    <row r="192" spans="2:80" x14ac:dyDescent="0.3">
      <c r="B192" s="7" t="s">
        <v>48</v>
      </c>
      <c r="C192" s="9">
        <v>3236320</v>
      </c>
      <c r="D192" s="9">
        <v>3844901</v>
      </c>
      <c r="E192" s="9">
        <v>4204615</v>
      </c>
      <c r="F192" s="9">
        <v>6317533</v>
      </c>
      <c r="G192" s="9">
        <v>7450578</v>
      </c>
      <c r="H192" s="9">
        <v>10195177</v>
      </c>
      <c r="I192" s="9">
        <v>11943581</v>
      </c>
      <c r="J192" s="9">
        <v>13189404</v>
      </c>
      <c r="K192" s="9">
        <v>23685841</v>
      </c>
      <c r="L192" s="9">
        <v>24378847</v>
      </c>
      <c r="M192" s="9">
        <v>26016937</v>
      </c>
      <c r="N192" s="9">
        <v>31485069</v>
      </c>
      <c r="O192" s="31">
        <v>31485069</v>
      </c>
      <c r="P192" s="9">
        <v>43117</v>
      </c>
      <c r="Q192" s="9">
        <v>2890283</v>
      </c>
      <c r="R192" s="9">
        <v>3406050</v>
      </c>
      <c r="S192" s="9">
        <v>4253402</v>
      </c>
      <c r="T192" s="9">
        <v>5053693</v>
      </c>
      <c r="U192" s="9">
        <v>15374036</v>
      </c>
      <c r="V192" s="9">
        <v>16312585</v>
      </c>
      <c r="W192" s="9">
        <v>17664273</v>
      </c>
      <c r="X192" s="9">
        <v>18885749</v>
      </c>
      <c r="Y192" s="9">
        <v>23754406</v>
      </c>
      <c r="Z192" s="9">
        <v>25734161</v>
      </c>
      <c r="AA192" s="9">
        <v>39079064</v>
      </c>
      <c r="AB192" s="31">
        <v>39079064</v>
      </c>
      <c r="AC192" s="9">
        <v>81413</v>
      </c>
      <c r="AD192" s="9">
        <v>609826</v>
      </c>
      <c r="AE192" s="9">
        <v>2031119</v>
      </c>
      <c r="AF192" s="9">
        <v>8548079</v>
      </c>
      <c r="AG192" s="9">
        <v>10625281</v>
      </c>
      <c r="AH192" s="9">
        <v>15060804</v>
      </c>
      <c r="AI192" s="9">
        <v>19203857</v>
      </c>
      <c r="AJ192" s="9">
        <v>25169729</v>
      </c>
      <c r="AK192" s="9">
        <v>34224056</v>
      </c>
      <c r="AL192" s="9">
        <v>46308964</v>
      </c>
      <c r="AM192" s="9">
        <v>55067635</v>
      </c>
      <c r="AN192" s="9">
        <v>77895241</v>
      </c>
      <c r="AO192" s="31">
        <v>77895241</v>
      </c>
      <c r="AP192" s="9">
        <v>3157076</v>
      </c>
      <c r="AQ192" s="9">
        <v>11470729</v>
      </c>
      <c r="AR192" s="9">
        <v>18763215</v>
      </c>
      <c r="AS192" s="9">
        <v>24407965</v>
      </c>
      <c r="AT192" s="9">
        <v>34575057</v>
      </c>
      <c r="AU192" s="9">
        <v>43516423</v>
      </c>
      <c r="AV192" s="9">
        <v>47961260</v>
      </c>
      <c r="AW192" s="9">
        <v>48496213</v>
      </c>
      <c r="AX192" s="9">
        <v>53812013</v>
      </c>
      <c r="AY192" s="9">
        <v>68576281</v>
      </c>
      <c r="AZ192" s="9">
        <v>73452096</v>
      </c>
      <c r="BA192" s="9">
        <v>83196155</v>
      </c>
      <c r="BB192" s="31">
        <v>83196155</v>
      </c>
      <c r="BC192" s="9">
        <v>5162619</v>
      </c>
      <c r="BD192" s="9">
        <v>6212706</v>
      </c>
      <c r="BE192" s="9">
        <v>12203409</v>
      </c>
      <c r="BF192" s="9">
        <v>18101994</v>
      </c>
      <c r="BG192" s="9">
        <v>22718642</v>
      </c>
      <c r="BH192" s="9">
        <v>40341151</v>
      </c>
      <c r="BI192" s="9">
        <v>42422120</v>
      </c>
      <c r="BJ192" s="9">
        <v>44141816</v>
      </c>
      <c r="BK192" s="9">
        <v>49674585</v>
      </c>
      <c r="BL192" s="9">
        <v>55503834</v>
      </c>
      <c r="BM192" s="9">
        <v>58241570</v>
      </c>
      <c r="BN192" s="9">
        <v>98735963</v>
      </c>
      <c r="BO192" s="31">
        <v>98735963</v>
      </c>
      <c r="BP192" s="9">
        <v>117347</v>
      </c>
      <c r="BQ192" s="9">
        <v>1914497</v>
      </c>
      <c r="BR192" s="9">
        <v>14349883</v>
      </c>
      <c r="BS192" s="9">
        <v>23436434</v>
      </c>
      <c r="BT192" s="9">
        <v>30895355</v>
      </c>
      <c r="BU192" s="9">
        <v>38095824</v>
      </c>
      <c r="BV192" s="9">
        <v>64490069</v>
      </c>
      <c r="BW192" s="9">
        <v>64490069</v>
      </c>
      <c r="BX192" s="9">
        <v>64490069</v>
      </c>
      <c r="BY192" s="9">
        <v>64490069</v>
      </c>
      <c r="BZ192" s="9">
        <v>64490069</v>
      </c>
      <c r="CA192" s="9">
        <v>64490069</v>
      </c>
      <c r="CB192" s="31">
        <v>64490069</v>
      </c>
    </row>
    <row r="193" spans="2:80" x14ac:dyDescent="0.3">
      <c r="B193" s="7" t="s">
        <v>49</v>
      </c>
      <c r="C193" s="9">
        <v>2216679</v>
      </c>
      <c r="D193" s="9">
        <v>4996340</v>
      </c>
      <c r="E193" s="9">
        <v>7749124</v>
      </c>
      <c r="F193" s="9">
        <v>9574425</v>
      </c>
      <c r="G193" s="9">
        <v>12979543</v>
      </c>
      <c r="H193" s="9">
        <v>16662733</v>
      </c>
      <c r="I193" s="9">
        <v>20640097</v>
      </c>
      <c r="J193" s="9">
        <v>23792664</v>
      </c>
      <c r="K193" s="9">
        <v>25843178</v>
      </c>
      <c r="L193" s="9">
        <v>30518407</v>
      </c>
      <c r="M193" s="9">
        <v>34287567</v>
      </c>
      <c r="N193" s="9">
        <v>39336280</v>
      </c>
      <c r="O193" s="31">
        <v>39336280</v>
      </c>
      <c r="P193" s="9">
        <v>5492985</v>
      </c>
      <c r="Q193" s="9">
        <v>9272576</v>
      </c>
      <c r="R193" s="9">
        <v>16471020</v>
      </c>
      <c r="S193" s="9">
        <v>22868746</v>
      </c>
      <c r="T193" s="9">
        <v>29367638</v>
      </c>
      <c r="U193" s="9">
        <v>35714031</v>
      </c>
      <c r="V193" s="9">
        <v>40922142</v>
      </c>
      <c r="W193" s="9">
        <v>50954472</v>
      </c>
      <c r="X193" s="9">
        <v>58317974</v>
      </c>
      <c r="Y193" s="9">
        <v>72265176</v>
      </c>
      <c r="Z193" s="9">
        <v>78646699</v>
      </c>
      <c r="AA193" s="9">
        <v>84485833</v>
      </c>
      <c r="AB193" s="31">
        <v>84485833</v>
      </c>
      <c r="AC193" s="9">
        <v>6736388</v>
      </c>
      <c r="AD193" s="9">
        <v>17281441</v>
      </c>
      <c r="AE193" s="9">
        <v>30608365</v>
      </c>
      <c r="AF193" s="9">
        <v>37950316</v>
      </c>
      <c r="AG193" s="9">
        <v>46896797</v>
      </c>
      <c r="AH193" s="9">
        <v>54470579</v>
      </c>
      <c r="AI193" s="9">
        <v>60819852</v>
      </c>
      <c r="AJ193" s="9">
        <v>67010949</v>
      </c>
      <c r="AK193" s="9">
        <v>71470131</v>
      </c>
      <c r="AL193" s="9">
        <v>78496647</v>
      </c>
      <c r="AM193" s="9">
        <v>85021722</v>
      </c>
      <c r="AN193" s="9">
        <v>91295184</v>
      </c>
      <c r="AO193" s="31">
        <v>91295184</v>
      </c>
      <c r="AP193" s="9">
        <v>5295126</v>
      </c>
      <c r="AQ193" s="9">
        <v>11264347</v>
      </c>
      <c r="AR193" s="9">
        <v>17547001</v>
      </c>
      <c r="AS193" s="9">
        <v>23684549</v>
      </c>
      <c r="AT193" s="9">
        <v>29678410</v>
      </c>
      <c r="AU193" s="9">
        <v>35162226</v>
      </c>
      <c r="AV193" s="9">
        <v>41219495</v>
      </c>
      <c r="AW193" s="9">
        <v>49644647</v>
      </c>
      <c r="AX193" s="9">
        <v>58279809</v>
      </c>
      <c r="AY193" s="9">
        <v>68764740</v>
      </c>
      <c r="AZ193" s="9">
        <v>75458792</v>
      </c>
      <c r="BA193" s="9">
        <v>81667751</v>
      </c>
      <c r="BB193" s="31">
        <v>81667751</v>
      </c>
      <c r="BC193" s="9">
        <v>12319058</v>
      </c>
      <c r="BD193" s="9">
        <v>20516169</v>
      </c>
      <c r="BE193" s="9">
        <v>36684583</v>
      </c>
      <c r="BF193" s="9">
        <v>45010537</v>
      </c>
      <c r="BG193" s="9">
        <v>51810760</v>
      </c>
      <c r="BH193" s="9">
        <v>59658272</v>
      </c>
      <c r="BI193" s="9">
        <v>71471953</v>
      </c>
      <c r="BJ193" s="9">
        <v>79470080</v>
      </c>
      <c r="BK193" s="9">
        <v>88938746</v>
      </c>
      <c r="BL193" s="9">
        <v>96130776</v>
      </c>
      <c r="BM193" s="9">
        <v>102149147</v>
      </c>
      <c r="BN193" s="9">
        <v>117116960</v>
      </c>
      <c r="BO193" s="31">
        <v>117116960</v>
      </c>
      <c r="BP193" s="9">
        <v>6813264</v>
      </c>
      <c r="BQ193" s="9">
        <v>13968911</v>
      </c>
      <c r="BR193" s="9">
        <v>21429580</v>
      </c>
      <c r="BS193" s="9">
        <v>26740171</v>
      </c>
      <c r="BT193" s="9">
        <v>33046571</v>
      </c>
      <c r="BU193" s="9">
        <v>38579551</v>
      </c>
      <c r="BV193" s="9">
        <v>44698490</v>
      </c>
      <c r="BW193" s="9">
        <v>44698490</v>
      </c>
      <c r="BX193" s="9">
        <v>44698490</v>
      </c>
      <c r="BY193" s="9">
        <v>44698490</v>
      </c>
      <c r="BZ193" s="9">
        <v>44698490</v>
      </c>
      <c r="CA193" s="9">
        <v>44698490</v>
      </c>
      <c r="CB193" s="31">
        <v>44698490</v>
      </c>
    </row>
    <row r="194" spans="2:80" x14ac:dyDescent="0.3">
      <c r="B194" s="7" t="s">
        <v>50</v>
      </c>
      <c r="C194" s="9">
        <v>792764</v>
      </c>
      <c r="D194" s="9">
        <v>3698296</v>
      </c>
      <c r="E194" s="9">
        <v>6559923</v>
      </c>
      <c r="F194" s="9">
        <v>9862056</v>
      </c>
      <c r="G194" s="9">
        <v>11244223</v>
      </c>
      <c r="H194" s="9">
        <v>28851111</v>
      </c>
      <c r="I194" s="9">
        <v>32157309</v>
      </c>
      <c r="J194" s="9">
        <v>35162160</v>
      </c>
      <c r="K194" s="9">
        <v>37408627</v>
      </c>
      <c r="L194" s="9">
        <v>39041498</v>
      </c>
      <c r="M194" s="9">
        <v>43352485</v>
      </c>
      <c r="N194" s="9">
        <v>47466038</v>
      </c>
      <c r="O194" s="31">
        <v>47466038</v>
      </c>
      <c r="P194" s="9">
        <v>5692575</v>
      </c>
      <c r="Q194" s="9">
        <v>9741958</v>
      </c>
      <c r="R194" s="9">
        <v>19397245</v>
      </c>
      <c r="S194" s="9">
        <v>25631697</v>
      </c>
      <c r="T194" s="9">
        <v>33812646</v>
      </c>
      <c r="U194" s="9">
        <v>36005411</v>
      </c>
      <c r="V194" s="9">
        <v>38517014</v>
      </c>
      <c r="W194" s="9">
        <v>40255702</v>
      </c>
      <c r="X194" s="9">
        <v>44490435</v>
      </c>
      <c r="Y194" s="9">
        <v>46407796</v>
      </c>
      <c r="Z194" s="9">
        <v>47125648</v>
      </c>
      <c r="AA194" s="9">
        <v>58401121</v>
      </c>
      <c r="AB194" s="31">
        <v>58401121</v>
      </c>
      <c r="AC194" s="9">
        <v>274699</v>
      </c>
      <c r="AD194" s="9">
        <v>10059123</v>
      </c>
      <c r="AE194" s="9">
        <v>19639203</v>
      </c>
      <c r="AF194" s="9">
        <v>25809322</v>
      </c>
      <c r="AG194" s="9">
        <v>30607023</v>
      </c>
      <c r="AH194" s="9">
        <v>38986358</v>
      </c>
      <c r="AI194" s="9">
        <v>40962607</v>
      </c>
      <c r="AJ194" s="9">
        <v>41748998</v>
      </c>
      <c r="AK194" s="9">
        <v>42170761</v>
      </c>
      <c r="AL194" s="9">
        <v>43297308</v>
      </c>
      <c r="AM194" s="9">
        <v>49191523</v>
      </c>
      <c r="AN194" s="9">
        <v>87311488</v>
      </c>
      <c r="AO194" s="31">
        <v>87311488</v>
      </c>
      <c r="AP194" s="9">
        <v>293415</v>
      </c>
      <c r="AQ194" s="9">
        <v>4466442</v>
      </c>
      <c r="AR194" s="9">
        <v>6462295</v>
      </c>
      <c r="AS194" s="9">
        <v>9961321</v>
      </c>
      <c r="AT194" s="9">
        <v>15098606</v>
      </c>
      <c r="AU194" s="9">
        <v>16443018</v>
      </c>
      <c r="AV194" s="9">
        <v>23108163</v>
      </c>
      <c r="AW194" s="9">
        <v>42258259</v>
      </c>
      <c r="AX194" s="9">
        <v>45834971</v>
      </c>
      <c r="AY194" s="9">
        <v>51690387</v>
      </c>
      <c r="AZ194" s="9">
        <v>54719287</v>
      </c>
      <c r="BA194" s="9">
        <v>73069447</v>
      </c>
      <c r="BB194" s="31">
        <v>73069447</v>
      </c>
      <c r="BC194" s="9">
        <v>6005967</v>
      </c>
      <c r="BD194" s="9">
        <v>11187082</v>
      </c>
      <c r="BE194" s="9">
        <v>16850474</v>
      </c>
      <c r="BF194" s="9">
        <v>23089117</v>
      </c>
      <c r="BG194" s="9">
        <v>30108570</v>
      </c>
      <c r="BH194" s="9">
        <v>35644617</v>
      </c>
      <c r="BI194" s="9">
        <v>53191551</v>
      </c>
      <c r="BJ194" s="9">
        <v>60979411</v>
      </c>
      <c r="BK194" s="9">
        <v>63768787</v>
      </c>
      <c r="BL194" s="9">
        <v>68323098</v>
      </c>
      <c r="BM194" s="9">
        <v>69299722</v>
      </c>
      <c r="BN194" s="9">
        <v>78918879</v>
      </c>
      <c r="BO194" s="31">
        <v>78918879</v>
      </c>
      <c r="BP194" s="9">
        <v>5018975</v>
      </c>
      <c r="BQ194" s="9">
        <v>9676031</v>
      </c>
      <c r="BR194" s="9">
        <v>14474533</v>
      </c>
      <c r="BS194" s="9">
        <v>20193632</v>
      </c>
      <c r="BT194" s="9">
        <v>26395450</v>
      </c>
      <c r="BU194" s="9">
        <v>33105338</v>
      </c>
      <c r="BV194" s="9">
        <v>43663125</v>
      </c>
      <c r="BW194" s="9">
        <v>43663125</v>
      </c>
      <c r="BX194" s="9">
        <v>43663125</v>
      </c>
      <c r="BY194" s="9">
        <v>43663125</v>
      </c>
      <c r="BZ194" s="9">
        <v>43663125</v>
      </c>
      <c r="CA194" s="9">
        <v>43663125</v>
      </c>
      <c r="CB194" s="31">
        <v>43663125</v>
      </c>
    </row>
    <row r="195" spans="2:80" x14ac:dyDescent="0.3">
      <c r="B195" s="7" t="s">
        <v>51</v>
      </c>
      <c r="C195" s="9">
        <v>902393</v>
      </c>
      <c r="D195" s="9">
        <v>2803647</v>
      </c>
      <c r="E195" s="9">
        <v>5711293</v>
      </c>
      <c r="F195" s="9">
        <v>6735182</v>
      </c>
      <c r="G195" s="9">
        <v>8454262</v>
      </c>
      <c r="H195" s="9">
        <v>9552724</v>
      </c>
      <c r="I195" s="9">
        <v>11675870</v>
      </c>
      <c r="J195" s="9">
        <v>12827811</v>
      </c>
      <c r="K195" s="9">
        <v>14317678</v>
      </c>
      <c r="L195" s="9">
        <v>16815777</v>
      </c>
      <c r="M195" s="9">
        <v>18023751</v>
      </c>
      <c r="N195" s="9">
        <v>33187158</v>
      </c>
      <c r="O195" s="31">
        <v>33187158</v>
      </c>
      <c r="P195" s="9">
        <v>1677276</v>
      </c>
      <c r="Q195" s="9">
        <v>3884234</v>
      </c>
      <c r="R195" s="9">
        <v>6843283</v>
      </c>
      <c r="S195" s="9">
        <v>9034399</v>
      </c>
      <c r="T195" s="9">
        <v>12827107</v>
      </c>
      <c r="U195" s="9">
        <v>17752792</v>
      </c>
      <c r="V195" s="9">
        <v>22025218</v>
      </c>
      <c r="W195" s="9">
        <v>24145619</v>
      </c>
      <c r="X195" s="9">
        <v>27522781</v>
      </c>
      <c r="Y195" s="9">
        <v>29871881</v>
      </c>
      <c r="Z195" s="9">
        <v>33061128</v>
      </c>
      <c r="AA195" s="9">
        <v>38134306</v>
      </c>
      <c r="AB195" s="31">
        <v>38134306</v>
      </c>
      <c r="AC195" s="9">
        <v>1428955</v>
      </c>
      <c r="AD195" s="9">
        <v>2107872</v>
      </c>
      <c r="AE195" s="9">
        <v>7346190</v>
      </c>
      <c r="AF195" s="9">
        <v>12920269</v>
      </c>
      <c r="AG195" s="9">
        <v>23104412</v>
      </c>
      <c r="AH195" s="9">
        <v>30370481</v>
      </c>
      <c r="AI195" s="9">
        <v>32542907</v>
      </c>
      <c r="AJ195" s="9">
        <v>34101627</v>
      </c>
      <c r="AK195" s="9">
        <v>35482088</v>
      </c>
      <c r="AL195" s="9">
        <v>37055573</v>
      </c>
      <c r="AM195" s="9">
        <v>39681697</v>
      </c>
      <c r="AN195" s="9">
        <v>43782701</v>
      </c>
      <c r="AO195" s="31">
        <v>43782701</v>
      </c>
      <c r="AP195" s="9">
        <v>1308785</v>
      </c>
      <c r="AQ195" s="9">
        <v>2306985</v>
      </c>
      <c r="AR195" s="9">
        <v>6921006</v>
      </c>
      <c r="AS195" s="9">
        <v>16039515</v>
      </c>
      <c r="AT195" s="9">
        <v>23820121</v>
      </c>
      <c r="AU195" s="9">
        <v>30925478</v>
      </c>
      <c r="AV195" s="9">
        <v>32196729</v>
      </c>
      <c r="AW195" s="9">
        <v>36482394</v>
      </c>
      <c r="AX195" s="9">
        <v>41242003</v>
      </c>
      <c r="AY195" s="9">
        <v>43876897</v>
      </c>
      <c r="AZ195" s="9">
        <v>45302979</v>
      </c>
      <c r="BA195" s="9">
        <v>50275024</v>
      </c>
      <c r="BB195" s="31">
        <v>50275024</v>
      </c>
      <c r="BC195" s="9">
        <v>756294</v>
      </c>
      <c r="BD195" s="9">
        <v>4738608</v>
      </c>
      <c r="BE195" s="9">
        <v>15047025</v>
      </c>
      <c r="BF195" s="9">
        <v>26160432</v>
      </c>
      <c r="BG195" s="9">
        <v>31980009</v>
      </c>
      <c r="BH195" s="9">
        <v>35163871</v>
      </c>
      <c r="BI195" s="9">
        <v>50130104</v>
      </c>
      <c r="BJ195" s="9">
        <v>57095810</v>
      </c>
      <c r="BK195" s="9">
        <v>71098134</v>
      </c>
      <c r="BL195" s="9">
        <v>74656845</v>
      </c>
      <c r="BM195" s="9">
        <v>77301290</v>
      </c>
      <c r="BN195" s="9">
        <v>92078446</v>
      </c>
      <c r="BO195" s="31">
        <v>92078446</v>
      </c>
      <c r="BP195" s="9">
        <v>4816591</v>
      </c>
      <c r="BQ195" s="9">
        <v>13740877</v>
      </c>
      <c r="BR195" s="9">
        <v>21760819</v>
      </c>
      <c r="BS195" s="9">
        <v>29949204</v>
      </c>
      <c r="BT195" s="9">
        <v>32343149</v>
      </c>
      <c r="BU195" s="9">
        <v>42735045</v>
      </c>
      <c r="BV195" s="9">
        <v>48871138</v>
      </c>
      <c r="BW195" s="9">
        <v>48871138</v>
      </c>
      <c r="BX195" s="9">
        <v>48871138</v>
      </c>
      <c r="BY195" s="9">
        <v>48871138</v>
      </c>
      <c r="BZ195" s="9">
        <v>48871138</v>
      </c>
      <c r="CA195" s="9">
        <v>48871138</v>
      </c>
      <c r="CB195" s="31">
        <v>48871138</v>
      </c>
    </row>
    <row r="196" spans="2:80" x14ac:dyDescent="0.3">
      <c r="B196" s="7" t="s">
        <v>52</v>
      </c>
      <c r="C196" s="9">
        <v>2848394</v>
      </c>
      <c r="D196" s="9">
        <v>5923883</v>
      </c>
      <c r="E196" s="9">
        <v>7965978</v>
      </c>
      <c r="F196" s="9">
        <v>9617044</v>
      </c>
      <c r="G196" s="9">
        <v>13852548</v>
      </c>
      <c r="H196" s="9">
        <v>18040494</v>
      </c>
      <c r="I196" s="9">
        <v>22387310</v>
      </c>
      <c r="J196" s="9">
        <v>31636401</v>
      </c>
      <c r="K196" s="9">
        <v>49169116</v>
      </c>
      <c r="L196" s="9">
        <v>51622575</v>
      </c>
      <c r="M196" s="9">
        <v>53941002</v>
      </c>
      <c r="N196" s="9">
        <v>67085048</v>
      </c>
      <c r="O196" s="31">
        <v>67085048</v>
      </c>
      <c r="P196" s="9">
        <v>2552459</v>
      </c>
      <c r="Q196" s="9">
        <v>6491641</v>
      </c>
      <c r="R196" s="9">
        <v>12089073</v>
      </c>
      <c r="S196" s="9">
        <v>15342872</v>
      </c>
      <c r="T196" s="9">
        <v>22248538</v>
      </c>
      <c r="U196" s="9">
        <v>32049883</v>
      </c>
      <c r="V196" s="9">
        <v>38173286</v>
      </c>
      <c r="W196" s="9">
        <v>42188580</v>
      </c>
      <c r="X196" s="9">
        <v>46593304</v>
      </c>
      <c r="Y196" s="9">
        <v>55662325</v>
      </c>
      <c r="Z196" s="9">
        <v>61630201</v>
      </c>
      <c r="AA196" s="9">
        <v>73208745</v>
      </c>
      <c r="AB196" s="31">
        <v>73208745</v>
      </c>
      <c r="AC196" s="9">
        <v>10100936</v>
      </c>
      <c r="AD196" s="9">
        <v>16067988</v>
      </c>
      <c r="AE196" s="9">
        <v>24396745</v>
      </c>
      <c r="AF196" s="9">
        <v>30288290</v>
      </c>
      <c r="AG196" s="9">
        <v>33611175</v>
      </c>
      <c r="AH196" s="9">
        <v>40139526</v>
      </c>
      <c r="AI196" s="9">
        <v>45789704</v>
      </c>
      <c r="AJ196" s="9">
        <v>52661229</v>
      </c>
      <c r="AK196" s="9">
        <v>55576448</v>
      </c>
      <c r="AL196" s="9">
        <v>72273798</v>
      </c>
      <c r="AM196" s="9">
        <v>80006583</v>
      </c>
      <c r="AN196" s="9">
        <v>95095205</v>
      </c>
      <c r="AO196" s="31">
        <v>95095205</v>
      </c>
      <c r="AP196" s="9">
        <v>5214269</v>
      </c>
      <c r="AQ196" s="9">
        <v>11235900</v>
      </c>
      <c r="AR196" s="9">
        <v>16905106</v>
      </c>
      <c r="AS196" s="9">
        <v>23742083</v>
      </c>
      <c r="AT196" s="9">
        <v>30484197</v>
      </c>
      <c r="AU196" s="9">
        <v>39499416</v>
      </c>
      <c r="AV196" s="9">
        <v>47300435</v>
      </c>
      <c r="AW196" s="9">
        <v>56881802</v>
      </c>
      <c r="AX196" s="9">
        <v>64725887</v>
      </c>
      <c r="AY196" s="9">
        <v>75675766</v>
      </c>
      <c r="AZ196" s="9">
        <v>81986895</v>
      </c>
      <c r="BA196" s="9">
        <v>106974951</v>
      </c>
      <c r="BB196" s="31">
        <v>106974951</v>
      </c>
      <c r="BC196" s="9">
        <v>7447418</v>
      </c>
      <c r="BD196" s="9">
        <v>23994446</v>
      </c>
      <c r="BE196" s="9">
        <v>29971017</v>
      </c>
      <c r="BF196" s="9">
        <v>35520045</v>
      </c>
      <c r="BG196" s="9">
        <v>42604873</v>
      </c>
      <c r="BH196" s="9">
        <v>50293712</v>
      </c>
      <c r="BI196" s="9">
        <v>60108224</v>
      </c>
      <c r="BJ196" s="9">
        <v>67603966</v>
      </c>
      <c r="BK196" s="9">
        <v>75529454</v>
      </c>
      <c r="BL196" s="9">
        <v>96186537</v>
      </c>
      <c r="BM196" s="9">
        <v>110595441</v>
      </c>
      <c r="BN196" s="9">
        <v>121561430</v>
      </c>
      <c r="BO196" s="31">
        <v>121561430</v>
      </c>
      <c r="BP196" s="9">
        <v>4876896</v>
      </c>
      <c r="BQ196" s="9">
        <v>21687378</v>
      </c>
      <c r="BR196" s="9">
        <v>34301743</v>
      </c>
      <c r="BS196" s="9">
        <v>42309988</v>
      </c>
      <c r="BT196" s="9">
        <v>54922374</v>
      </c>
      <c r="BU196" s="9">
        <v>64126737</v>
      </c>
      <c r="BV196" s="9">
        <v>87205139</v>
      </c>
      <c r="BW196" s="9">
        <v>87205139</v>
      </c>
      <c r="BX196" s="9">
        <v>87205139</v>
      </c>
      <c r="BY196" s="9">
        <v>87205139</v>
      </c>
      <c r="BZ196" s="9">
        <v>87205139</v>
      </c>
      <c r="CA196" s="9">
        <v>87205139</v>
      </c>
      <c r="CB196" s="31">
        <v>87205139</v>
      </c>
    </row>
    <row r="197" spans="2:80" x14ac:dyDescent="0.3">
      <c r="B197" s="7" t="s">
        <v>53</v>
      </c>
      <c r="C197" s="9">
        <v>6351658</v>
      </c>
      <c r="D197" s="9">
        <v>16507602</v>
      </c>
      <c r="E197" s="9">
        <v>28226480</v>
      </c>
      <c r="F197" s="9">
        <v>41249236</v>
      </c>
      <c r="G197" s="9">
        <v>51149004</v>
      </c>
      <c r="H197" s="9">
        <v>65193942</v>
      </c>
      <c r="I197" s="9">
        <v>75559471</v>
      </c>
      <c r="J197" s="9">
        <v>77732162</v>
      </c>
      <c r="K197" s="9">
        <v>88178086</v>
      </c>
      <c r="L197" s="9">
        <v>102216070</v>
      </c>
      <c r="M197" s="9">
        <v>121547308</v>
      </c>
      <c r="N197" s="9">
        <v>135146453</v>
      </c>
      <c r="O197" s="31">
        <v>135146453</v>
      </c>
      <c r="P197" s="9">
        <v>8326701</v>
      </c>
      <c r="Q197" s="9">
        <v>16422114</v>
      </c>
      <c r="R197" s="9">
        <v>26201458</v>
      </c>
      <c r="S197" s="9">
        <v>35907394</v>
      </c>
      <c r="T197" s="9">
        <v>52234360</v>
      </c>
      <c r="U197" s="9">
        <v>71747829</v>
      </c>
      <c r="V197" s="9">
        <v>85629512</v>
      </c>
      <c r="W197" s="9">
        <v>107494724</v>
      </c>
      <c r="X197" s="9">
        <v>129632624</v>
      </c>
      <c r="Y197" s="9">
        <v>147748816</v>
      </c>
      <c r="Z197" s="9">
        <v>165947767</v>
      </c>
      <c r="AA197" s="9">
        <v>186522313</v>
      </c>
      <c r="AB197" s="31">
        <v>186522313</v>
      </c>
      <c r="AC197" s="9">
        <v>7979227</v>
      </c>
      <c r="AD197" s="9">
        <v>17247246</v>
      </c>
      <c r="AE197" s="9">
        <v>39539929</v>
      </c>
      <c r="AF197" s="9">
        <v>59708311</v>
      </c>
      <c r="AG197" s="9">
        <v>77926389</v>
      </c>
      <c r="AH197" s="9">
        <v>98045046</v>
      </c>
      <c r="AI197" s="9">
        <v>114456060</v>
      </c>
      <c r="AJ197" s="9">
        <v>132047132</v>
      </c>
      <c r="AK197" s="9">
        <v>150736133</v>
      </c>
      <c r="AL197" s="9">
        <v>165085094</v>
      </c>
      <c r="AM197" s="9">
        <v>177490199</v>
      </c>
      <c r="AN197" s="9">
        <v>194128933</v>
      </c>
      <c r="AO197" s="31">
        <v>194128933</v>
      </c>
      <c r="AP197" s="9">
        <v>12686467</v>
      </c>
      <c r="AQ197" s="9">
        <v>24545418</v>
      </c>
      <c r="AR197" s="9">
        <v>49075589</v>
      </c>
      <c r="AS197" s="9">
        <v>71299439</v>
      </c>
      <c r="AT197" s="9">
        <v>94126793</v>
      </c>
      <c r="AU197" s="9">
        <v>111391005</v>
      </c>
      <c r="AV197" s="9">
        <v>129375801</v>
      </c>
      <c r="AW197" s="9">
        <v>135567630</v>
      </c>
      <c r="AX197" s="9">
        <v>154831290</v>
      </c>
      <c r="AY197" s="9">
        <v>180242526</v>
      </c>
      <c r="AZ197" s="9">
        <v>204755167</v>
      </c>
      <c r="BA197" s="9">
        <v>225998740</v>
      </c>
      <c r="BB197" s="31">
        <v>225998740</v>
      </c>
      <c r="BC197" s="9">
        <v>22106404</v>
      </c>
      <c r="BD197" s="9">
        <v>36262241</v>
      </c>
      <c r="BE197" s="9">
        <v>54408810</v>
      </c>
      <c r="BF197" s="9">
        <v>79334204</v>
      </c>
      <c r="BG197" s="9">
        <v>111134038</v>
      </c>
      <c r="BH197" s="9">
        <v>134827300</v>
      </c>
      <c r="BI197" s="9">
        <v>162124111</v>
      </c>
      <c r="BJ197" s="9">
        <v>188041199</v>
      </c>
      <c r="BK197" s="9">
        <v>212529317</v>
      </c>
      <c r="BL197" s="9">
        <v>239220849</v>
      </c>
      <c r="BM197" s="9">
        <v>258245155</v>
      </c>
      <c r="BN197" s="9">
        <v>287372330</v>
      </c>
      <c r="BO197" s="31">
        <v>287372330</v>
      </c>
      <c r="BP197" s="9">
        <v>4835902</v>
      </c>
      <c r="BQ197" s="9">
        <v>18553383</v>
      </c>
      <c r="BR197" s="9">
        <v>38606044</v>
      </c>
      <c r="BS197" s="9">
        <v>59545523</v>
      </c>
      <c r="BT197" s="9">
        <v>74303371</v>
      </c>
      <c r="BU197" s="9">
        <v>90892187</v>
      </c>
      <c r="BV197" s="9">
        <v>110960565</v>
      </c>
      <c r="BW197" s="9">
        <v>110960565</v>
      </c>
      <c r="BX197" s="9">
        <v>110960565</v>
      </c>
      <c r="BY197" s="9">
        <v>110960565</v>
      </c>
      <c r="BZ197" s="9">
        <v>110960565</v>
      </c>
      <c r="CA197" s="9">
        <v>110960565</v>
      </c>
      <c r="CB197" s="31">
        <v>110960565</v>
      </c>
    </row>
    <row r="198" spans="2:80" x14ac:dyDescent="0.3">
      <c r="B198" s="7" t="s">
        <v>54</v>
      </c>
      <c r="C198" s="9">
        <v>9345086</v>
      </c>
      <c r="D198" s="9">
        <v>19611044</v>
      </c>
      <c r="E198" s="9">
        <v>34869861</v>
      </c>
      <c r="F198" s="9">
        <v>79019855</v>
      </c>
      <c r="G198" s="9">
        <v>126152332</v>
      </c>
      <c r="H198" s="9">
        <v>164602957</v>
      </c>
      <c r="I198" s="9">
        <v>202555640</v>
      </c>
      <c r="J198" s="9">
        <v>233946999</v>
      </c>
      <c r="K198" s="9">
        <v>274945343</v>
      </c>
      <c r="L198" s="9">
        <v>298069452</v>
      </c>
      <c r="M198" s="9">
        <v>316452594</v>
      </c>
      <c r="N198" s="9">
        <v>368776478</v>
      </c>
      <c r="O198" s="31">
        <v>368776478</v>
      </c>
      <c r="P198" s="9">
        <v>5321216</v>
      </c>
      <c r="Q198" s="9">
        <v>32034708</v>
      </c>
      <c r="R198" s="9">
        <v>53299357</v>
      </c>
      <c r="S198" s="9">
        <v>110400639</v>
      </c>
      <c r="T198" s="9">
        <v>144933597</v>
      </c>
      <c r="U198" s="9">
        <v>194937179</v>
      </c>
      <c r="V198" s="9">
        <v>248298409</v>
      </c>
      <c r="W198" s="9">
        <v>304415589</v>
      </c>
      <c r="X198" s="9">
        <v>340222200</v>
      </c>
      <c r="Y198" s="9">
        <v>372076317</v>
      </c>
      <c r="Z198" s="9">
        <v>395326660</v>
      </c>
      <c r="AA198" s="9">
        <v>518521152</v>
      </c>
      <c r="AB198" s="31">
        <v>518521152</v>
      </c>
      <c r="AC198" s="9">
        <v>23536968</v>
      </c>
      <c r="AD198" s="9">
        <v>58588353</v>
      </c>
      <c r="AE198" s="9">
        <v>108641563</v>
      </c>
      <c r="AF198" s="9">
        <v>156712075</v>
      </c>
      <c r="AG198" s="9">
        <v>222554942</v>
      </c>
      <c r="AH198" s="9">
        <v>276864718</v>
      </c>
      <c r="AI198" s="9">
        <v>316170380</v>
      </c>
      <c r="AJ198" s="9">
        <v>347383885</v>
      </c>
      <c r="AK198" s="9">
        <v>385674138</v>
      </c>
      <c r="AL198" s="9">
        <v>403922336</v>
      </c>
      <c r="AM198" s="9">
        <v>420391932</v>
      </c>
      <c r="AN198" s="9">
        <v>477314595</v>
      </c>
      <c r="AO198" s="31">
        <v>477314595</v>
      </c>
      <c r="AP198" s="9">
        <v>13932050</v>
      </c>
      <c r="AQ198" s="9">
        <v>69714036</v>
      </c>
      <c r="AR198" s="9">
        <v>165822295</v>
      </c>
      <c r="AS198" s="9">
        <v>189254443</v>
      </c>
      <c r="AT198" s="9">
        <v>213392117</v>
      </c>
      <c r="AU198" s="9">
        <v>239297490</v>
      </c>
      <c r="AV198" s="9">
        <v>270768946</v>
      </c>
      <c r="AW198" s="9">
        <v>315032346</v>
      </c>
      <c r="AX198" s="9">
        <v>341395094</v>
      </c>
      <c r="AY198" s="9">
        <v>373247210</v>
      </c>
      <c r="AZ198" s="9">
        <v>440732281</v>
      </c>
      <c r="BA198" s="9">
        <v>535781681</v>
      </c>
      <c r="BB198" s="31">
        <v>535781681</v>
      </c>
      <c r="BC198" s="9">
        <v>33709746</v>
      </c>
      <c r="BD198" s="9">
        <v>69484470</v>
      </c>
      <c r="BE198" s="9">
        <v>103309466</v>
      </c>
      <c r="BF198" s="9">
        <v>130144586</v>
      </c>
      <c r="BG198" s="9">
        <v>170634351</v>
      </c>
      <c r="BH198" s="9">
        <v>193140413</v>
      </c>
      <c r="BI198" s="9">
        <v>232936581</v>
      </c>
      <c r="BJ198" s="9">
        <v>244416829</v>
      </c>
      <c r="BK198" s="9">
        <v>252509558</v>
      </c>
      <c r="BL198" s="9">
        <v>429677080</v>
      </c>
      <c r="BM198" s="9">
        <v>441369162</v>
      </c>
      <c r="BN198" s="9">
        <v>523505059</v>
      </c>
      <c r="BO198" s="31">
        <v>523505059</v>
      </c>
      <c r="BP198" s="9">
        <v>22797644</v>
      </c>
      <c r="BQ198" s="9">
        <v>55194134</v>
      </c>
      <c r="BR198" s="9">
        <v>104351099</v>
      </c>
      <c r="BS198" s="9">
        <v>231507617</v>
      </c>
      <c r="BT198" s="9">
        <v>359592895</v>
      </c>
      <c r="BU198" s="9">
        <v>406681052</v>
      </c>
      <c r="BV198" s="9">
        <v>458549946</v>
      </c>
      <c r="BW198" s="9">
        <v>458549946</v>
      </c>
      <c r="BX198" s="9">
        <v>458549946</v>
      </c>
      <c r="BY198" s="9">
        <v>458549946</v>
      </c>
      <c r="BZ198" s="9">
        <v>458549946</v>
      </c>
      <c r="CA198" s="9">
        <v>458549946</v>
      </c>
      <c r="CB198" s="31">
        <v>458549946</v>
      </c>
    </row>
    <row r="199" spans="2:80" x14ac:dyDescent="0.3">
      <c r="B199" s="7" t="s">
        <v>55</v>
      </c>
      <c r="C199" s="9">
        <v>1509785</v>
      </c>
      <c r="D199" s="9">
        <v>7883527</v>
      </c>
      <c r="E199" s="9">
        <v>27437963</v>
      </c>
      <c r="F199" s="9">
        <v>28612703</v>
      </c>
      <c r="G199" s="9">
        <v>37728982</v>
      </c>
      <c r="H199" s="9">
        <v>51838624</v>
      </c>
      <c r="I199" s="9">
        <v>58287841</v>
      </c>
      <c r="J199" s="9">
        <v>60643805</v>
      </c>
      <c r="K199" s="9">
        <v>63948911</v>
      </c>
      <c r="L199" s="9">
        <v>87545391</v>
      </c>
      <c r="M199" s="9">
        <v>90508984</v>
      </c>
      <c r="N199" s="9">
        <v>117182564</v>
      </c>
      <c r="O199" s="31">
        <v>117182564</v>
      </c>
      <c r="P199" s="9">
        <v>5267940</v>
      </c>
      <c r="Q199" s="9">
        <v>16368591</v>
      </c>
      <c r="R199" s="9">
        <v>24633064</v>
      </c>
      <c r="S199" s="9">
        <v>32649098</v>
      </c>
      <c r="T199" s="9">
        <v>40095026</v>
      </c>
      <c r="U199" s="9">
        <v>46667333</v>
      </c>
      <c r="V199" s="9">
        <v>53816061</v>
      </c>
      <c r="W199" s="9">
        <v>58941241</v>
      </c>
      <c r="X199" s="9">
        <v>66511428</v>
      </c>
      <c r="Y199" s="9">
        <v>71555661</v>
      </c>
      <c r="Z199" s="9">
        <v>79141347</v>
      </c>
      <c r="AA199" s="9">
        <v>98418441</v>
      </c>
      <c r="AB199" s="31">
        <v>98418441</v>
      </c>
      <c r="AC199" s="9">
        <v>4619488</v>
      </c>
      <c r="AD199" s="9">
        <v>13392603</v>
      </c>
      <c r="AE199" s="9">
        <v>21717523</v>
      </c>
      <c r="AF199" s="9">
        <v>27845262</v>
      </c>
      <c r="AG199" s="9">
        <v>38754611</v>
      </c>
      <c r="AH199" s="9">
        <v>46995036</v>
      </c>
      <c r="AI199" s="9">
        <v>56689660</v>
      </c>
      <c r="AJ199" s="9">
        <v>68763033</v>
      </c>
      <c r="AK199" s="9">
        <v>80799759</v>
      </c>
      <c r="AL199" s="9">
        <v>97919803</v>
      </c>
      <c r="AM199" s="9">
        <v>101485485</v>
      </c>
      <c r="AN199" s="9">
        <v>115441003</v>
      </c>
      <c r="AO199" s="31">
        <v>115441003</v>
      </c>
      <c r="AP199" s="9">
        <v>2077256</v>
      </c>
      <c r="AQ199" s="9">
        <v>17758152</v>
      </c>
      <c r="AR199" s="9">
        <v>33675330</v>
      </c>
      <c r="AS199" s="9">
        <v>50489959</v>
      </c>
      <c r="AT199" s="9">
        <v>64323146</v>
      </c>
      <c r="AU199" s="9">
        <v>79364680</v>
      </c>
      <c r="AV199" s="9">
        <v>92846687</v>
      </c>
      <c r="AW199" s="9">
        <v>107293597</v>
      </c>
      <c r="AX199" s="9">
        <v>123138744</v>
      </c>
      <c r="AY199" s="9">
        <v>136296607</v>
      </c>
      <c r="AZ199" s="9">
        <v>149041494</v>
      </c>
      <c r="BA199" s="9">
        <v>172843913</v>
      </c>
      <c r="BB199" s="31">
        <v>172843913</v>
      </c>
      <c r="BC199" s="9">
        <v>7470658</v>
      </c>
      <c r="BD199" s="9">
        <v>22720400</v>
      </c>
      <c r="BE199" s="9">
        <v>39708542</v>
      </c>
      <c r="BF199" s="9">
        <v>44738825</v>
      </c>
      <c r="BG199" s="9">
        <v>59192286</v>
      </c>
      <c r="BH199" s="9">
        <v>71701052</v>
      </c>
      <c r="BI199" s="9">
        <v>87762174</v>
      </c>
      <c r="BJ199" s="9">
        <v>99403113</v>
      </c>
      <c r="BK199" s="9">
        <v>111336525</v>
      </c>
      <c r="BL199" s="9">
        <v>123533240</v>
      </c>
      <c r="BM199" s="9">
        <v>134927511</v>
      </c>
      <c r="BN199" s="9">
        <v>162493297</v>
      </c>
      <c r="BO199" s="31">
        <v>162493297</v>
      </c>
      <c r="BP199" s="9">
        <v>496731</v>
      </c>
      <c r="BQ199" s="9">
        <v>14554000</v>
      </c>
      <c r="BR199" s="9">
        <v>24028231</v>
      </c>
      <c r="BS199" s="9">
        <v>42818307</v>
      </c>
      <c r="BT199" s="9">
        <v>70937938</v>
      </c>
      <c r="BU199" s="9">
        <v>85576238</v>
      </c>
      <c r="BV199" s="9">
        <v>93401575</v>
      </c>
      <c r="BW199" s="9">
        <v>93401575</v>
      </c>
      <c r="BX199" s="9">
        <v>93401575</v>
      </c>
      <c r="BY199" s="9">
        <v>93401575</v>
      </c>
      <c r="BZ199" s="9">
        <v>93401575</v>
      </c>
      <c r="CA199" s="9">
        <v>93401575</v>
      </c>
      <c r="CB199" s="31">
        <v>93401575</v>
      </c>
    </row>
    <row r="200" spans="2:80" x14ac:dyDescent="0.3">
      <c r="B200" s="7" t="s">
        <v>56</v>
      </c>
      <c r="C200" s="9">
        <v>4908497</v>
      </c>
      <c r="D200" s="9">
        <v>19914372</v>
      </c>
      <c r="E200" s="9">
        <v>36962317</v>
      </c>
      <c r="F200" s="9">
        <v>42406187</v>
      </c>
      <c r="G200" s="9">
        <v>53378375</v>
      </c>
      <c r="H200" s="9">
        <v>64886915</v>
      </c>
      <c r="I200" s="9">
        <v>72038953</v>
      </c>
      <c r="J200" s="9">
        <v>81842896</v>
      </c>
      <c r="K200" s="9">
        <v>97847611</v>
      </c>
      <c r="L200" s="9">
        <v>108528906</v>
      </c>
      <c r="M200" s="9">
        <v>121174010</v>
      </c>
      <c r="N200" s="9">
        <v>136022493</v>
      </c>
      <c r="O200" s="31">
        <v>136022493</v>
      </c>
      <c r="P200" s="9">
        <v>3888707</v>
      </c>
      <c r="Q200" s="9">
        <v>16500846</v>
      </c>
      <c r="R200" s="9">
        <v>34479891</v>
      </c>
      <c r="S200" s="9">
        <v>49536599</v>
      </c>
      <c r="T200" s="9">
        <v>58303130</v>
      </c>
      <c r="U200" s="9">
        <v>72988417</v>
      </c>
      <c r="V200" s="9">
        <v>85887696</v>
      </c>
      <c r="W200" s="9">
        <v>96045561</v>
      </c>
      <c r="X200" s="9">
        <v>117796565</v>
      </c>
      <c r="Y200" s="9">
        <v>133613812</v>
      </c>
      <c r="Z200" s="9">
        <v>150370747</v>
      </c>
      <c r="AA200" s="9">
        <v>167553004</v>
      </c>
      <c r="AB200" s="31">
        <v>167553004</v>
      </c>
      <c r="AC200" s="9">
        <v>9675886</v>
      </c>
      <c r="AD200" s="9">
        <v>39025370</v>
      </c>
      <c r="AE200" s="9">
        <v>61094829</v>
      </c>
      <c r="AF200" s="9">
        <v>78980646</v>
      </c>
      <c r="AG200" s="9">
        <v>98884750</v>
      </c>
      <c r="AH200" s="9">
        <v>118562390</v>
      </c>
      <c r="AI200" s="9">
        <v>140376626</v>
      </c>
      <c r="AJ200" s="9">
        <v>155470001</v>
      </c>
      <c r="AK200" s="9">
        <v>171436025</v>
      </c>
      <c r="AL200" s="9">
        <v>186851186</v>
      </c>
      <c r="AM200" s="9">
        <v>195956774</v>
      </c>
      <c r="AN200" s="9">
        <v>218584182</v>
      </c>
      <c r="AO200" s="31">
        <v>218584182</v>
      </c>
      <c r="AP200" s="9">
        <v>10414831</v>
      </c>
      <c r="AQ200" s="9">
        <v>28448140</v>
      </c>
      <c r="AR200" s="9">
        <v>51895141</v>
      </c>
      <c r="AS200" s="9">
        <v>75798053</v>
      </c>
      <c r="AT200" s="9">
        <v>102215479</v>
      </c>
      <c r="AU200" s="9">
        <v>123016557</v>
      </c>
      <c r="AV200" s="9">
        <v>136203537</v>
      </c>
      <c r="AW200" s="9">
        <v>154072506</v>
      </c>
      <c r="AX200" s="9">
        <v>163417590</v>
      </c>
      <c r="AY200" s="9">
        <v>174338206</v>
      </c>
      <c r="AZ200" s="9">
        <v>186753673</v>
      </c>
      <c r="BA200" s="9">
        <v>213325058</v>
      </c>
      <c r="BB200" s="31">
        <v>213325058</v>
      </c>
      <c r="BC200" s="9">
        <v>10695159</v>
      </c>
      <c r="BD200" s="9">
        <v>30123853</v>
      </c>
      <c r="BE200" s="9">
        <v>45296845</v>
      </c>
      <c r="BF200" s="9">
        <v>65184548</v>
      </c>
      <c r="BG200" s="9">
        <v>96939362</v>
      </c>
      <c r="BH200" s="9">
        <v>122396923</v>
      </c>
      <c r="BI200" s="9">
        <v>137903047</v>
      </c>
      <c r="BJ200" s="9">
        <v>161882567</v>
      </c>
      <c r="BK200" s="9">
        <v>202973225</v>
      </c>
      <c r="BL200" s="9">
        <v>228456187</v>
      </c>
      <c r="BM200" s="9">
        <v>238079058</v>
      </c>
      <c r="BN200" s="9">
        <v>253423423</v>
      </c>
      <c r="BO200" s="31">
        <v>253423423</v>
      </c>
      <c r="BP200" s="9">
        <v>13535323</v>
      </c>
      <c r="BQ200" s="9">
        <v>42286424</v>
      </c>
      <c r="BR200" s="9">
        <v>70763311</v>
      </c>
      <c r="BS200" s="9">
        <v>97625029</v>
      </c>
      <c r="BT200" s="9">
        <v>125291606</v>
      </c>
      <c r="BU200" s="9">
        <v>139948649</v>
      </c>
      <c r="BV200" s="9">
        <v>167840837</v>
      </c>
      <c r="BW200" s="9">
        <v>167840837</v>
      </c>
      <c r="BX200" s="9">
        <v>167840837</v>
      </c>
      <c r="BY200" s="9">
        <v>167840837</v>
      </c>
      <c r="BZ200" s="9">
        <v>167840837</v>
      </c>
      <c r="CA200" s="9">
        <v>167840837</v>
      </c>
      <c r="CB200" s="31">
        <v>167840837</v>
      </c>
    </row>
    <row r="201" spans="2:80" x14ac:dyDescent="0.3">
      <c r="B201" s="7" t="s">
        <v>57</v>
      </c>
      <c r="C201" s="9">
        <v>1112628</v>
      </c>
      <c r="D201" s="9">
        <v>1820417</v>
      </c>
      <c r="E201" s="9">
        <v>3087396</v>
      </c>
      <c r="F201" s="9">
        <v>4469371</v>
      </c>
      <c r="G201" s="9">
        <v>6612360</v>
      </c>
      <c r="H201" s="9">
        <v>11698429</v>
      </c>
      <c r="I201" s="9">
        <v>18622427</v>
      </c>
      <c r="J201" s="9">
        <v>23151767</v>
      </c>
      <c r="K201" s="9">
        <v>27046778</v>
      </c>
      <c r="L201" s="9">
        <v>31654053</v>
      </c>
      <c r="M201" s="9">
        <v>34820803</v>
      </c>
      <c r="N201" s="9">
        <v>47776157</v>
      </c>
      <c r="O201" s="31">
        <v>47776157</v>
      </c>
      <c r="P201" s="9">
        <v>1715775</v>
      </c>
      <c r="Q201" s="9">
        <v>7912951</v>
      </c>
      <c r="R201" s="9">
        <v>13778168</v>
      </c>
      <c r="S201" s="9">
        <v>19853925</v>
      </c>
      <c r="T201" s="9">
        <v>27852128</v>
      </c>
      <c r="U201" s="9">
        <v>36897811</v>
      </c>
      <c r="V201" s="9">
        <v>44534198</v>
      </c>
      <c r="W201" s="9">
        <v>49731193</v>
      </c>
      <c r="X201" s="9">
        <v>59397776</v>
      </c>
      <c r="Y201" s="9">
        <v>70700293</v>
      </c>
      <c r="Z201" s="9">
        <v>77013273</v>
      </c>
      <c r="AA201" s="9">
        <v>92051865</v>
      </c>
      <c r="AB201" s="31">
        <v>92051865</v>
      </c>
      <c r="AC201" s="9">
        <v>6893948</v>
      </c>
      <c r="AD201" s="9">
        <v>14428172</v>
      </c>
      <c r="AE201" s="9">
        <v>27502757</v>
      </c>
      <c r="AF201" s="9">
        <v>41481975</v>
      </c>
      <c r="AG201" s="9">
        <v>55736154</v>
      </c>
      <c r="AH201" s="9">
        <v>65418176</v>
      </c>
      <c r="AI201" s="9">
        <v>74014693</v>
      </c>
      <c r="AJ201" s="9">
        <v>83933709</v>
      </c>
      <c r="AK201" s="9">
        <v>96273800</v>
      </c>
      <c r="AL201" s="9">
        <v>107496661</v>
      </c>
      <c r="AM201" s="9">
        <v>115380881</v>
      </c>
      <c r="AN201" s="9">
        <v>120433341</v>
      </c>
      <c r="AO201" s="31">
        <v>120433341</v>
      </c>
      <c r="AP201" s="9">
        <v>9985644</v>
      </c>
      <c r="AQ201" s="9">
        <v>33656386</v>
      </c>
      <c r="AR201" s="9">
        <v>46979681</v>
      </c>
      <c r="AS201" s="9">
        <v>57964879</v>
      </c>
      <c r="AT201" s="9">
        <v>70106580</v>
      </c>
      <c r="AU201" s="9">
        <v>79203980</v>
      </c>
      <c r="AV201" s="9">
        <v>90537468</v>
      </c>
      <c r="AW201" s="9">
        <v>102254609</v>
      </c>
      <c r="AX201" s="9">
        <v>116064328</v>
      </c>
      <c r="AY201" s="9">
        <v>125794171</v>
      </c>
      <c r="AZ201" s="9">
        <v>137543512</v>
      </c>
      <c r="BA201" s="9">
        <v>154664738</v>
      </c>
      <c r="BB201" s="31">
        <v>154664738</v>
      </c>
      <c r="BC201" s="9">
        <v>28611159</v>
      </c>
      <c r="BD201" s="9">
        <v>39909481</v>
      </c>
      <c r="BE201" s="9">
        <v>52927964</v>
      </c>
      <c r="BF201" s="9">
        <v>65192522</v>
      </c>
      <c r="BG201" s="9">
        <v>86454377</v>
      </c>
      <c r="BH201" s="9">
        <v>98598981</v>
      </c>
      <c r="BI201" s="9">
        <v>113816542</v>
      </c>
      <c r="BJ201" s="9">
        <v>127509354</v>
      </c>
      <c r="BK201" s="9">
        <v>140306559</v>
      </c>
      <c r="BL201" s="9">
        <v>158756313</v>
      </c>
      <c r="BM201" s="9">
        <v>175120543</v>
      </c>
      <c r="BN201" s="9">
        <v>187900119</v>
      </c>
      <c r="BO201" s="31">
        <v>187900119</v>
      </c>
      <c r="BP201" s="9">
        <v>13224552</v>
      </c>
      <c r="BQ201" s="9">
        <v>24893159</v>
      </c>
      <c r="BR201" s="9">
        <v>36493871</v>
      </c>
      <c r="BS201" s="9">
        <v>46089523</v>
      </c>
      <c r="BT201" s="9">
        <v>65213454</v>
      </c>
      <c r="BU201" s="9">
        <v>80499873</v>
      </c>
      <c r="BV201" s="9">
        <v>94107030</v>
      </c>
      <c r="BW201" s="9">
        <v>94107030</v>
      </c>
      <c r="BX201" s="9">
        <v>94107030</v>
      </c>
      <c r="BY201" s="9">
        <v>94107030</v>
      </c>
      <c r="BZ201" s="9">
        <v>94107030</v>
      </c>
      <c r="CA201" s="9">
        <v>94107030</v>
      </c>
      <c r="CB201" s="31">
        <v>94107030</v>
      </c>
    </row>
    <row r="202" spans="2:80" x14ac:dyDescent="0.3">
      <c r="B202" s="7" t="s">
        <v>58</v>
      </c>
      <c r="C202" s="9">
        <v>4469726</v>
      </c>
      <c r="D202" s="9">
        <v>18288930</v>
      </c>
      <c r="E202" s="9">
        <v>39451629</v>
      </c>
      <c r="F202" s="9">
        <v>67134654</v>
      </c>
      <c r="G202" s="9">
        <v>85038572</v>
      </c>
      <c r="H202" s="9">
        <v>106403754</v>
      </c>
      <c r="I202" s="9">
        <v>127989975</v>
      </c>
      <c r="J202" s="9">
        <v>151991671</v>
      </c>
      <c r="K202" s="9">
        <v>167316036</v>
      </c>
      <c r="L202" s="9">
        <v>187035458</v>
      </c>
      <c r="M202" s="9">
        <v>210543079</v>
      </c>
      <c r="N202" s="9">
        <v>245579946</v>
      </c>
      <c r="O202" s="31">
        <v>245579946</v>
      </c>
      <c r="P202" s="9">
        <v>5117651</v>
      </c>
      <c r="Q202" s="9">
        <v>17115552</v>
      </c>
      <c r="R202" s="9">
        <v>31880195</v>
      </c>
      <c r="S202" s="9">
        <v>48888291</v>
      </c>
      <c r="T202" s="9">
        <v>69797738</v>
      </c>
      <c r="U202" s="9">
        <v>88586399</v>
      </c>
      <c r="V202" s="9">
        <v>109775342</v>
      </c>
      <c r="W202" s="9">
        <v>129042835</v>
      </c>
      <c r="X202" s="9">
        <v>151231000</v>
      </c>
      <c r="Y202" s="9">
        <v>174344358</v>
      </c>
      <c r="Z202" s="9">
        <v>195861382</v>
      </c>
      <c r="AA202" s="9">
        <v>225638317</v>
      </c>
      <c r="AB202" s="31">
        <v>225638317</v>
      </c>
      <c r="AC202" s="9">
        <v>16056194</v>
      </c>
      <c r="AD202" s="9">
        <v>41222544</v>
      </c>
      <c r="AE202" s="9">
        <v>63366881</v>
      </c>
      <c r="AF202" s="9">
        <v>85671039</v>
      </c>
      <c r="AG202" s="9">
        <v>110685972</v>
      </c>
      <c r="AH202" s="9">
        <v>144009988</v>
      </c>
      <c r="AI202" s="9">
        <v>173154556</v>
      </c>
      <c r="AJ202" s="9">
        <v>196743444</v>
      </c>
      <c r="AK202" s="9">
        <v>212546927</v>
      </c>
      <c r="AL202" s="9">
        <v>226090465</v>
      </c>
      <c r="AM202" s="9">
        <v>240592515</v>
      </c>
      <c r="AN202" s="9">
        <v>254256843</v>
      </c>
      <c r="AO202" s="31">
        <v>254256843</v>
      </c>
      <c r="AP202" s="9">
        <v>16801881</v>
      </c>
      <c r="AQ202" s="9">
        <v>39034586</v>
      </c>
      <c r="AR202" s="9">
        <v>63567984</v>
      </c>
      <c r="AS202" s="9">
        <v>83805715</v>
      </c>
      <c r="AT202" s="9">
        <v>111493586</v>
      </c>
      <c r="AU202" s="9">
        <v>143347207</v>
      </c>
      <c r="AV202" s="9">
        <v>170635795</v>
      </c>
      <c r="AW202" s="9">
        <v>191294342</v>
      </c>
      <c r="AX202" s="9">
        <v>221604059</v>
      </c>
      <c r="AY202" s="9">
        <v>243733124</v>
      </c>
      <c r="AZ202" s="9">
        <v>262463351</v>
      </c>
      <c r="BA202" s="9">
        <v>303859023</v>
      </c>
      <c r="BB202" s="31">
        <v>303859023</v>
      </c>
      <c r="BC202" s="9">
        <v>15482508</v>
      </c>
      <c r="BD202" s="9">
        <v>37606929</v>
      </c>
      <c r="BE202" s="9">
        <v>63297120</v>
      </c>
      <c r="BF202" s="9">
        <v>97215716</v>
      </c>
      <c r="BG202" s="9">
        <v>131803517</v>
      </c>
      <c r="BH202" s="9">
        <v>152713246</v>
      </c>
      <c r="BI202" s="9">
        <v>179971380</v>
      </c>
      <c r="BJ202" s="9">
        <v>207004515</v>
      </c>
      <c r="BK202" s="9">
        <v>231834310</v>
      </c>
      <c r="BL202" s="9">
        <v>258252891</v>
      </c>
      <c r="BM202" s="9">
        <v>294780887</v>
      </c>
      <c r="BN202" s="9">
        <v>326807970</v>
      </c>
      <c r="BO202" s="31">
        <v>326807970</v>
      </c>
      <c r="BP202" s="9">
        <v>42099344</v>
      </c>
      <c r="BQ202" s="9">
        <v>72721281</v>
      </c>
      <c r="BR202" s="9">
        <v>97228549</v>
      </c>
      <c r="BS202" s="9">
        <v>117747058</v>
      </c>
      <c r="BT202" s="9">
        <v>144931030</v>
      </c>
      <c r="BU202" s="9">
        <v>167161554</v>
      </c>
      <c r="BV202" s="9">
        <v>188004751</v>
      </c>
      <c r="BW202" s="9">
        <v>188004751</v>
      </c>
      <c r="BX202" s="9">
        <v>188004751</v>
      </c>
      <c r="BY202" s="9">
        <v>188004751</v>
      </c>
      <c r="BZ202" s="9">
        <v>188004751</v>
      </c>
      <c r="CA202" s="9">
        <v>188004751</v>
      </c>
      <c r="CB202" s="31">
        <v>188004751</v>
      </c>
    </row>
    <row r="203" spans="2:80" x14ac:dyDescent="0.3">
      <c r="B203" s="7" t="s">
        <v>59</v>
      </c>
      <c r="C203" s="9">
        <v>2340494</v>
      </c>
      <c r="D203" s="9">
        <v>9045481</v>
      </c>
      <c r="E203" s="9">
        <v>19458527</v>
      </c>
      <c r="F203" s="9">
        <v>27984067</v>
      </c>
      <c r="G203" s="9">
        <v>37145644</v>
      </c>
      <c r="H203" s="9">
        <v>49894552</v>
      </c>
      <c r="I203" s="9">
        <v>60347283</v>
      </c>
      <c r="J203" s="9">
        <v>70574700</v>
      </c>
      <c r="K203" s="9">
        <v>85319734</v>
      </c>
      <c r="L203" s="9">
        <v>94333308</v>
      </c>
      <c r="M203" s="9">
        <v>104865659</v>
      </c>
      <c r="N203" s="9">
        <v>129295070</v>
      </c>
      <c r="O203" s="31">
        <v>129295070</v>
      </c>
      <c r="P203" s="9">
        <v>2285449</v>
      </c>
      <c r="Q203" s="9">
        <v>11633690</v>
      </c>
      <c r="R203" s="9">
        <v>25725792</v>
      </c>
      <c r="S203" s="9">
        <v>35450068</v>
      </c>
      <c r="T203" s="9">
        <v>45575902</v>
      </c>
      <c r="U203" s="9">
        <v>55779612</v>
      </c>
      <c r="V203" s="9">
        <v>66690010</v>
      </c>
      <c r="W203" s="9">
        <v>79787195</v>
      </c>
      <c r="X203" s="9">
        <v>93335265</v>
      </c>
      <c r="Y203" s="9">
        <v>117521803</v>
      </c>
      <c r="Z203" s="9">
        <v>131464930</v>
      </c>
      <c r="AA203" s="9">
        <v>157535899</v>
      </c>
      <c r="AB203" s="31">
        <v>157535899</v>
      </c>
      <c r="AC203" s="9">
        <v>18467792</v>
      </c>
      <c r="AD203" s="9">
        <v>29046120</v>
      </c>
      <c r="AE203" s="9">
        <v>42073518</v>
      </c>
      <c r="AF203" s="9">
        <v>57658678</v>
      </c>
      <c r="AG203" s="9">
        <v>72901834</v>
      </c>
      <c r="AH203" s="9">
        <v>93794032</v>
      </c>
      <c r="AI203" s="9">
        <v>109969868</v>
      </c>
      <c r="AJ203" s="9">
        <v>125420876</v>
      </c>
      <c r="AK203" s="9">
        <v>138411021</v>
      </c>
      <c r="AL203" s="9">
        <v>162718437</v>
      </c>
      <c r="AM203" s="9">
        <v>182769232</v>
      </c>
      <c r="AN203" s="9">
        <v>203570573</v>
      </c>
      <c r="AO203" s="31">
        <v>203570573</v>
      </c>
      <c r="AP203" s="9">
        <v>14035225</v>
      </c>
      <c r="AQ203" s="9">
        <v>29300658</v>
      </c>
      <c r="AR203" s="9">
        <v>43671242</v>
      </c>
      <c r="AS203" s="9">
        <v>71151546</v>
      </c>
      <c r="AT203" s="9">
        <v>95182502</v>
      </c>
      <c r="AU203" s="9">
        <v>119487356</v>
      </c>
      <c r="AV203" s="9">
        <v>147752497</v>
      </c>
      <c r="AW203" s="9">
        <v>173615266</v>
      </c>
      <c r="AX203" s="9">
        <v>202342446</v>
      </c>
      <c r="AY203" s="9">
        <v>223908095</v>
      </c>
      <c r="AZ203" s="9">
        <v>238933037</v>
      </c>
      <c r="BA203" s="9">
        <v>265754901</v>
      </c>
      <c r="BB203" s="31">
        <v>265754901</v>
      </c>
      <c r="BC203" s="9">
        <v>16895290</v>
      </c>
      <c r="BD203" s="9">
        <v>30452354</v>
      </c>
      <c r="BE203" s="9">
        <v>54449602</v>
      </c>
      <c r="BF203" s="9">
        <v>84978148</v>
      </c>
      <c r="BG203" s="9">
        <v>123274763</v>
      </c>
      <c r="BH203" s="9">
        <v>145553759</v>
      </c>
      <c r="BI203" s="9">
        <v>160017443</v>
      </c>
      <c r="BJ203" s="9">
        <v>181643029</v>
      </c>
      <c r="BK203" s="9">
        <v>197691207</v>
      </c>
      <c r="BL203" s="9">
        <v>221568676</v>
      </c>
      <c r="BM203" s="9">
        <v>250863655</v>
      </c>
      <c r="BN203" s="9">
        <v>281747040</v>
      </c>
      <c r="BO203" s="31">
        <v>281747040</v>
      </c>
      <c r="BP203" s="9">
        <v>13736465</v>
      </c>
      <c r="BQ203" s="9">
        <v>31655446</v>
      </c>
      <c r="BR203" s="9">
        <v>54735404</v>
      </c>
      <c r="BS203" s="9">
        <v>73769159</v>
      </c>
      <c r="BT203" s="9">
        <v>90414953</v>
      </c>
      <c r="BU203" s="9">
        <v>125785512</v>
      </c>
      <c r="BV203" s="9">
        <v>159252866</v>
      </c>
      <c r="BW203" s="9">
        <v>159252866</v>
      </c>
      <c r="BX203" s="9">
        <v>159252866</v>
      </c>
      <c r="BY203" s="9">
        <v>159252866</v>
      </c>
      <c r="BZ203" s="9">
        <v>159252866</v>
      </c>
      <c r="CA203" s="9">
        <v>159252866</v>
      </c>
      <c r="CB203" s="31">
        <v>159252866</v>
      </c>
    </row>
    <row r="204" spans="2:80" x14ac:dyDescent="0.3">
      <c r="B204" s="7" t="s">
        <v>60</v>
      </c>
      <c r="C204" s="9">
        <v>424307</v>
      </c>
      <c r="D204" s="9">
        <v>4631562</v>
      </c>
      <c r="E204" s="9">
        <v>8734266</v>
      </c>
      <c r="F204" s="9">
        <v>11750141</v>
      </c>
      <c r="G204" s="9">
        <v>14774327</v>
      </c>
      <c r="H204" s="9">
        <v>17226636</v>
      </c>
      <c r="I204" s="9">
        <v>22037943</v>
      </c>
      <c r="J204" s="9">
        <v>25523572</v>
      </c>
      <c r="K204" s="9">
        <v>29861438</v>
      </c>
      <c r="L204" s="9">
        <v>34645750</v>
      </c>
      <c r="M204" s="9">
        <v>38545628</v>
      </c>
      <c r="N204" s="9">
        <v>46132129</v>
      </c>
      <c r="O204" s="31">
        <v>46132129</v>
      </c>
      <c r="P204" s="9">
        <v>1943912</v>
      </c>
      <c r="Q204" s="9">
        <v>4304359</v>
      </c>
      <c r="R204" s="9">
        <v>8833471</v>
      </c>
      <c r="S204" s="9">
        <v>12245057</v>
      </c>
      <c r="T204" s="9">
        <v>18174448</v>
      </c>
      <c r="U204" s="9">
        <v>20977173</v>
      </c>
      <c r="V204" s="9">
        <v>25091294</v>
      </c>
      <c r="W204" s="9">
        <v>30163947</v>
      </c>
      <c r="X204" s="9">
        <v>33477759</v>
      </c>
      <c r="Y204" s="9">
        <v>36598545</v>
      </c>
      <c r="Z204" s="9">
        <v>41216929</v>
      </c>
      <c r="AA204" s="9">
        <v>51905066</v>
      </c>
      <c r="AB204" s="31">
        <v>51905066</v>
      </c>
      <c r="AC204" s="9">
        <v>3213985</v>
      </c>
      <c r="AD204" s="9">
        <v>6828524</v>
      </c>
      <c r="AE204" s="9">
        <v>12892202</v>
      </c>
      <c r="AF204" s="9">
        <v>16055831</v>
      </c>
      <c r="AG204" s="9">
        <v>20964726</v>
      </c>
      <c r="AH204" s="9">
        <v>27769798</v>
      </c>
      <c r="AI204" s="9">
        <v>30545497</v>
      </c>
      <c r="AJ204" s="9">
        <v>36345551</v>
      </c>
      <c r="AK204" s="9">
        <v>40826470</v>
      </c>
      <c r="AL204" s="9">
        <v>46706866</v>
      </c>
      <c r="AM204" s="9">
        <v>52752197</v>
      </c>
      <c r="AN204" s="9">
        <v>59772426</v>
      </c>
      <c r="AO204" s="31">
        <v>59772426</v>
      </c>
      <c r="AP204" s="9">
        <v>2819597</v>
      </c>
      <c r="AQ204" s="9">
        <v>12177556</v>
      </c>
      <c r="AR204" s="9">
        <v>17970251</v>
      </c>
      <c r="AS204" s="9">
        <v>23770092</v>
      </c>
      <c r="AT204" s="9">
        <v>29826161</v>
      </c>
      <c r="AU204" s="9">
        <v>33285638</v>
      </c>
      <c r="AV204" s="9">
        <v>39629889</v>
      </c>
      <c r="AW204" s="9">
        <v>42727317</v>
      </c>
      <c r="AX204" s="9">
        <v>47914823</v>
      </c>
      <c r="AY204" s="9">
        <v>53345356</v>
      </c>
      <c r="AZ204" s="9">
        <v>57469049</v>
      </c>
      <c r="BA204" s="9">
        <v>72195760</v>
      </c>
      <c r="BB204" s="31">
        <v>72195760</v>
      </c>
      <c r="BC204" s="9">
        <v>2773961</v>
      </c>
      <c r="BD204" s="9">
        <v>5538186</v>
      </c>
      <c r="BE204" s="9">
        <v>9662146</v>
      </c>
      <c r="BF204" s="9">
        <v>12837102</v>
      </c>
      <c r="BG204" s="9">
        <v>18479193</v>
      </c>
      <c r="BH204" s="9">
        <v>20063802</v>
      </c>
      <c r="BI204" s="9">
        <v>22661415</v>
      </c>
      <c r="BJ204" s="9">
        <v>29464080</v>
      </c>
      <c r="BK204" s="9">
        <v>31765046</v>
      </c>
      <c r="BL204" s="9">
        <v>42221342</v>
      </c>
      <c r="BM204" s="9">
        <v>47090031</v>
      </c>
      <c r="BN204" s="9">
        <v>64975445</v>
      </c>
      <c r="BO204" s="31">
        <v>64975445</v>
      </c>
      <c r="BP204" s="9">
        <v>2332360</v>
      </c>
      <c r="BQ204" s="9">
        <v>6325878</v>
      </c>
      <c r="BR204" s="9">
        <v>11440218</v>
      </c>
      <c r="BS204" s="9">
        <v>16337153</v>
      </c>
      <c r="BT204" s="9">
        <v>19007467</v>
      </c>
      <c r="BU204" s="9">
        <v>24168176</v>
      </c>
      <c r="BV204" s="9">
        <v>28151398</v>
      </c>
      <c r="BW204" s="9">
        <v>28151398</v>
      </c>
      <c r="BX204" s="9">
        <v>28151398</v>
      </c>
      <c r="BY204" s="9">
        <v>28151398</v>
      </c>
      <c r="BZ204" s="9">
        <v>28151398</v>
      </c>
      <c r="CA204" s="9">
        <v>28151398</v>
      </c>
      <c r="CB204" s="31">
        <v>28151398</v>
      </c>
    </row>
    <row r="205" spans="2:80" x14ac:dyDescent="0.3">
      <c r="B205" s="7" t="s">
        <v>61</v>
      </c>
      <c r="C205" s="9">
        <v>5180431</v>
      </c>
      <c r="D205" s="9">
        <v>9505995</v>
      </c>
      <c r="E205" s="9">
        <v>19294964</v>
      </c>
      <c r="F205" s="9">
        <v>37060323</v>
      </c>
      <c r="G205" s="9">
        <v>46483205</v>
      </c>
      <c r="H205" s="9">
        <v>61069443</v>
      </c>
      <c r="I205" s="9">
        <v>68011566</v>
      </c>
      <c r="J205" s="9">
        <v>77835468</v>
      </c>
      <c r="K205" s="9">
        <v>87126418</v>
      </c>
      <c r="L205" s="9">
        <v>94096132</v>
      </c>
      <c r="M205" s="9">
        <v>103163269</v>
      </c>
      <c r="N205" s="9">
        <v>113006493</v>
      </c>
      <c r="O205" s="31">
        <v>113006493</v>
      </c>
      <c r="P205" s="9">
        <v>8189170</v>
      </c>
      <c r="Q205" s="9">
        <v>14166513</v>
      </c>
      <c r="R205" s="9">
        <v>22587300</v>
      </c>
      <c r="S205" s="9">
        <v>32346214</v>
      </c>
      <c r="T205" s="9">
        <v>44895149</v>
      </c>
      <c r="U205" s="9">
        <v>57528946</v>
      </c>
      <c r="V205" s="9">
        <v>69217038</v>
      </c>
      <c r="W205" s="9">
        <v>80038075</v>
      </c>
      <c r="X205" s="9">
        <v>88496051</v>
      </c>
      <c r="Y205" s="9">
        <v>100095643</v>
      </c>
      <c r="Z205" s="9">
        <v>106418833</v>
      </c>
      <c r="AA205" s="9">
        <v>118382436</v>
      </c>
      <c r="AB205" s="31">
        <v>118382436</v>
      </c>
      <c r="AC205" s="9">
        <v>11374875</v>
      </c>
      <c r="AD205" s="9">
        <v>24741884</v>
      </c>
      <c r="AE205" s="9">
        <v>37838261</v>
      </c>
      <c r="AF205" s="9">
        <v>61820040</v>
      </c>
      <c r="AG205" s="9">
        <v>70491150</v>
      </c>
      <c r="AH205" s="9">
        <v>88988817</v>
      </c>
      <c r="AI205" s="9">
        <v>101226948</v>
      </c>
      <c r="AJ205" s="9">
        <v>115503364</v>
      </c>
      <c r="AK205" s="9">
        <v>124365005</v>
      </c>
      <c r="AL205" s="9">
        <v>130648318</v>
      </c>
      <c r="AM205" s="9">
        <v>136860964</v>
      </c>
      <c r="AN205" s="9">
        <v>146834929</v>
      </c>
      <c r="AO205" s="31">
        <v>146834929</v>
      </c>
      <c r="AP205" s="9">
        <v>22538677</v>
      </c>
      <c r="AQ205" s="9">
        <v>41804727</v>
      </c>
      <c r="AR205" s="9">
        <v>60202426</v>
      </c>
      <c r="AS205" s="9">
        <v>72651068</v>
      </c>
      <c r="AT205" s="9">
        <v>108965112</v>
      </c>
      <c r="AU205" s="9">
        <v>121685891</v>
      </c>
      <c r="AV205" s="9">
        <v>132758566</v>
      </c>
      <c r="AW205" s="9">
        <v>145373990</v>
      </c>
      <c r="AX205" s="9">
        <v>148986590</v>
      </c>
      <c r="AY205" s="9">
        <v>161664278</v>
      </c>
      <c r="AZ205" s="9">
        <v>172285110</v>
      </c>
      <c r="BA205" s="9">
        <v>209043392</v>
      </c>
      <c r="BB205" s="31">
        <v>209043392</v>
      </c>
      <c r="BC205" s="9">
        <v>23604674</v>
      </c>
      <c r="BD205" s="9">
        <v>59677134</v>
      </c>
      <c r="BE205" s="9">
        <v>76618911</v>
      </c>
      <c r="BF205" s="9">
        <v>91680844</v>
      </c>
      <c r="BG205" s="9">
        <v>112332249</v>
      </c>
      <c r="BH205" s="9">
        <v>140911345</v>
      </c>
      <c r="BI205" s="9">
        <v>168734716</v>
      </c>
      <c r="BJ205" s="9">
        <v>179348082</v>
      </c>
      <c r="BK205" s="9">
        <v>193278850</v>
      </c>
      <c r="BL205" s="9">
        <v>227668824</v>
      </c>
      <c r="BM205" s="9">
        <v>235434079</v>
      </c>
      <c r="BN205" s="9">
        <v>256667592</v>
      </c>
      <c r="BO205" s="31">
        <v>256667592</v>
      </c>
      <c r="BP205" s="9">
        <v>48052626</v>
      </c>
      <c r="BQ205" s="9">
        <v>67828812</v>
      </c>
      <c r="BR205" s="9">
        <v>88161628</v>
      </c>
      <c r="BS205" s="9">
        <v>101252491</v>
      </c>
      <c r="BT205" s="9">
        <v>112593638</v>
      </c>
      <c r="BU205" s="9">
        <v>134540956</v>
      </c>
      <c r="BV205" s="9">
        <v>152096621</v>
      </c>
      <c r="BW205" s="9">
        <v>152096621</v>
      </c>
      <c r="BX205" s="9">
        <v>152096621</v>
      </c>
      <c r="BY205" s="9">
        <v>152096621</v>
      </c>
      <c r="BZ205" s="9">
        <v>152096621</v>
      </c>
      <c r="CA205" s="9">
        <v>152096621</v>
      </c>
      <c r="CB205" s="31">
        <v>152096621</v>
      </c>
    </row>
    <row r="206" spans="2:80" x14ac:dyDescent="0.3">
      <c r="B206" s="7" t="s">
        <v>62</v>
      </c>
      <c r="C206" s="9">
        <v>20381</v>
      </c>
      <c r="D206" s="9">
        <v>3884651</v>
      </c>
      <c r="E206" s="9">
        <v>7210132</v>
      </c>
      <c r="F206" s="9">
        <v>9798446</v>
      </c>
      <c r="G206" s="9">
        <v>14696071</v>
      </c>
      <c r="H206" s="9">
        <v>16709800</v>
      </c>
      <c r="I206" s="9">
        <v>18261522</v>
      </c>
      <c r="J206" s="9">
        <v>19879998</v>
      </c>
      <c r="K206" s="9">
        <v>21881786</v>
      </c>
      <c r="L206" s="9">
        <v>23524612</v>
      </c>
      <c r="M206" s="9">
        <v>25256220</v>
      </c>
      <c r="N206" s="9">
        <v>28897046</v>
      </c>
      <c r="O206" s="31">
        <v>28897046</v>
      </c>
      <c r="P206" s="9">
        <v>585094</v>
      </c>
      <c r="Q206" s="9">
        <v>4629351</v>
      </c>
      <c r="R206" s="9">
        <v>7993222</v>
      </c>
      <c r="S206" s="9">
        <v>9906215</v>
      </c>
      <c r="T206" s="9">
        <v>12406386</v>
      </c>
      <c r="U206" s="9">
        <v>15821025</v>
      </c>
      <c r="V206" s="9">
        <v>20990222</v>
      </c>
      <c r="W206" s="9">
        <v>23740012</v>
      </c>
      <c r="X206" s="9">
        <v>27038382</v>
      </c>
      <c r="Y206" s="9">
        <v>29993298</v>
      </c>
      <c r="Z206" s="9">
        <v>32810442</v>
      </c>
      <c r="AA206" s="9">
        <v>39538532</v>
      </c>
      <c r="AB206" s="31">
        <v>39538532</v>
      </c>
      <c r="AC206" s="9">
        <v>1057298</v>
      </c>
      <c r="AD206" s="9">
        <v>3840849</v>
      </c>
      <c r="AE206" s="9">
        <v>6667886</v>
      </c>
      <c r="AF206" s="9">
        <v>8536838</v>
      </c>
      <c r="AG206" s="9">
        <v>10441447</v>
      </c>
      <c r="AH206" s="9">
        <v>13355762</v>
      </c>
      <c r="AI206" s="9">
        <v>15873762</v>
      </c>
      <c r="AJ206" s="9">
        <v>19843737</v>
      </c>
      <c r="AK206" s="9">
        <v>24509706</v>
      </c>
      <c r="AL206" s="9">
        <v>26698806</v>
      </c>
      <c r="AM206" s="9">
        <v>37610027</v>
      </c>
      <c r="AN206" s="9">
        <v>51404884</v>
      </c>
      <c r="AO206" s="31">
        <v>51404884</v>
      </c>
      <c r="AP206" s="9">
        <v>2553647</v>
      </c>
      <c r="AQ206" s="9">
        <v>5314108</v>
      </c>
      <c r="AR206" s="9">
        <v>7804124</v>
      </c>
      <c r="AS206" s="9">
        <v>9933333</v>
      </c>
      <c r="AT206" s="9">
        <v>12723904</v>
      </c>
      <c r="AU206" s="9">
        <v>15623521</v>
      </c>
      <c r="AV206" s="9">
        <v>17973882</v>
      </c>
      <c r="AW206" s="9">
        <v>21179484</v>
      </c>
      <c r="AX206" s="9">
        <v>23416485</v>
      </c>
      <c r="AY206" s="9">
        <v>26233346</v>
      </c>
      <c r="AZ206" s="9">
        <v>29925270</v>
      </c>
      <c r="BA206" s="9">
        <v>40629172</v>
      </c>
      <c r="BB206" s="31">
        <v>40629172</v>
      </c>
      <c r="BC206" s="9">
        <v>1502066</v>
      </c>
      <c r="BD206" s="9">
        <v>3141424</v>
      </c>
      <c r="BE206" s="9">
        <v>5424813</v>
      </c>
      <c r="BF206" s="9">
        <v>8635636</v>
      </c>
      <c r="BG206" s="9">
        <v>10539066</v>
      </c>
      <c r="BH206" s="9">
        <v>23615826</v>
      </c>
      <c r="BI206" s="9">
        <v>25551878</v>
      </c>
      <c r="BJ206" s="9">
        <v>27867890</v>
      </c>
      <c r="BK206" s="9">
        <v>31455323</v>
      </c>
      <c r="BL206" s="9">
        <v>41450059</v>
      </c>
      <c r="BM206" s="9">
        <v>44040457</v>
      </c>
      <c r="BN206" s="9">
        <v>49928043</v>
      </c>
      <c r="BO206" s="31">
        <v>49928043</v>
      </c>
      <c r="BP206" s="9">
        <v>9915414</v>
      </c>
      <c r="BQ206" s="9">
        <v>16192369</v>
      </c>
      <c r="BR206" s="9">
        <v>19730338</v>
      </c>
      <c r="BS206" s="9">
        <v>24443967</v>
      </c>
      <c r="BT206" s="9">
        <v>29917306</v>
      </c>
      <c r="BU206" s="9">
        <v>37520057</v>
      </c>
      <c r="BV206" s="9">
        <v>39532590</v>
      </c>
      <c r="BW206" s="9">
        <v>39532590</v>
      </c>
      <c r="BX206" s="9">
        <v>39532590</v>
      </c>
      <c r="BY206" s="9">
        <v>39532590</v>
      </c>
      <c r="BZ206" s="9">
        <v>39532590</v>
      </c>
      <c r="CA206" s="9">
        <v>39532590</v>
      </c>
      <c r="CB206" s="31">
        <v>39532590</v>
      </c>
    </row>
    <row r="207" spans="2:80" x14ac:dyDescent="0.3">
      <c r="B207" s="7" t="s">
        <v>63</v>
      </c>
      <c r="C207" s="9">
        <v>2144004</v>
      </c>
      <c r="D207" s="9">
        <v>7458529</v>
      </c>
      <c r="E207" s="9">
        <v>11689372</v>
      </c>
      <c r="F207" s="9">
        <v>12872356</v>
      </c>
      <c r="G207" s="9">
        <v>14624744</v>
      </c>
      <c r="H207" s="9">
        <v>17119843</v>
      </c>
      <c r="I207" s="9">
        <v>18123312</v>
      </c>
      <c r="J207" s="9">
        <v>18694686</v>
      </c>
      <c r="K207" s="9">
        <v>25050342</v>
      </c>
      <c r="L207" s="9">
        <v>34772367</v>
      </c>
      <c r="M207" s="9">
        <v>36052944</v>
      </c>
      <c r="N207" s="9">
        <v>51830763</v>
      </c>
      <c r="O207" s="31">
        <v>51830763</v>
      </c>
      <c r="P207" s="9">
        <v>105467</v>
      </c>
      <c r="Q207" s="9">
        <v>434883</v>
      </c>
      <c r="R207" s="9">
        <v>767826</v>
      </c>
      <c r="S207" s="9">
        <v>1107860</v>
      </c>
      <c r="T207" s="9">
        <v>1760790</v>
      </c>
      <c r="U207" s="9">
        <v>5827984</v>
      </c>
      <c r="V207" s="9">
        <v>8162251</v>
      </c>
      <c r="W207" s="9">
        <v>14438284</v>
      </c>
      <c r="X207" s="9">
        <v>22649037</v>
      </c>
      <c r="Y207" s="9">
        <v>35357887</v>
      </c>
      <c r="Z207" s="9">
        <v>41970766</v>
      </c>
      <c r="AA207" s="9">
        <v>59466476</v>
      </c>
      <c r="AB207" s="31">
        <v>59466476</v>
      </c>
      <c r="AC207" s="9">
        <v>399218</v>
      </c>
      <c r="AD207" s="9">
        <v>622391</v>
      </c>
      <c r="AE207" s="9">
        <v>925635</v>
      </c>
      <c r="AF207" s="9">
        <v>9023856</v>
      </c>
      <c r="AG207" s="9">
        <v>9794146</v>
      </c>
      <c r="AH207" s="9">
        <v>18945374</v>
      </c>
      <c r="AI207" s="9">
        <v>22835743</v>
      </c>
      <c r="AJ207" s="9">
        <v>23754081</v>
      </c>
      <c r="AK207" s="9">
        <v>28673026</v>
      </c>
      <c r="AL207" s="9">
        <v>29703345</v>
      </c>
      <c r="AM207" s="9">
        <v>35135081</v>
      </c>
      <c r="AN207" s="9">
        <v>48847267</v>
      </c>
      <c r="AO207" s="31">
        <v>48847267</v>
      </c>
      <c r="AP207" s="9">
        <v>1271183</v>
      </c>
      <c r="AQ207" s="9">
        <v>1494991</v>
      </c>
      <c r="AR207" s="9">
        <v>1958696</v>
      </c>
      <c r="AS207" s="9">
        <v>11688839</v>
      </c>
      <c r="AT207" s="9">
        <v>16971260</v>
      </c>
      <c r="AU207" s="9">
        <v>23042370</v>
      </c>
      <c r="AV207" s="9">
        <v>32366137</v>
      </c>
      <c r="AW207" s="9">
        <v>38702931</v>
      </c>
      <c r="AX207" s="9">
        <v>40706210</v>
      </c>
      <c r="AY207" s="9">
        <v>50327847</v>
      </c>
      <c r="AZ207" s="9">
        <v>63842140</v>
      </c>
      <c r="BA207" s="9">
        <v>66459701</v>
      </c>
      <c r="BB207" s="31">
        <v>66459701</v>
      </c>
      <c r="BC207" s="9">
        <v>1551358</v>
      </c>
      <c r="BD207" s="9">
        <v>7621277</v>
      </c>
      <c r="BE207" s="9">
        <v>10746706</v>
      </c>
      <c r="BF207" s="9">
        <v>12210044</v>
      </c>
      <c r="BG207" s="9">
        <v>19558996</v>
      </c>
      <c r="BH207" s="9">
        <v>20758374</v>
      </c>
      <c r="BI207" s="9">
        <v>25629922</v>
      </c>
      <c r="BJ207" s="9">
        <v>32407596</v>
      </c>
      <c r="BK207" s="9">
        <v>33859870</v>
      </c>
      <c r="BL207" s="9">
        <v>43167141</v>
      </c>
      <c r="BM207" s="9">
        <v>50220084</v>
      </c>
      <c r="BN207" s="9">
        <v>54657622</v>
      </c>
      <c r="BO207" s="31">
        <v>54657622</v>
      </c>
      <c r="BP207" s="9">
        <v>231133</v>
      </c>
      <c r="BQ207" s="9">
        <v>460737</v>
      </c>
      <c r="BR207" s="9">
        <v>2148468</v>
      </c>
      <c r="BS207" s="9">
        <v>2602862</v>
      </c>
      <c r="BT207" s="9">
        <v>3361892</v>
      </c>
      <c r="BU207" s="9">
        <v>3846615</v>
      </c>
      <c r="BV207" s="9">
        <v>23634743</v>
      </c>
      <c r="BW207" s="9">
        <v>23634743</v>
      </c>
      <c r="BX207" s="9">
        <v>23634743</v>
      </c>
      <c r="BY207" s="9">
        <v>23634743</v>
      </c>
      <c r="BZ207" s="9">
        <v>23634743</v>
      </c>
      <c r="CA207" s="9">
        <v>23634743</v>
      </c>
      <c r="CB207" s="31">
        <v>23634743</v>
      </c>
    </row>
    <row r="208" spans="2:80" x14ac:dyDescent="0.3">
      <c r="B208" s="11" t="s">
        <v>121</v>
      </c>
      <c r="C208" s="13">
        <f t="shared" ref="C208:AH208" si="24">SUM(C190:C207)</f>
        <v>58778523</v>
      </c>
      <c r="D208" s="13">
        <f t="shared" si="24"/>
        <v>163922358</v>
      </c>
      <c r="E208" s="13">
        <f t="shared" si="24"/>
        <v>302370134</v>
      </c>
      <c r="F208" s="13">
        <f t="shared" si="24"/>
        <v>454143851</v>
      </c>
      <c r="G208" s="13">
        <f t="shared" si="24"/>
        <v>615222044</v>
      </c>
      <c r="H208" s="13">
        <f t="shared" si="24"/>
        <v>805153592</v>
      </c>
      <c r="I208" s="13">
        <f t="shared" si="24"/>
        <v>956193870</v>
      </c>
      <c r="J208" s="13">
        <f t="shared" si="24"/>
        <v>1099385423</v>
      </c>
      <c r="K208" s="13">
        <f t="shared" si="24"/>
        <v>1279672517</v>
      </c>
      <c r="L208" s="13">
        <f t="shared" si="24"/>
        <v>1433637273</v>
      </c>
      <c r="M208" s="13">
        <f t="shared" si="24"/>
        <v>1572223288</v>
      </c>
      <c r="N208" s="13">
        <f t="shared" si="24"/>
        <v>1858447408</v>
      </c>
      <c r="O208" s="13">
        <f t="shared" si="24"/>
        <v>1858447408</v>
      </c>
      <c r="P208" s="13">
        <f t="shared" si="24"/>
        <v>63485098</v>
      </c>
      <c r="Q208" s="13">
        <f t="shared" si="24"/>
        <v>195811242</v>
      </c>
      <c r="R208" s="13">
        <f t="shared" si="24"/>
        <v>342933396</v>
      </c>
      <c r="S208" s="13">
        <f t="shared" si="24"/>
        <v>515863325</v>
      </c>
      <c r="T208" s="13">
        <f t="shared" si="24"/>
        <v>685185958</v>
      </c>
      <c r="U208" s="13">
        <f t="shared" si="24"/>
        <v>881500819</v>
      </c>
      <c r="V208" s="13">
        <f t="shared" si="24"/>
        <v>1067262025</v>
      </c>
      <c r="W208" s="13">
        <f t="shared" si="24"/>
        <v>1263131984</v>
      </c>
      <c r="X208" s="13">
        <f t="shared" si="24"/>
        <v>1462296838</v>
      </c>
      <c r="Y208" s="13">
        <f t="shared" si="24"/>
        <v>1667789221</v>
      </c>
      <c r="Z208" s="13">
        <f t="shared" si="24"/>
        <v>1835506537</v>
      </c>
      <c r="AA208" s="13">
        <f t="shared" si="24"/>
        <v>2206880084</v>
      </c>
      <c r="AB208" s="13">
        <f t="shared" si="24"/>
        <v>2206880084</v>
      </c>
      <c r="AC208" s="13">
        <f t="shared" si="24"/>
        <v>135929969</v>
      </c>
      <c r="AD208" s="13">
        <f t="shared" si="24"/>
        <v>327888911</v>
      </c>
      <c r="AE208" s="13">
        <f t="shared" si="24"/>
        <v>558132312</v>
      </c>
      <c r="AF208" s="13">
        <f t="shared" si="24"/>
        <v>784705734</v>
      </c>
      <c r="AG208" s="13">
        <f t="shared" si="24"/>
        <v>1022603759</v>
      </c>
      <c r="AH208" s="13">
        <f t="shared" si="24"/>
        <v>1272654481</v>
      </c>
      <c r="AI208" s="13">
        <f t="shared" ref="AI208:BN208" si="25">SUM(AI190:AI207)</f>
        <v>1469477554</v>
      </c>
      <c r="AJ208" s="13">
        <f t="shared" si="25"/>
        <v>1661952215</v>
      </c>
      <c r="AK208" s="13">
        <f t="shared" si="25"/>
        <v>1843355801</v>
      </c>
      <c r="AL208" s="13">
        <f t="shared" si="25"/>
        <v>2024875725</v>
      </c>
      <c r="AM208" s="13">
        <f t="shared" si="25"/>
        <v>2180998519</v>
      </c>
      <c r="AN208" s="13">
        <f t="shared" si="25"/>
        <v>2503718466</v>
      </c>
      <c r="AO208" s="13">
        <f t="shared" si="25"/>
        <v>2503718466</v>
      </c>
      <c r="AP208" s="13">
        <f t="shared" si="25"/>
        <v>143432234</v>
      </c>
      <c r="AQ208" s="13">
        <f t="shared" si="25"/>
        <v>380548366</v>
      </c>
      <c r="AR208" s="13">
        <f t="shared" si="25"/>
        <v>667273724</v>
      </c>
      <c r="AS208" s="13">
        <f t="shared" si="25"/>
        <v>886345579</v>
      </c>
      <c r="AT208" s="13">
        <f t="shared" si="25"/>
        <v>1147255775</v>
      </c>
      <c r="AU208" s="13">
        <f t="shared" si="25"/>
        <v>1364398810</v>
      </c>
      <c r="AV208" s="13">
        <f t="shared" si="25"/>
        <v>1581765302</v>
      </c>
      <c r="AW208" s="13">
        <f t="shared" si="25"/>
        <v>1810956654</v>
      </c>
      <c r="AX208" s="13">
        <f t="shared" si="25"/>
        <v>2012607115</v>
      </c>
      <c r="AY208" s="13">
        <f t="shared" si="25"/>
        <v>2239926629</v>
      </c>
      <c r="AZ208" s="13">
        <f t="shared" si="25"/>
        <v>2478165977</v>
      </c>
      <c r="BA208" s="13">
        <f t="shared" si="25"/>
        <v>2904924599</v>
      </c>
      <c r="BB208" s="13">
        <f t="shared" si="25"/>
        <v>2904924599</v>
      </c>
      <c r="BC208" s="13">
        <f t="shared" si="25"/>
        <v>213300383</v>
      </c>
      <c r="BD208" s="13">
        <f t="shared" si="25"/>
        <v>453983080</v>
      </c>
      <c r="BE208" s="13">
        <f t="shared" si="25"/>
        <v>689388375</v>
      </c>
      <c r="BF208" s="13">
        <f t="shared" si="25"/>
        <v>920829125</v>
      </c>
      <c r="BG208" s="13">
        <f t="shared" si="25"/>
        <v>1229744183</v>
      </c>
      <c r="BH208" s="13">
        <f t="shared" si="25"/>
        <v>1475648050</v>
      </c>
      <c r="BI208" s="13">
        <f t="shared" si="25"/>
        <v>1745241889</v>
      </c>
      <c r="BJ208" s="13">
        <f t="shared" si="25"/>
        <v>1957247889</v>
      </c>
      <c r="BK208" s="13">
        <f t="shared" si="25"/>
        <v>2185264240</v>
      </c>
      <c r="BL208" s="13">
        <f t="shared" si="25"/>
        <v>2629761403</v>
      </c>
      <c r="BM208" s="13">
        <f t="shared" si="25"/>
        <v>2837014266</v>
      </c>
      <c r="BN208" s="13">
        <f t="shared" si="25"/>
        <v>3231678980</v>
      </c>
      <c r="BO208" s="13">
        <f t="shared" ref="BO208:CT208" si="26">SUM(BO190:BO207)</f>
        <v>3231678980</v>
      </c>
      <c r="BP208" s="13">
        <f t="shared" si="26"/>
        <v>211076989</v>
      </c>
      <c r="BQ208" s="13">
        <f t="shared" si="26"/>
        <v>464025149</v>
      </c>
      <c r="BR208" s="13">
        <f t="shared" si="26"/>
        <v>725828517</v>
      </c>
      <c r="BS208" s="13">
        <f t="shared" si="26"/>
        <v>1056464664</v>
      </c>
      <c r="BT208" s="13">
        <f t="shared" si="26"/>
        <v>1399206532</v>
      </c>
      <c r="BU208" s="13">
        <f t="shared" si="26"/>
        <v>1669006843</v>
      </c>
      <c r="BV208" s="13">
        <f t="shared" si="26"/>
        <v>1984699429</v>
      </c>
      <c r="BW208" s="13">
        <f t="shared" si="26"/>
        <v>1984699429</v>
      </c>
      <c r="BX208" s="13">
        <f t="shared" si="26"/>
        <v>1984699429</v>
      </c>
      <c r="BY208" s="13">
        <f t="shared" si="26"/>
        <v>1984699429</v>
      </c>
      <c r="BZ208" s="13">
        <f t="shared" si="26"/>
        <v>1984699429</v>
      </c>
      <c r="CA208" s="13">
        <f t="shared" si="26"/>
        <v>1984699429</v>
      </c>
      <c r="CB208" s="13">
        <f t="shared" si="26"/>
        <v>1984699429</v>
      </c>
    </row>
  </sheetData>
  <mergeCells count="54">
    <mergeCell ref="C188:O188"/>
    <mergeCell ref="BC144:BO144"/>
    <mergeCell ref="BP188:CB188"/>
    <mergeCell ref="C6:O6"/>
    <mergeCell ref="BP144:CB144"/>
    <mergeCell ref="BC166:BO166"/>
    <mergeCell ref="BC6:BO6"/>
    <mergeCell ref="AC75:AO75"/>
    <mergeCell ref="P119:AB119"/>
    <mergeCell ref="AC28:AO28"/>
    <mergeCell ref="P50:AB50"/>
    <mergeCell ref="P188:AB188"/>
    <mergeCell ref="C97:O97"/>
    <mergeCell ref="BP75:CB75"/>
    <mergeCell ref="BP97:CB97"/>
    <mergeCell ref="BC119:BO119"/>
    <mergeCell ref="P6:AB6"/>
    <mergeCell ref="BC75:BO75"/>
    <mergeCell ref="BP6:CB6"/>
    <mergeCell ref="C28:O28"/>
    <mergeCell ref="BC28:BO28"/>
    <mergeCell ref="AP97:BB97"/>
    <mergeCell ref="AP28:BB28"/>
    <mergeCell ref="AP75:BB75"/>
    <mergeCell ref="BP50:CB50"/>
    <mergeCell ref="C50:O50"/>
    <mergeCell ref="BC50:BO50"/>
    <mergeCell ref="AP50:BB50"/>
    <mergeCell ref="C75:O75"/>
    <mergeCell ref="AC97:AO97"/>
    <mergeCell ref="BC188:BO188"/>
    <mergeCell ref="BC97:BO97"/>
    <mergeCell ref="AC6:AO6"/>
    <mergeCell ref="AP166:BB166"/>
    <mergeCell ref="AC188:AO188"/>
    <mergeCell ref="AC119:AO119"/>
    <mergeCell ref="AC144:AO144"/>
    <mergeCell ref="AP144:BB144"/>
    <mergeCell ref="AC166:AO166"/>
    <mergeCell ref="AP119:BB119"/>
    <mergeCell ref="AP188:BB188"/>
    <mergeCell ref="C119:O119"/>
    <mergeCell ref="C144:O144"/>
    <mergeCell ref="BP28:CB28"/>
    <mergeCell ref="BP119:CB119"/>
    <mergeCell ref="BP166:CB166"/>
    <mergeCell ref="P144:AB144"/>
    <mergeCell ref="C166:O166"/>
    <mergeCell ref="P166:AB166"/>
    <mergeCell ref="AP6:BB6"/>
    <mergeCell ref="AC50:AO50"/>
    <mergeCell ref="P75:AB75"/>
    <mergeCell ref="P97:AB97"/>
    <mergeCell ref="P28:A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MINVU_Mes_Corriente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Manuel Herrera Hernandez</cp:lastModifiedBy>
  <dcterms:created xsi:type="dcterms:W3CDTF">2026-09-09T17:46:37Z</dcterms:created>
  <dcterms:modified xsi:type="dcterms:W3CDTF">2026-09-09T17:46:39Z</dcterms:modified>
</cp:coreProperties>
</file>