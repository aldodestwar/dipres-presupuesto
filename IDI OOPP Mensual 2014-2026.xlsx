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Aldo Manuel Herrera\Downloads\Ejecucion presupuestaria imversion\"/>
    </mc:Choice>
  </mc:AlternateContent>
  <xr:revisionPtr revIDLastSave="0" documentId="8_{D6BAD8F5-546A-4DF6-B4D5-B257F1A17C63}" xr6:coauthVersionLast="47" xr6:coauthVersionMax="47" xr10:uidLastSave="{00000000-0000-0000-0000-000000000000}"/>
  <bookViews>
    <workbookView xWindow="-108" yWindow="-108" windowWidth="23256" windowHeight="12456" xr2:uid="{00000000-000D-0000-FFFF-FFFF00000000}"/>
  </bookViews>
  <sheets>
    <sheet name="Dashboard" sheetId="3" r:id="rId1"/>
    <sheet name="MOP_Mes_Corriente"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I35" i="3" l="1"/>
  <c r="H35" i="3"/>
  <c r="G35" i="3"/>
  <c r="I34" i="3"/>
  <c r="I36" i="3" s="1"/>
  <c r="H34" i="3"/>
  <c r="H36" i="3" s="1"/>
  <c r="I33" i="3"/>
  <c r="G27" i="3"/>
  <c r="F27" i="3"/>
  <c r="E27" i="3"/>
  <c r="F24" i="3"/>
  <c r="E24" i="3"/>
  <c r="D24" i="3"/>
  <c r="E22" i="3"/>
  <c r="D22" i="3"/>
  <c r="FN161" i="2"/>
  <c r="FM161" i="2"/>
  <c r="FL161" i="2"/>
  <c r="FK161" i="2"/>
  <c r="FJ161" i="2"/>
  <c r="FI161" i="2"/>
  <c r="FH161" i="2"/>
  <c r="FG161" i="2"/>
  <c r="FF161" i="2"/>
  <c r="FE161" i="2"/>
  <c r="FD161" i="2"/>
  <c r="FC161" i="2"/>
  <c r="FA161" i="2"/>
  <c r="EZ161" i="2"/>
  <c r="EY161" i="2"/>
  <c r="EX161" i="2"/>
  <c r="EW161" i="2"/>
  <c r="EV161" i="2"/>
  <c r="EU161" i="2"/>
  <c r="ET161" i="2"/>
  <c r="ES161" i="2"/>
  <c r="ER161" i="2"/>
  <c r="EQ161" i="2"/>
  <c r="EP161" i="2"/>
  <c r="EN161" i="2"/>
  <c r="EM161" i="2"/>
  <c r="EL161" i="2"/>
  <c r="EK161" i="2"/>
  <c r="EJ161" i="2"/>
  <c r="EI161" i="2"/>
  <c r="EH161" i="2"/>
  <c r="EG161" i="2"/>
  <c r="EF161" i="2"/>
  <c r="EE161" i="2"/>
  <c r="ED161" i="2"/>
  <c r="EC161" i="2"/>
  <c r="EA161" i="2"/>
  <c r="DZ161" i="2"/>
  <c r="DY161" i="2"/>
  <c r="DX161" i="2"/>
  <c r="DW161" i="2"/>
  <c r="DV161" i="2"/>
  <c r="DU161" i="2"/>
  <c r="DT161" i="2"/>
  <c r="DS161" i="2"/>
  <c r="DR161" i="2"/>
  <c r="DQ161" i="2"/>
  <c r="DP161" i="2"/>
  <c r="CN161" i="2"/>
  <c r="CM161" i="2"/>
  <c r="CL161" i="2"/>
  <c r="CK161" i="2"/>
  <c r="CJ161" i="2"/>
  <c r="CI161" i="2"/>
  <c r="CH161" i="2"/>
  <c r="CG161" i="2"/>
  <c r="CF161" i="2"/>
  <c r="CE161" i="2"/>
  <c r="CD161" i="2"/>
  <c r="CC161" i="2"/>
  <c r="CA161" i="2"/>
  <c r="BZ161" i="2"/>
  <c r="BY161" i="2"/>
  <c r="BX161" i="2"/>
  <c r="BW161" i="2"/>
  <c r="BV161" i="2"/>
  <c r="BU161" i="2"/>
  <c r="BT161" i="2"/>
  <c r="BS161" i="2"/>
  <c r="BR161" i="2"/>
  <c r="BQ161" i="2"/>
  <c r="BP161" i="2"/>
  <c r="BN161" i="2"/>
  <c r="BM161" i="2"/>
  <c r="BL161" i="2"/>
  <c r="BK161" i="2"/>
  <c r="BJ161" i="2"/>
  <c r="BI161" i="2"/>
  <c r="BH161" i="2"/>
  <c r="BG161" i="2"/>
  <c r="BF161" i="2"/>
  <c r="BE161" i="2"/>
  <c r="BD161" i="2"/>
  <c r="BC161" i="2"/>
  <c r="BA161" i="2"/>
  <c r="AZ161" i="2"/>
  <c r="AY161" i="2"/>
  <c r="AX161" i="2"/>
  <c r="AW161" i="2"/>
  <c r="AV161" i="2"/>
  <c r="AU161" i="2"/>
  <c r="AT161" i="2"/>
  <c r="AS161" i="2"/>
  <c r="AR161" i="2"/>
  <c r="AQ161" i="2"/>
  <c r="AP161" i="2"/>
  <c r="AN161" i="2"/>
  <c r="AM161" i="2"/>
  <c r="AL161" i="2"/>
  <c r="AK161" i="2"/>
  <c r="AJ161" i="2"/>
  <c r="AI161" i="2"/>
  <c r="AH161" i="2"/>
  <c r="AG161" i="2"/>
  <c r="AF161" i="2"/>
  <c r="AE161" i="2"/>
  <c r="AD161" i="2"/>
  <c r="AC161" i="2"/>
  <c r="AA161" i="2"/>
  <c r="Z161" i="2"/>
  <c r="Y161" i="2"/>
  <c r="X161" i="2"/>
  <c r="W161" i="2"/>
  <c r="V161" i="2"/>
  <c r="U161" i="2"/>
  <c r="T161" i="2"/>
  <c r="S161" i="2"/>
  <c r="R161" i="2"/>
  <c r="Q161" i="2"/>
  <c r="P161" i="2"/>
  <c r="N161" i="2"/>
  <c r="M161" i="2"/>
  <c r="L161" i="2"/>
  <c r="K161" i="2"/>
  <c r="J161" i="2"/>
  <c r="I161" i="2"/>
  <c r="H161" i="2"/>
  <c r="G161" i="2"/>
  <c r="F161" i="2"/>
  <c r="E161" i="2"/>
  <c r="D161" i="2"/>
  <c r="C161" i="2"/>
  <c r="B161" i="2"/>
  <c r="FN160" i="2"/>
  <c r="FM160" i="2"/>
  <c r="FL160" i="2"/>
  <c r="FK160" i="2"/>
  <c r="FJ160" i="2"/>
  <c r="FI160" i="2"/>
  <c r="FH160" i="2"/>
  <c r="FG160" i="2"/>
  <c r="FF160" i="2"/>
  <c r="FE160" i="2"/>
  <c r="FD160" i="2"/>
  <c r="FC160" i="2"/>
  <c r="FA160" i="2"/>
  <c r="EZ160" i="2"/>
  <c r="EY160" i="2"/>
  <c r="EX160" i="2"/>
  <c r="EW160" i="2"/>
  <c r="EV160" i="2"/>
  <c r="EU160" i="2"/>
  <c r="ET160" i="2"/>
  <c r="ES160" i="2"/>
  <c r="ER160" i="2"/>
  <c r="EQ160" i="2"/>
  <c r="EP160" i="2"/>
  <c r="EN160" i="2"/>
  <c r="EM160" i="2"/>
  <c r="EL160" i="2"/>
  <c r="EK160" i="2"/>
  <c r="EJ160" i="2"/>
  <c r="EI160" i="2"/>
  <c r="EH160" i="2"/>
  <c r="EG160" i="2"/>
  <c r="EF160" i="2"/>
  <c r="EE160" i="2"/>
  <c r="ED160" i="2"/>
  <c r="EC160" i="2"/>
  <c r="EA160" i="2"/>
  <c r="DZ160" i="2"/>
  <c r="DY160" i="2"/>
  <c r="DX160" i="2"/>
  <c r="DW160" i="2"/>
  <c r="DV160" i="2"/>
  <c r="DU160" i="2"/>
  <c r="DT160" i="2"/>
  <c r="DS160" i="2"/>
  <c r="DR160" i="2"/>
  <c r="DQ160" i="2"/>
  <c r="DP160" i="2"/>
  <c r="DA160" i="2"/>
  <c r="CT160" i="2"/>
  <c r="CN160" i="2"/>
  <c r="CM160" i="2"/>
  <c r="CL160" i="2"/>
  <c r="CK160" i="2"/>
  <c r="CJ160" i="2"/>
  <c r="CI160" i="2"/>
  <c r="CH160" i="2"/>
  <c r="CG160" i="2"/>
  <c r="CF160" i="2"/>
  <c r="CE160" i="2"/>
  <c r="CD160" i="2"/>
  <c r="CC160" i="2"/>
  <c r="CA160" i="2"/>
  <c r="BZ160" i="2"/>
  <c r="BY160" i="2"/>
  <c r="BX160" i="2"/>
  <c r="BW160" i="2"/>
  <c r="BV160" i="2"/>
  <c r="BU160" i="2"/>
  <c r="BT160" i="2"/>
  <c r="BS160" i="2"/>
  <c r="BR160" i="2"/>
  <c r="BQ160" i="2"/>
  <c r="BP160" i="2"/>
  <c r="BN160" i="2"/>
  <c r="BM160" i="2"/>
  <c r="BL160" i="2"/>
  <c r="BK160" i="2"/>
  <c r="BJ160" i="2"/>
  <c r="BI160" i="2"/>
  <c r="BH160" i="2"/>
  <c r="BG160" i="2"/>
  <c r="BF160" i="2"/>
  <c r="BE160" i="2"/>
  <c r="BD160" i="2"/>
  <c r="BC160" i="2"/>
  <c r="BA160" i="2"/>
  <c r="AZ160" i="2"/>
  <c r="AY160" i="2"/>
  <c r="AX160" i="2"/>
  <c r="AW160" i="2"/>
  <c r="AV160" i="2"/>
  <c r="AU160" i="2"/>
  <c r="AT160" i="2"/>
  <c r="AS160" i="2"/>
  <c r="AR160" i="2"/>
  <c r="AQ160" i="2"/>
  <c r="AP160" i="2"/>
  <c r="AN160" i="2"/>
  <c r="AM160" i="2"/>
  <c r="AL160" i="2"/>
  <c r="AK160" i="2"/>
  <c r="AJ160" i="2"/>
  <c r="AI160" i="2"/>
  <c r="AH160" i="2"/>
  <c r="AG160" i="2"/>
  <c r="AF160" i="2"/>
  <c r="AE160" i="2"/>
  <c r="AD160" i="2"/>
  <c r="AC160" i="2"/>
  <c r="AA160" i="2"/>
  <c r="Z160" i="2"/>
  <c r="Y160" i="2"/>
  <c r="X160" i="2"/>
  <c r="W160" i="2"/>
  <c r="V160" i="2"/>
  <c r="U160" i="2"/>
  <c r="T160" i="2"/>
  <c r="S160" i="2"/>
  <c r="R160" i="2"/>
  <c r="Q160" i="2"/>
  <c r="P160" i="2"/>
  <c r="N160" i="2"/>
  <c r="M160" i="2"/>
  <c r="L160" i="2"/>
  <c r="K160" i="2"/>
  <c r="J160" i="2"/>
  <c r="I160" i="2"/>
  <c r="H160" i="2"/>
  <c r="G160" i="2"/>
  <c r="F160" i="2"/>
  <c r="E160" i="2"/>
  <c r="D160" i="2"/>
  <c r="C160" i="2"/>
  <c r="B160" i="2"/>
  <c r="FN159" i="2"/>
  <c r="FM159" i="2"/>
  <c r="FL159" i="2"/>
  <c r="FK159" i="2"/>
  <c r="FJ159" i="2"/>
  <c r="FI159" i="2"/>
  <c r="FH159" i="2"/>
  <c r="FG159" i="2"/>
  <c r="FF159" i="2"/>
  <c r="FE159" i="2"/>
  <c r="FD159" i="2"/>
  <c r="FC159" i="2"/>
  <c r="FA159" i="2"/>
  <c r="EZ159" i="2"/>
  <c r="EY159" i="2"/>
  <c r="EX159" i="2"/>
  <c r="EW159" i="2"/>
  <c r="EV159" i="2"/>
  <c r="EU159" i="2"/>
  <c r="ET159" i="2"/>
  <c r="ES159" i="2"/>
  <c r="ER159" i="2"/>
  <c r="EQ159" i="2"/>
  <c r="EP159" i="2"/>
  <c r="EN159" i="2"/>
  <c r="EM159" i="2"/>
  <c r="EL159" i="2"/>
  <c r="EK159" i="2"/>
  <c r="EJ159" i="2"/>
  <c r="EI159" i="2"/>
  <c r="EH159" i="2"/>
  <c r="EG159" i="2"/>
  <c r="EF159" i="2"/>
  <c r="EE159" i="2"/>
  <c r="ED159" i="2"/>
  <c r="EC159" i="2"/>
  <c r="EA159" i="2"/>
  <c r="DZ159" i="2"/>
  <c r="DY159" i="2"/>
  <c r="DX159" i="2"/>
  <c r="DW159" i="2"/>
  <c r="DV159" i="2"/>
  <c r="DU159" i="2"/>
  <c r="DT159" i="2"/>
  <c r="DS159" i="2"/>
  <c r="DR159" i="2"/>
  <c r="DQ159" i="2"/>
  <c r="DP159" i="2"/>
  <c r="CN159" i="2"/>
  <c r="CM159" i="2"/>
  <c r="CL159" i="2"/>
  <c r="CK159" i="2"/>
  <c r="CJ159" i="2"/>
  <c r="CI159" i="2"/>
  <c r="CH159" i="2"/>
  <c r="CG159" i="2"/>
  <c r="CF159" i="2"/>
  <c r="CE159" i="2"/>
  <c r="CD159" i="2"/>
  <c r="CC159" i="2"/>
  <c r="CA159" i="2"/>
  <c r="BZ159" i="2"/>
  <c r="BY159" i="2"/>
  <c r="BX159" i="2"/>
  <c r="BW159" i="2"/>
  <c r="BV159" i="2"/>
  <c r="BU159" i="2"/>
  <c r="BT159" i="2"/>
  <c r="BS159" i="2"/>
  <c r="BR159" i="2"/>
  <c r="BQ159" i="2"/>
  <c r="BP159" i="2"/>
  <c r="BN159" i="2"/>
  <c r="BM159" i="2"/>
  <c r="BL159" i="2"/>
  <c r="BK159" i="2"/>
  <c r="BJ159" i="2"/>
  <c r="BI159" i="2"/>
  <c r="BH159" i="2"/>
  <c r="BG159" i="2"/>
  <c r="BF159" i="2"/>
  <c r="BE159" i="2"/>
  <c r="BD159" i="2"/>
  <c r="BC159" i="2"/>
  <c r="BA159" i="2"/>
  <c r="AZ159" i="2"/>
  <c r="AY159" i="2"/>
  <c r="AX159" i="2"/>
  <c r="AW159" i="2"/>
  <c r="AV159" i="2"/>
  <c r="AU159" i="2"/>
  <c r="AT159" i="2"/>
  <c r="AS159" i="2"/>
  <c r="AR159" i="2"/>
  <c r="AQ159" i="2"/>
  <c r="AP159" i="2"/>
  <c r="AN159" i="2"/>
  <c r="AM159" i="2"/>
  <c r="AL159" i="2"/>
  <c r="AK159" i="2"/>
  <c r="AJ159" i="2"/>
  <c r="AI159" i="2"/>
  <c r="AH159" i="2"/>
  <c r="AG159" i="2"/>
  <c r="AF159" i="2"/>
  <c r="AE159" i="2"/>
  <c r="AD159" i="2"/>
  <c r="AC159" i="2"/>
  <c r="AA159" i="2"/>
  <c r="Z159" i="2"/>
  <c r="Y159" i="2"/>
  <c r="X159" i="2"/>
  <c r="W159" i="2"/>
  <c r="V159" i="2"/>
  <c r="U159" i="2"/>
  <c r="T159" i="2"/>
  <c r="S159" i="2"/>
  <c r="R159" i="2"/>
  <c r="Q159" i="2"/>
  <c r="P159" i="2"/>
  <c r="N159" i="2"/>
  <c r="M159" i="2"/>
  <c r="L159" i="2"/>
  <c r="K159" i="2"/>
  <c r="J159" i="2"/>
  <c r="I159" i="2"/>
  <c r="H159" i="2"/>
  <c r="G159" i="2"/>
  <c r="F159" i="2"/>
  <c r="E159" i="2"/>
  <c r="D159" i="2"/>
  <c r="C159" i="2"/>
  <c r="B159" i="2"/>
  <c r="FN158" i="2"/>
  <c r="FM158" i="2"/>
  <c r="FL158" i="2"/>
  <c r="FK158" i="2"/>
  <c r="FJ158" i="2"/>
  <c r="FI158" i="2"/>
  <c r="FH158" i="2"/>
  <c r="FG158" i="2"/>
  <c r="FF158" i="2"/>
  <c r="FE158" i="2"/>
  <c r="FD158" i="2"/>
  <c r="FC158" i="2"/>
  <c r="FA158" i="2"/>
  <c r="EZ158" i="2"/>
  <c r="EY158" i="2"/>
  <c r="EX158" i="2"/>
  <c r="EW158" i="2"/>
  <c r="EV158" i="2"/>
  <c r="EU158" i="2"/>
  <c r="ET158" i="2"/>
  <c r="ES158" i="2"/>
  <c r="ER158" i="2"/>
  <c r="EQ158" i="2"/>
  <c r="EP158" i="2"/>
  <c r="EN158" i="2"/>
  <c r="EM158" i="2"/>
  <c r="EL158" i="2"/>
  <c r="EK158" i="2"/>
  <c r="EJ158" i="2"/>
  <c r="EI158" i="2"/>
  <c r="EH158" i="2"/>
  <c r="EG158" i="2"/>
  <c r="EF158" i="2"/>
  <c r="EE158" i="2"/>
  <c r="ED158" i="2"/>
  <c r="EC158" i="2"/>
  <c r="EA158" i="2"/>
  <c r="DZ158" i="2"/>
  <c r="DY158" i="2"/>
  <c r="DX158" i="2"/>
  <c r="DW158" i="2"/>
  <c r="DV158" i="2"/>
  <c r="DU158" i="2"/>
  <c r="DT158" i="2"/>
  <c r="DS158" i="2"/>
  <c r="DR158" i="2"/>
  <c r="DQ158" i="2"/>
  <c r="DP158" i="2"/>
  <c r="CN158" i="2"/>
  <c r="CM158" i="2"/>
  <c r="CL158" i="2"/>
  <c r="CK158" i="2"/>
  <c r="CJ158" i="2"/>
  <c r="CI158" i="2"/>
  <c r="CH158" i="2"/>
  <c r="CG158" i="2"/>
  <c r="CF158" i="2"/>
  <c r="CE158" i="2"/>
  <c r="CD158" i="2"/>
  <c r="CC158" i="2"/>
  <c r="CA158" i="2"/>
  <c r="BZ158" i="2"/>
  <c r="BY158" i="2"/>
  <c r="BX158" i="2"/>
  <c r="BW158" i="2"/>
  <c r="BV158" i="2"/>
  <c r="BU158" i="2"/>
  <c r="BT158" i="2"/>
  <c r="BS158" i="2"/>
  <c r="BR158" i="2"/>
  <c r="BQ158" i="2"/>
  <c r="BP158" i="2"/>
  <c r="BN158" i="2"/>
  <c r="BM158" i="2"/>
  <c r="BL158" i="2"/>
  <c r="BK158" i="2"/>
  <c r="BJ158" i="2"/>
  <c r="BI158" i="2"/>
  <c r="BH158" i="2"/>
  <c r="BG158" i="2"/>
  <c r="BF158" i="2"/>
  <c r="BE158" i="2"/>
  <c r="BD158" i="2"/>
  <c r="BC158" i="2"/>
  <c r="BA158" i="2"/>
  <c r="AZ158" i="2"/>
  <c r="AY158" i="2"/>
  <c r="AX158" i="2"/>
  <c r="AW158" i="2"/>
  <c r="AV158" i="2"/>
  <c r="AU158" i="2"/>
  <c r="AT158" i="2"/>
  <c r="AS158" i="2"/>
  <c r="AR158" i="2"/>
  <c r="AQ158" i="2"/>
  <c r="AP158" i="2"/>
  <c r="AN158" i="2"/>
  <c r="AM158" i="2"/>
  <c r="AL158" i="2"/>
  <c r="AK158" i="2"/>
  <c r="AJ158" i="2"/>
  <c r="AI158" i="2"/>
  <c r="AH158" i="2"/>
  <c r="AG158" i="2"/>
  <c r="AF158" i="2"/>
  <c r="AE158" i="2"/>
  <c r="AD158" i="2"/>
  <c r="AC158" i="2"/>
  <c r="AA158" i="2"/>
  <c r="Z158" i="2"/>
  <c r="Y158" i="2"/>
  <c r="X158" i="2"/>
  <c r="W158" i="2"/>
  <c r="V158" i="2"/>
  <c r="U158" i="2"/>
  <c r="T158" i="2"/>
  <c r="S158" i="2"/>
  <c r="R158" i="2"/>
  <c r="Q158" i="2"/>
  <c r="P158" i="2"/>
  <c r="N158" i="2"/>
  <c r="M158" i="2"/>
  <c r="L158" i="2"/>
  <c r="K158" i="2"/>
  <c r="J158" i="2"/>
  <c r="I158" i="2"/>
  <c r="H158" i="2"/>
  <c r="G158" i="2"/>
  <c r="F158" i="2"/>
  <c r="E158" i="2"/>
  <c r="D158" i="2"/>
  <c r="C158" i="2"/>
  <c r="B158" i="2"/>
  <c r="FN157" i="2"/>
  <c r="FM157" i="2"/>
  <c r="FL157" i="2"/>
  <c r="FK157" i="2"/>
  <c r="FJ157" i="2"/>
  <c r="FI157" i="2"/>
  <c r="FH157" i="2"/>
  <c r="FG157" i="2"/>
  <c r="FF157" i="2"/>
  <c r="FE157" i="2"/>
  <c r="FD157" i="2"/>
  <c r="FC157" i="2"/>
  <c r="FA157" i="2"/>
  <c r="EZ157" i="2"/>
  <c r="EY157" i="2"/>
  <c r="EX157" i="2"/>
  <c r="EW157" i="2"/>
  <c r="EV157" i="2"/>
  <c r="EU157" i="2"/>
  <c r="ET157" i="2"/>
  <c r="ES157" i="2"/>
  <c r="ER157" i="2"/>
  <c r="EQ157" i="2"/>
  <c r="EP157" i="2"/>
  <c r="EN157" i="2"/>
  <c r="EM157" i="2"/>
  <c r="EL157" i="2"/>
  <c r="EK157" i="2"/>
  <c r="EJ157" i="2"/>
  <c r="EI157" i="2"/>
  <c r="EH157" i="2"/>
  <c r="EG157" i="2"/>
  <c r="EF157" i="2"/>
  <c r="EE157" i="2"/>
  <c r="ED157" i="2"/>
  <c r="EC157" i="2"/>
  <c r="EA157" i="2"/>
  <c r="DZ157" i="2"/>
  <c r="DY157" i="2"/>
  <c r="DX157" i="2"/>
  <c r="DW157" i="2"/>
  <c r="DV157" i="2"/>
  <c r="DU157" i="2"/>
  <c r="DT157" i="2"/>
  <c r="DS157" i="2"/>
  <c r="DR157" i="2"/>
  <c r="DQ157" i="2"/>
  <c r="DP157" i="2"/>
  <c r="DL157" i="2"/>
  <c r="CZ157" i="2"/>
  <c r="CN157" i="2"/>
  <c r="CM157" i="2"/>
  <c r="CL157" i="2"/>
  <c r="CK157" i="2"/>
  <c r="CJ157" i="2"/>
  <c r="CI157" i="2"/>
  <c r="CH157" i="2"/>
  <c r="CG157" i="2"/>
  <c r="CF157" i="2"/>
  <c r="CE157" i="2"/>
  <c r="CD157" i="2"/>
  <c r="CC157" i="2"/>
  <c r="CA157" i="2"/>
  <c r="BZ157" i="2"/>
  <c r="BY157" i="2"/>
  <c r="BX157" i="2"/>
  <c r="BW157" i="2"/>
  <c r="BV157" i="2"/>
  <c r="BU157" i="2"/>
  <c r="BT157" i="2"/>
  <c r="BS157" i="2"/>
  <c r="BR157" i="2"/>
  <c r="BQ157" i="2"/>
  <c r="BP157" i="2"/>
  <c r="BN157" i="2"/>
  <c r="BM157" i="2"/>
  <c r="BL157" i="2"/>
  <c r="BK157" i="2"/>
  <c r="BJ157" i="2"/>
  <c r="BI157" i="2"/>
  <c r="BH157" i="2"/>
  <c r="BG157" i="2"/>
  <c r="BF157" i="2"/>
  <c r="BE157" i="2"/>
  <c r="BD157" i="2"/>
  <c r="BC157" i="2"/>
  <c r="BA157" i="2"/>
  <c r="AZ157" i="2"/>
  <c r="AY157" i="2"/>
  <c r="AX157" i="2"/>
  <c r="AW157" i="2"/>
  <c r="AV157" i="2"/>
  <c r="AU157" i="2"/>
  <c r="AT157" i="2"/>
  <c r="AS157" i="2"/>
  <c r="AR157" i="2"/>
  <c r="AQ157" i="2"/>
  <c r="AP157" i="2"/>
  <c r="AN157" i="2"/>
  <c r="AM157" i="2"/>
  <c r="AL157" i="2"/>
  <c r="AK157" i="2"/>
  <c r="AJ157" i="2"/>
  <c r="AI157" i="2"/>
  <c r="AH157" i="2"/>
  <c r="AG157" i="2"/>
  <c r="AF157" i="2"/>
  <c r="AE157" i="2"/>
  <c r="AD157" i="2"/>
  <c r="AC157" i="2"/>
  <c r="AA157" i="2"/>
  <c r="Z157" i="2"/>
  <c r="Y157" i="2"/>
  <c r="X157" i="2"/>
  <c r="W157" i="2"/>
  <c r="V157" i="2"/>
  <c r="U157" i="2"/>
  <c r="T157" i="2"/>
  <c r="S157" i="2"/>
  <c r="R157" i="2"/>
  <c r="Q157" i="2"/>
  <c r="P157" i="2"/>
  <c r="N157" i="2"/>
  <c r="M157" i="2"/>
  <c r="L157" i="2"/>
  <c r="K157" i="2"/>
  <c r="J157" i="2"/>
  <c r="I157" i="2"/>
  <c r="H157" i="2"/>
  <c r="G157" i="2"/>
  <c r="F157" i="2"/>
  <c r="E157" i="2"/>
  <c r="D157" i="2"/>
  <c r="C157" i="2"/>
  <c r="B157" i="2"/>
  <c r="FN156" i="2"/>
  <c r="FM156" i="2"/>
  <c r="FL156" i="2"/>
  <c r="FK156" i="2"/>
  <c r="FJ156" i="2"/>
  <c r="FI156" i="2"/>
  <c r="FH156" i="2"/>
  <c r="FG156" i="2"/>
  <c r="FF156" i="2"/>
  <c r="FE156" i="2"/>
  <c r="FD156" i="2"/>
  <c r="FC156" i="2"/>
  <c r="FA156" i="2"/>
  <c r="EZ156" i="2"/>
  <c r="EY156" i="2"/>
  <c r="EX156" i="2"/>
  <c r="EW156" i="2"/>
  <c r="EV156" i="2"/>
  <c r="EU156" i="2"/>
  <c r="ET156" i="2"/>
  <c r="ES156" i="2"/>
  <c r="ER156" i="2"/>
  <c r="EQ156" i="2"/>
  <c r="EP156" i="2"/>
  <c r="EN156" i="2"/>
  <c r="EM156" i="2"/>
  <c r="EL156" i="2"/>
  <c r="EK156" i="2"/>
  <c r="EJ156" i="2"/>
  <c r="EI156" i="2"/>
  <c r="EH156" i="2"/>
  <c r="EG156" i="2"/>
  <c r="EF156" i="2"/>
  <c r="EE156" i="2"/>
  <c r="ED156" i="2"/>
  <c r="EC156" i="2"/>
  <c r="EA156" i="2"/>
  <c r="DZ156" i="2"/>
  <c r="DY156" i="2"/>
  <c r="DX156" i="2"/>
  <c r="DW156" i="2"/>
  <c r="DV156" i="2"/>
  <c r="DU156" i="2"/>
  <c r="DT156" i="2"/>
  <c r="DS156" i="2"/>
  <c r="DR156" i="2"/>
  <c r="DQ156" i="2"/>
  <c r="DP156" i="2"/>
  <c r="CP156" i="2"/>
  <c r="CN156" i="2"/>
  <c r="CM156" i="2"/>
  <c r="CL156" i="2"/>
  <c r="CK156" i="2"/>
  <c r="CJ156" i="2"/>
  <c r="CI156" i="2"/>
  <c r="CH156" i="2"/>
  <c r="CG156" i="2"/>
  <c r="CF156" i="2"/>
  <c r="CE156" i="2"/>
  <c r="CD156" i="2"/>
  <c r="CC156" i="2"/>
  <c r="CA156" i="2"/>
  <c r="BZ156" i="2"/>
  <c r="BY156" i="2"/>
  <c r="BX156" i="2"/>
  <c r="BW156" i="2"/>
  <c r="BV156" i="2"/>
  <c r="BU156" i="2"/>
  <c r="BT156" i="2"/>
  <c r="BS156" i="2"/>
  <c r="BR156" i="2"/>
  <c r="BQ156" i="2"/>
  <c r="BP156" i="2"/>
  <c r="BN156" i="2"/>
  <c r="BM156" i="2"/>
  <c r="BL156" i="2"/>
  <c r="BK156" i="2"/>
  <c r="BJ156" i="2"/>
  <c r="BI156" i="2"/>
  <c r="BH156" i="2"/>
  <c r="BG156" i="2"/>
  <c r="BF156" i="2"/>
  <c r="BE156" i="2"/>
  <c r="BD156" i="2"/>
  <c r="BC156" i="2"/>
  <c r="BA156" i="2"/>
  <c r="AZ156" i="2"/>
  <c r="AY156" i="2"/>
  <c r="AX156" i="2"/>
  <c r="AW156" i="2"/>
  <c r="AV156" i="2"/>
  <c r="AU156" i="2"/>
  <c r="AT156" i="2"/>
  <c r="AS156" i="2"/>
  <c r="AR156" i="2"/>
  <c r="AQ156" i="2"/>
  <c r="AP156" i="2"/>
  <c r="AN156" i="2"/>
  <c r="AM156" i="2"/>
  <c r="AL156" i="2"/>
  <c r="AK156" i="2"/>
  <c r="AJ156" i="2"/>
  <c r="AI156" i="2"/>
  <c r="AH156" i="2"/>
  <c r="AG156" i="2"/>
  <c r="AF156" i="2"/>
  <c r="AE156" i="2"/>
  <c r="AD156" i="2"/>
  <c r="AC156" i="2"/>
  <c r="AA156" i="2"/>
  <c r="Z156" i="2"/>
  <c r="Y156" i="2"/>
  <c r="X156" i="2"/>
  <c r="W156" i="2"/>
  <c r="V156" i="2"/>
  <c r="U156" i="2"/>
  <c r="T156" i="2"/>
  <c r="S156" i="2"/>
  <c r="R156" i="2"/>
  <c r="Q156" i="2"/>
  <c r="P156" i="2"/>
  <c r="N156" i="2"/>
  <c r="M156" i="2"/>
  <c r="L156" i="2"/>
  <c r="K156" i="2"/>
  <c r="J156" i="2"/>
  <c r="I156" i="2"/>
  <c r="H156" i="2"/>
  <c r="G156" i="2"/>
  <c r="F156" i="2"/>
  <c r="E156" i="2"/>
  <c r="D156" i="2"/>
  <c r="C156" i="2"/>
  <c r="B156" i="2"/>
  <c r="FN116" i="2"/>
  <c r="FM116" i="2"/>
  <c r="FL116" i="2"/>
  <c r="FK116" i="2"/>
  <c r="FJ116" i="2"/>
  <c r="FI116" i="2"/>
  <c r="FH116" i="2"/>
  <c r="FG116" i="2"/>
  <c r="FF116" i="2"/>
  <c r="FE116" i="2"/>
  <c r="FD116" i="2"/>
  <c r="FC116" i="2"/>
  <c r="FA116" i="2"/>
  <c r="EZ116" i="2"/>
  <c r="EY116" i="2"/>
  <c r="EX116" i="2"/>
  <c r="EW116" i="2"/>
  <c r="EV116" i="2"/>
  <c r="EU116" i="2"/>
  <c r="ET116" i="2"/>
  <c r="ES116" i="2"/>
  <c r="ER116" i="2"/>
  <c r="EQ116" i="2"/>
  <c r="EP116" i="2"/>
  <c r="EN116" i="2"/>
  <c r="EM116" i="2"/>
  <c r="EL116" i="2"/>
  <c r="EK116" i="2"/>
  <c r="EJ116" i="2"/>
  <c r="EI116" i="2"/>
  <c r="EH116" i="2"/>
  <c r="EG116" i="2"/>
  <c r="EF116" i="2"/>
  <c r="EE116" i="2"/>
  <c r="ED116" i="2"/>
  <c r="EC116" i="2"/>
  <c r="EA116" i="2"/>
  <c r="DZ116" i="2"/>
  <c r="DY116" i="2"/>
  <c r="DX116" i="2"/>
  <c r="DW116" i="2"/>
  <c r="DV116" i="2"/>
  <c r="DU116" i="2"/>
  <c r="DT116" i="2"/>
  <c r="DS116" i="2"/>
  <c r="DR116" i="2"/>
  <c r="DQ116" i="2"/>
  <c r="DP116" i="2"/>
  <c r="DN116" i="2"/>
  <c r="DM116" i="2"/>
  <c r="DL116" i="2"/>
  <c r="DK116" i="2"/>
  <c r="DJ116" i="2"/>
  <c r="DI116" i="2"/>
  <c r="DH116" i="2"/>
  <c r="DG116" i="2"/>
  <c r="DF116" i="2"/>
  <c r="DE116" i="2"/>
  <c r="DD116" i="2"/>
  <c r="DC116" i="2"/>
  <c r="DA116" i="2"/>
  <c r="CZ116" i="2"/>
  <c r="CY116" i="2"/>
  <c r="CX116" i="2"/>
  <c r="CW116" i="2"/>
  <c r="CV116" i="2"/>
  <c r="CU116" i="2"/>
  <c r="CT116" i="2"/>
  <c r="CS116" i="2"/>
  <c r="CR116" i="2"/>
  <c r="CQ116" i="2"/>
  <c r="CP116" i="2"/>
  <c r="CN116" i="2"/>
  <c r="CM116" i="2"/>
  <c r="CL116" i="2"/>
  <c r="CK116" i="2"/>
  <c r="CJ116" i="2"/>
  <c r="CI116" i="2"/>
  <c r="CH116" i="2"/>
  <c r="CG116" i="2"/>
  <c r="CF116" i="2"/>
  <c r="CE116" i="2"/>
  <c r="CD116" i="2"/>
  <c r="CC116" i="2"/>
  <c r="CA116" i="2"/>
  <c r="BZ116" i="2"/>
  <c r="BY116" i="2"/>
  <c r="BX116" i="2"/>
  <c r="BW116" i="2"/>
  <c r="BV116" i="2"/>
  <c r="BU116" i="2"/>
  <c r="BT116" i="2"/>
  <c r="BS116" i="2"/>
  <c r="BR116" i="2"/>
  <c r="BQ116" i="2"/>
  <c r="BP116" i="2"/>
  <c r="BN116" i="2"/>
  <c r="BM116" i="2"/>
  <c r="BL116" i="2"/>
  <c r="BK116" i="2"/>
  <c r="BJ116" i="2"/>
  <c r="BI116" i="2"/>
  <c r="BH116" i="2"/>
  <c r="BG116" i="2"/>
  <c r="BF116" i="2"/>
  <c r="BE116" i="2"/>
  <c r="BD116" i="2"/>
  <c r="BC116" i="2"/>
  <c r="BA116" i="2"/>
  <c r="AZ116" i="2"/>
  <c r="AY116" i="2"/>
  <c r="AX116" i="2"/>
  <c r="AW116" i="2"/>
  <c r="AV116" i="2"/>
  <c r="AU116" i="2"/>
  <c r="AT116" i="2"/>
  <c r="AS116" i="2"/>
  <c r="AR116" i="2"/>
  <c r="AQ116" i="2"/>
  <c r="AP116" i="2"/>
  <c r="AN116" i="2"/>
  <c r="AM116" i="2"/>
  <c r="AL116" i="2"/>
  <c r="AK116" i="2"/>
  <c r="AJ116" i="2"/>
  <c r="AI116" i="2"/>
  <c r="AH116" i="2"/>
  <c r="AG116" i="2"/>
  <c r="AF116" i="2"/>
  <c r="AE116" i="2"/>
  <c r="AD116" i="2"/>
  <c r="AC116" i="2"/>
  <c r="AA116" i="2"/>
  <c r="Z116" i="2"/>
  <c r="Y116" i="2"/>
  <c r="X116" i="2"/>
  <c r="W116" i="2"/>
  <c r="V116" i="2"/>
  <c r="U116" i="2"/>
  <c r="T116" i="2"/>
  <c r="S116" i="2"/>
  <c r="R116" i="2"/>
  <c r="Q116" i="2"/>
  <c r="P116" i="2"/>
  <c r="N116" i="2"/>
  <c r="M116" i="2"/>
  <c r="L116" i="2"/>
  <c r="K116" i="2"/>
  <c r="J116" i="2"/>
  <c r="I116" i="2"/>
  <c r="H116" i="2"/>
  <c r="G116" i="2"/>
  <c r="F116" i="2"/>
  <c r="E116" i="2"/>
  <c r="D116" i="2"/>
  <c r="C116" i="2"/>
  <c r="FO115" i="2"/>
  <c r="FB115" i="2"/>
  <c r="EO115" i="2"/>
  <c r="H27" i="3" s="1"/>
  <c r="EB115" i="2"/>
  <c r="DO115" i="2"/>
  <c r="DB115" i="2"/>
  <c r="CO115" i="2"/>
  <c r="CB115" i="2"/>
  <c r="BO115" i="2"/>
  <c r="BB115" i="2"/>
  <c r="AO115" i="2"/>
  <c r="AB115" i="2"/>
  <c r="O115" i="2"/>
  <c r="FO114" i="2"/>
  <c r="FB114" i="2"/>
  <c r="EO114" i="2"/>
  <c r="H26" i="3" s="1"/>
  <c r="EB114" i="2"/>
  <c r="DO114" i="2"/>
  <c r="DB114" i="2"/>
  <c r="CO114" i="2"/>
  <c r="CB114" i="2"/>
  <c r="BO114" i="2"/>
  <c r="BB114" i="2"/>
  <c r="AO114" i="2"/>
  <c r="AB114" i="2"/>
  <c r="O114" i="2"/>
  <c r="FO113" i="2"/>
  <c r="FB113" i="2"/>
  <c r="EO113" i="2"/>
  <c r="H25" i="3" s="1"/>
  <c r="EB113" i="2"/>
  <c r="DO113" i="2"/>
  <c r="DB113" i="2"/>
  <c r="CO113" i="2"/>
  <c r="CB113" i="2"/>
  <c r="BO113" i="2"/>
  <c r="BB113" i="2"/>
  <c r="AO113" i="2"/>
  <c r="AB113" i="2"/>
  <c r="O113" i="2"/>
  <c r="FO112" i="2"/>
  <c r="FO116" i="2" s="1"/>
  <c r="FB112" i="2"/>
  <c r="EO112" i="2"/>
  <c r="H24" i="3" s="1"/>
  <c r="J24" i="3" s="1"/>
  <c r="EB112" i="2"/>
  <c r="DO112" i="2"/>
  <c r="DB112" i="2"/>
  <c r="CO112" i="2"/>
  <c r="CB112" i="2"/>
  <c r="BO112" i="2"/>
  <c r="BO116" i="2" s="1"/>
  <c r="BB112" i="2"/>
  <c r="AO112" i="2"/>
  <c r="AB112" i="2"/>
  <c r="O112" i="2"/>
  <c r="O116" i="2" s="1"/>
  <c r="FO111" i="2"/>
  <c r="FB111" i="2"/>
  <c r="EO111" i="2"/>
  <c r="H23" i="3" s="1"/>
  <c r="EB111" i="2"/>
  <c r="DO111" i="2"/>
  <c r="DB111" i="2"/>
  <c r="CO111" i="2"/>
  <c r="CB111" i="2"/>
  <c r="BO111" i="2"/>
  <c r="BB111" i="2"/>
  <c r="AO111" i="2"/>
  <c r="AB111" i="2"/>
  <c r="O111" i="2"/>
  <c r="FO110" i="2"/>
  <c r="FB110" i="2"/>
  <c r="EO110" i="2"/>
  <c r="EO116" i="2" s="1"/>
  <c r="F16" i="3" s="1"/>
  <c r="EB110" i="2"/>
  <c r="EB116" i="2" s="1"/>
  <c r="DO110" i="2"/>
  <c r="DB110" i="2"/>
  <c r="CO110" i="2"/>
  <c r="CB110" i="2"/>
  <c r="BO110" i="2"/>
  <c r="BB110" i="2"/>
  <c r="AO110" i="2"/>
  <c r="AB110" i="2"/>
  <c r="O110" i="2"/>
  <c r="FN104" i="2"/>
  <c r="FM104" i="2"/>
  <c r="FL104" i="2"/>
  <c r="FK104" i="2"/>
  <c r="FJ104" i="2"/>
  <c r="FI104" i="2"/>
  <c r="FH104" i="2"/>
  <c r="FG104" i="2"/>
  <c r="FF104" i="2"/>
  <c r="FE104" i="2"/>
  <c r="FD104" i="2"/>
  <c r="FC104" i="2"/>
  <c r="FA104" i="2"/>
  <c r="EZ104" i="2"/>
  <c r="EY104" i="2"/>
  <c r="EX104" i="2"/>
  <c r="EW104" i="2"/>
  <c r="EV104" i="2"/>
  <c r="EU104" i="2"/>
  <c r="ET104" i="2"/>
  <c r="ES104" i="2"/>
  <c r="ER104" i="2"/>
  <c r="EQ104" i="2"/>
  <c r="EP104" i="2"/>
  <c r="EN104" i="2"/>
  <c r="EM104" i="2"/>
  <c r="EL104" i="2"/>
  <c r="EK104" i="2"/>
  <c r="EJ104" i="2"/>
  <c r="EI104" i="2"/>
  <c r="EH104" i="2"/>
  <c r="EG104" i="2"/>
  <c r="EF104" i="2"/>
  <c r="EE104" i="2"/>
  <c r="ED104" i="2"/>
  <c r="EC104" i="2"/>
  <c r="EA104" i="2"/>
  <c r="DZ104" i="2"/>
  <c r="DY104" i="2"/>
  <c r="DX104" i="2"/>
  <c r="DW104" i="2"/>
  <c r="DV104" i="2"/>
  <c r="DU104" i="2"/>
  <c r="DT104" i="2"/>
  <c r="DS104" i="2"/>
  <c r="DR104" i="2"/>
  <c r="DQ104" i="2"/>
  <c r="DP104" i="2"/>
  <c r="DN104" i="2"/>
  <c r="DM104" i="2"/>
  <c r="DL104" i="2"/>
  <c r="DK104" i="2"/>
  <c r="DJ104" i="2"/>
  <c r="DI104" i="2"/>
  <c r="DH104" i="2"/>
  <c r="DG104" i="2"/>
  <c r="DF104" i="2"/>
  <c r="DE104" i="2"/>
  <c r="DD104" i="2"/>
  <c r="DC104" i="2"/>
  <c r="DA104" i="2"/>
  <c r="CZ104" i="2"/>
  <c r="CY104" i="2"/>
  <c r="CX104" i="2"/>
  <c r="CW104" i="2"/>
  <c r="CV104" i="2"/>
  <c r="CU104" i="2"/>
  <c r="CT104" i="2"/>
  <c r="CS104" i="2"/>
  <c r="CR104" i="2"/>
  <c r="CQ104" i="2"/>
  <c r="CP104" i="2"/>
  <c r="CN104" i="2"/>
  <c r="CM104" i="2"/>
  <c r="CL104" i="2"/>
  <c r="CK104" i="2"/>
  <c r="CJ104" i="2"/>
  <c r="CI104" i="2"/>
  <c r="CH104" i="2"/>
  <c r="CG104" i="2"/>
  <c r="CF104" i="2"/>
  <c r="CE104" i="2"/>
  <c r="CD104" i="2"/>
  <c r="CC104" i="2"/>
  <c r="CA104" i="2"/>
  <c r="BZ104" i="2"/>
  <c r="BY104" i="2"/>
  <c r="BX104" i="2"/>
  <c r="BW104" i="2"/>
  <c r="BV104" i="2"/>
  <c r="BU104" i="2"/>
  <c r="BT104" i="2"/>
  <c r="BS104" i="2"/>
  <c r="BR104" i="2"/>
  <c r="BQ104" i="2"/>
  <c r="BP104" i="2"/>
  <c r="BN104" i="2"/>
  <c r="BM104" i="2"/>
  <c r="BL104" i="2"/>
  <c r="BK104" i="2"/>
  <c r="BJ104" i="2"/>
  <c r="BI104" i="2"/>
  <c r="BH104" i="2"/>
  <c r="BG104" i="2"/>
  <c r="BF104" i="2"/>
  <c r="BE104" i="2"/>
  <c r="BD104" i="2"/>
  <c r="BC104" i="2"/>
  <c r="BA104" i="2"/>
  <c r="AZ104" i="2"/>
  <c r="AY104" i="2"/>
  <c r="AX104" i="2"/>
  <c r="AW104" i="2"/>
  <c r="AV104" i="2"/>
  <c r="AU104" i="2"/>
  <c r="AT104" i="2"/>
  <c r="AS104" i="2"/>
  <c r="AR104" i="2"/>
  <c r="AQ104" i="2"/>
  <c r="AP104" i="2"/>
  <c r="AN104" i="2"/>
  <c r="AM104" i="2"/>
  <c r="AL104" i="2"/>
  <c r="AK104" i="2"/>
  <c r="AJ104" i="2"/>
  <c r="AI104" i="2"/>
  <c r="AH104" i="2"/>
  <c r="AG104" i="2"/>
  <c r="AF104" i="2"/>
  <c r="AE104" i="2"/>
  <c r="AD104" i="2"/>
  <c r="AC104" i="2"/>
  <c r="AA104" i="2"/>
  <c r="Z104" i="2"/>
  <c r="Y104" i="2"/>
  <c r="X104" i="2"/>
  <c r="W104" i="2"/>
  <c r="V104" i="2"/>
  <c r="U104" i="2"/>
  <c r="T104" i="2"/>
  <c r="S104" i="2"/>
  <c r="R104" i="2"/>
  <c r="Q104" i="2"/>
  <c r="P104" i="2"/>
  <c r="N104" i="2"/>
  <c r="M104" i="2"/>
  <c r="L104" i="2"/>
  <c r="K104" i="2"/>
  <c r="J104" i="2"/>
  <c r="I104" i="2"/>
  <c r="H104" i="2"/>
  <c r="G104" i="2"/>
  <c r="F104" i="2"/>
  <c r="E104" i="2"/>
  <c r="D104" i="2"/>
  <c r="C104" i="2"/>
  <c r="FO103" i="2"/>
  <c r="FB103" i="2"/>
  <c r="EO103" i="2"/>
  <c r="EB103" i="2"/>
  <c r="DO103" i="2"/>
  <c r="DB103" i="2"/>
  <c r="CO103" i="2"/>
  <c r="CB103" i="2"/>
  <c r="BO103" i="2"/>
  <c r="BB103" i="2"/>
  <c r="AO103" i="2"/>
  <c r="AB103" i="2"/>
  <c r="O103" i="2"/>
  <c r="FO102" i="2"/>
  <c r="FB102" i="2"/>
  <c r="EO102" i="2"/>
  <c r="G26" i="3" s="1"/>
  <c r="EB102" i="2"/>
  <c r="DO102" i="2"/>
  <c r="DB102" i="2"/>
  <c r="CO102" i="2"/>
  <c r="CB102" i="2"/>
  <c r="BO102" i="2"/>
  <c r="BB102" i="2"/>
  <c r="AO102" i="2"/>
  <c r="AB102" i="2"/>
  <c r="O102" i="2"/>
  <c r="FO101" i="2"/>
  <c r="FB101" i="2"/>
  <c r="EO101" i="2"/>
  <c r="G25" i="3" s="1"/>
  <c r="EB101" i="2"/>
  <c r="DO101" i="2"/>
  <c r="DB101" i="2"/>
  <c r="CO101" i="2"/>
  <c r="CB101" i="2"/>
  <c r="BO101" i="2"/>
  <c r="BB101" i="2"/>
  <c r="AO101" i="2"/>
  <c r="AB101" i="2"/>
  <c r="O101" i="2"/>
  <c r="FO100" i="2"/>
  <c r="FB100" i="2"/>
  <c r="EO100" i="2"/>
  <c r="G24" i="3" s="1"/>
  <c r="EB100" i="2"/>
  <c r="DO100" i="2"/>
  <c r="DB100" i="2"/>
  <c r="CO100" i="2"/>
  <c r="CB100" i="2"/>
  <c r="BO100" i="2"/>
  <c r="BB100" i="2"/>
  <c r="AO100" i="2"/>
  <c r="AB100" i="2"/>
  <c r="O100" i="2"/>
  <c r="FO99" i="2"/>
  <c r="FB99" i="2"/>
  <c r="EO99" i="2"/>
  <c r="G23" i="3" s="1"/>
  <c r="EB99" i="2"/>
  <c r="DO99" i="2"/>
  <c r="DB99" i="2"/>
  <c r="CO99" i="2"/>
  <c r="CB99" i="2"/>
  <c r="BO99" i="2"/>
  <c r="BB99" i="2"/>
  <c r="AO99" i="2"/>
  <c r="AB99" i="2"/>
  <c r="O99" i="2"/>
  <c r="FO98" i="2"/>
  <c r="FB98" i="2"/>
  <c r="FB104" i="2" s="1"/>
  <c r="EO98" i="2"/>
  <c r="G22" i="3" s="1"/>
  <c r="EB98" i="2"/>
  <c r="DO98" i="2"/>
  <c r="DB98" i="2"/>
  <c r="CO98" i="2"/>
  <c r="CB98" i="2"/>
  <c r="CB104" i="2" s="1"/>
  <c r="BO98" i="2"/>
  <c r="BO104" i="2" s="1"/>
  <c r="BB98" i="2"/>
  <c r="AO98" i="2"/>
  <c r="AB98" i="2"/>
  <c r="O98" i="2"/>
  <c r="FN92" i="2"/>
  <c r="FM92" i="2"/>
  <c r="FL92" i="2"/>
  <c r="FK92" i="2"/>
  <c r="FJ92" i="2"/>
  <c r="FI92" i="2"/>
  <c r="FH92" i="2"/>
  <c r="FG92" i="2"/>
  <c r="FF92" i="2"/>
  <c r="FE92" i="2"/>
  <c r="FD92" i="2"/>
  <c r="FC92" i="2"/>
  <c r="FA92" i="2"/>
  <c r="EZ92" i="2"/>
  <c r="EY92" i="2"/>
  <c r="EX92" i="2"/>
  <c r="EW92" i="2"/>
  <c r="EV92" i="2"/>
  <c r="EU92" i="2"/>
  <c r="ET92" i="2"/>
  <c r="ES92" i="2"/>
  <c r="ER92" i="2"/>
  <c r="EQ92" i="2"/>
  <c r="EP92" i="2"/>
  <c r="EN92" i="2"/>
  <c r="EM92" i="2"/>
  <c r="EL92" i="2"/>
  <c r="EK92" i="2"/>
  <c r="EJ92" i="2"/>
  <c r="EI92" i="2"/>
  <c r="EH92" i="2"/>
  <c r="EG92" i="2"/>
  <c r="EF92" i="2"/>
  <c r="EE92" i="2"/>
  <c r="ED92" i="2"/>
  <c r="EC92" i="2"/>
  <c r="EA92" i="2"/>
  <c r="DZ92" i="2"/>
  <c r="DY92" i="2"/>
  <c r="DX92" i="2"/>
  <c r="DW92" i="2"/>
  <c r="DV92" i="2"/>
  <c r="DU92" i="2"/>
  <c r="DT92" i="2"/>
  <c r="DS92" i="2"/>
  <c r="DR92" i="2"/>
  <c r="DQ92" i="2"/>
  <c r="DP92" i="2"/>
  <c r="DN92" i="2"/>
  <c r="DM92" i="2"/>
  <c r="DL92" i="2"/>
  <c r="DK92" i="2"/>
  <c r="DJ92" i="2"/>
  <c r="DI92" i="2"/>
  <c r="DH92" i="2"/>
  <c r="DG92" i="2"/>
  <c r="DF92" i="2"/>
  <c r="DE92" i="2"/>
  <c r="DD92" i="2"/>
  <c r="DC92" i="2"/>
  <c r="DA92" i="2"/>
  <c r="CZ92" i="2"/>
  <c r="CY92" i="2"/>
  <c r="CX92" i="2"/>
  <c r="CW92" i="2"/>
  <c r="CV92" i="2"/>
  <c r="CU92" i="2"/>
  <c r="CT92" i="2"/>
  <c r="CS92" i="2"/>
  <c r="CR92" i="2"/>
  <c r="CQ92" i="2"/>
  <c r="CP92" i="2"/>
  <c r="CN92" i="2"/>
  <c r="CM92" i="2"/>
  <c r="CL92" i="2"/>
  <c r="CK92" i="2"/>
  <c r="CJ92" i="2"/>
  <c r="CI92" i="2"/>
  <c r="CH92" i="2"/>
  <c r="CG92" i="2"/>
  <c r="CF92" i="2"/>
  <c r="CE92" i="2"/>
  <c r="CD92" i="2"/>
  <c r="CC92" i="2"/>
  <c r="CA92" i="2"/>
  <c r="BZ92" i="2"/>
  <c r="BY92" i="2"/>
  <c r="BX92" i="2"/>
  <c r="BW92" i="2"/>
  <c r="BV92" i="2"/>
  <c r="BU92" i="2"/>
  <c r="BT92" i="2"/>
  <c r="BS92" i="2"/>
  <c r="BR92" i="2"/>
  <c r="BQ92" i="2"/>
  <c r="BP92" i="2"/>
  <c r="BN92" i="2"/>
  <c r="BM92" i="2"/>
  <c r="BL92" i="2"/>
  <c r="BK92" i="2"/>
  <c r="BJ92" i="2"/>
  <c r="BI92" i="2"/>
  <c r="BH92" i="2"/>
  <c r="BG92" i="2"/>
  <c r="BF92" i="2"/>
  <c r="BE92" i="2"/>
  <c r="BD92" i="2"/>
  <c r="BC92" i="2"/>
  <c r="BA92" i="2"/>
  <c r="AZ92" i="2"/>
  <c r="AY92" i="2"/>
  <c r="AX92" i="2"/>
  <c r="AW92" i="2"/>
  <c r="AV92" i="2"/>
  <c r="AU92" i="2"/>
  <c r="AT92" i="2"/>
  <c r="AS92" i="2"/>
  <c r="AR92" i="2"/>
  <c r="AQ92" i="2"/>
  <c r="AP92" i="2"/>
  <c r="AN92" i="2"/>
  <c r="AM92" i="2"/>
  <c r="AL92" i="2"/>
  <c r="AK92" i="2"/>
  <c r="AJ92" i="2"/>
  <c r="AI92" i="2"/>
  <c r="AH92" i="2"/>
  <c r="AG92" i="2"/>
  <c r="AF92" i="2"/>
  <c r="AE92" i="2"/>
  <c r="AD92" i="2"/>
  <c r="AC92" i="2"/>
  <c r="AA92" i="2"/>
  <c r="Z92" i="2"/>
  <c r="Y92" i="2"/>
  <c r="X92" i="2"/>
  <c r="W92" i="2"/>
  <c r="V92" i="2"/>
  <c r="U92" i="2"/>
  <c r="T92" i="2"/>
  <c r="S92" i="2"/>
  <c r="R92" i="2"/>
  <c r="Q92" i="2"/>
  <c r="P92" i="2"/>
  <c r="N92" i="2"/>
  <c r="M92" i="2"/>
  <c r="L92" i="2"/>
  <c r="K92" i="2"/>
  <c r="J92" i="2"/>
  <c r="I92" i="2"/>
  <c r="H92" i="2"/>
  <c r="G92" i="2"/>
  <c r="F92" i="2"/>
  <c r="E92" i="2"/>
  <c r="D92" i="2"/>
  <c r="C92" i="2"/>
  <c r="FO91" i="2"/>
  <c r="FB91" i="2"/>
  <c r="EO91" i="2"/>
  <c r="EB91" i="2"/>
  <c r="DO91" i="2"/>
  <c r="DB91" i="2"/>
  <c r="CO91" i="2"/>
  <c r="CB91" i="2"/>
  <c r="BO91" i="2"/>
  <c r="BB91" i="2"/>
  <c r="AO91" i="2"/>
  <c r="AB91" i="2"/>
  <c r="O91" i="2"/>
  <c r="FO90" i="2"/>
  <c r="FB90" i="2"/>
  <c r="EO90" i="2"/>
  <c r="EB90" i="2"/>
  <c r="DO90" i="2"/>
  <c r="DB90" i="2"/>
  <c r="CO90" i="2"/>
  <c r="CB90" i="2"/>
  <c r="BO90" i="2"/>
  <c r="BB90" i="2"/>
  <c r="AO90" i="2"/>
  <c r="AB90" i="2"/>
  <c r="O90" i="2"/>
  <c r="FO89" i="2"/>
  <c r="FB89" i="2"/>
  <c r="EO89" i="2"/>
  <c r="EB89" i="2"/>
  <c r="DO89" i="2"/>
  <c r="DB89" i="2"/>
  <c r="CO89" i="2"/>
  <c r="CB89" i="2"/>
  <c r="BO89" i="2"/>
  <c r="BB89" i="2"/>
  <c r="AO89" i="2"/>
  <c r="AB89" i="2"/>
  <c r="O89" i="2"/>
  <c r="FO88" i="2"/>
  <c r="FB88" i="2"/>
  <c r="EO88" i="2"/>
  <c r="EO92" i="2" s="1"/>
  <c r="D16" i="3" s="1"/>
  <c r="EB88" i="2"/>
  <c r="DO88" i="2"/>
  <c r="DB88" i="2"/>
  <c r="CO88" i="2"/>
  <c r="CB88" i="2"/>
  <c r="BO88" i="2"/>
  <c r="BB88" i="2"/>
  <c r="AO88" i="2"/>
  <c r="AB88" i="2"/>
  <c r="O88" i="2"/>
  <c r="FO87" i="2"/>
  <c r="FB87" i="2"/>
  <c r="EO87" i="2"/>
  <c r="EB87" i="2"/>
  <c r="DO87" i="2"/>
  <c r="DB87" i="2"/>
  <c r="CO87" i="2"/>
  <c r="CB87" i="2"/>
  <c r="BO87" i="2"/>
  <c r="BB87" i="2"/>
  <c r="AO87" i="2"/>
  <c r="AB87" i="2"/>
  <c r="O87" i="2"/>
  <c r="FO86" i="2"/>
  <c r="FO92" i="2" s="1"/>
  <c r="FB86" i="2"/>
  <c r="FB92" i="2" s="1"/>
  <c r="EO86" i="2"/>
  <c r="EB86" i="2"/>
  <c r="DO86" i="2"/>
  <c r="DB86" i="2"/>
  <c r="CO86" i="2"/>
  <c r="CO92" i="2" s="1"/>
  <c r="CB86" i="2"/>
  <c r="BO86" i="2"/>
  <c r="BB86" i="2"/>
  <c r="AO86" i="2"/>
  <c r="AB86" i="2"/>
  <c r="O86" i="2"/>
  <c r="O92" i="2" s="1"/>
  <c r="FN77" i="2"/>
  <c r="FM77" i="2"/>
  <c r="FL77" i="2"/>
  <c r="FK77" i="2"/>
  <c r="FJ77" i="2"/>
  <c r="FI77" i="2"/>
  <c r="FH77" i="2"/>
  <c r="FG77" i="2"/>
  <c r="FF77" i="2"/>
  <c r="FE77" i="2"/>
  <c r="FD77" i="2"/>
  <c r="FC77" i="2"/>
  <c r="FA77" i="2"/>
  <c r="EZ77" i="2"/>
  <c r="EY77" i="2"/>
  <c r="EX77" i="2"/>
  <c r="EW77" i="2"/>
  <c r="EV77" i="2"/>
  <c r="EU77" i="2"/>
  <c r="ET77" i="2"/>
  <c r="ES77" i="2"/>
  <c r="ER77" i="2"/>
  <c r="EQ77" i="2"/>
  <c r="EP77" i="2"/>
  <c r="EN77" i="2"/>
  <c r="EM77" i="2"/>
  <c r="EL77" i="2"/>
  <c r="EK77" i="2"/>
  <c r="EJ77" i="2"/>
  <c r="EI77" i="2"/>
  <c r="EH77" i="2"/>
  <c r="EG77" i="2"/>
  <c r="EF77" i="2"/>
  <c r="EE77" i="2"/>
  <c r="ED77" i="2"/>
  <c r="EC77" i="2"/>
  <c r="EA77" i="2"/>
  <c r="DZ77" i="2"/>
  <c r="DY77" i="2"/>
  <c r="DX77" i="2"/>
  <c r="DW77" i="2"/>
  <c r="DV77" i="2"/>
  <c r="DU77" i="2"/>
  <c r="DT77" i="2"/>
  <c r="DS77" i="2"/>
  <c r="DR77" i="2"/>
  <c r="DQ77" i="2"/>
  <c r="DP77" i="2"/>
  <c r="DN77" i="2"/>
  <c r="DM77" i="2"/>
  <c r="DL77" i="2"/>
  <c r="DK77" i="2"/>
  <c r="DJ77" i="2"/>
  <c r="DI77" i="2"/>
  <c r="DH77" i="2"/>
  <c r="DG77" i="2"/>
  <c r="DF77" i="2"/>
  <c r="DE77" i="2"/>
  <c r="DD77" i="2"/>
  <c r="DC77" i="2"/>
  <c r="DA77" i="2"/>
  <c r="CZ77" i="2"/>
  <c r="CY77" i="2"/>
  <c r="CX77" i="2"/>
  <c r="CW77" i="2"/>
  <c r="CV77" i="2"/>
  <c r="CU77" i="2"/>
  <c r="CT77" i="2"/>
  <c r="CS77" i="2"/>
  <c r="CR77" i="2"/>
  <c r="CQ77" i="2"/>
  <c r="CP77" i="2"/>
  <c r="CN77" i="2"/>
  <c r="CM77" i="2"/>
  <c r="CL77" i="2"/>
  <c r="CK77" i="2"/>
  <c r="CJ77" i="2"/>
  <c r="CI77" i="2"/>
  <c r="CH77" i="2"/>
  <c r="CG77" i="2"/>
  <c r="CF77" i="2"/>
  <c r="CE77" i="2"/>
  <c r="CD77" i="2"/>
  <c r="CC77" i="2"/>
  <c r="CA77" i="2"/>
  <c r="BZ77" i="2"/>
  <c r="BY77" i="2"/>
  <c r="BX77" i="2"/>
  <c r="BW77" i="2"/>
  <c r="BV77" i="2"/>
  <c r="BU77" i="2"/>
  <c r="BT77" i="2"/>
  <c r="BS77" i="2"/>
  <c r="BR77" i="2"/>
  <c r="BQ77" i="2"/>
  <c r="BP77" i="2"/>
  <c r="BN77" i="2"/>
  <c r="BM77" i="2"/>
  <c r="BL77" i="2"/>
  <c r="BK77" i="2"/>
  <c r="BJ77" i="2"/>
  <c r="BI77" i="2"/>
  <c r="BH77" i="2"/>
  <c r="BG77" i="2"/>
  <c r="BF77" i="2"/>
  <c r="BE77" i="2"/>
  <c r="BD77" i="2"/>
  <c r="BC77" i="2"/>
  <c r="BA77" i="2"/>
  <c r="AZ77" i="2"/>
  <c r="AY77" i="2"/>
  <c r="AX77" i="2"/>
  <c r="AW77" i="2"/>
  <c r="AV77" i="2"/>
  <c r="AU77" i="2"/>
  <c r="AT77" i="2"/>
  <c r="AS77" i="2"/>
  <c r="AR77" i="2"/>
  <c r="AQ77" i="2"/>
  <c r="AP77" i="2"/>
  <c r="AN77" i="2"/>
  <c r="AM77" i="2"/>
  <c r="AL77" i="2"/>
  <c r="AK77" i="2"/>
  <c r="AJ77" i="2"/>
  <c r="AI77" i="2"/>
  <c r="AH77" i="2"/>
  <c r="AG77" i="2"/>
  <c r="AF77" i="2"/>
  <c r="AE77" i="2"/>
  <c r="AD77" i="2"/>
  <c r="AC77" i="2"/>
  <c r="AA77" i="2"/>
  <c r="Z77" i="2"/>
  <c r="Y77" i="2"/>
  <c r="X77" i="2"/>
  <c r="W77" i="2"/>
  <c r="V77" i="2"/>
  <c r="U77" i="2"/>
  <c r="T77" i="2"/>
  <c r="S77" i="2"/>
  <c r="R77" i="2"/>
  <c r="Q77" i="2"/>
  <c r="P77" i="2"/>
  <c r="N77" i="2"/>
  <c r="M77" i="2"/>
  <c r="L77" i="2"/>
  <c r="K77" i="2"/>
  <c r="J77" i="2"/>
  <c r="I77" i="2"/>
  <c r="H77" i="2"/>
  <c r="G77" i="2"/>
  <c r="F77" i="2"/>
  <c r="E77" i="2"/>
  <c r="D77" i="2"/>
  <c r="C77" i="2"/>
  <c r="FO76" i="2"/>
  <c r="FB76" i="2"/>
  <c r="EO76" i="2"/>
  <c r="EB76" i="2"/>
  <c r="DO76" i="2"/>
  <c r="DB76" i="2"/>
  <c r="CO76" i="2"/>
  <c r="CB76" i="2"/>
  <c r="BO76" i="2"/>
  <c r="BB76" i="2"/>
  <c r="AO76" i="2"/>
  <c r="AB76" i="2"/>
  <c r="AB77" i="2" s="1"/>
  <c r="O76" i="2"/>
  <c r="FO75" i="2"/>
  <c r="FB75" i="2"/>
  <c r="EO75" i="2"/>
  <c r="F26" i="3" s="1"/>
  <c r="EB75" i="2"/>
  <c r="DO75" i="2"/>
  <c r="DB75" i="2"/>
  <c r="CO75" i="2"/>
  <c r="CB75" i="2"/>
  <c r="BO75" i="2"/>
  <c r="BB75" i="2"/>
  <c r="AO75" i="2"/>
  <c r="AB75" i="2"/>
  <c r="O75" i="2"/>
  <c r="FO74" i="2"/>
  <c r="FB74" i="2"/>
  <c r="EO74" i="2"/>
  <c r="F25" i="3" s="1"/>
  <c r="EB74" i="2"/>
  <c r="DO74" i="2"/>
  <c r="DB74" i="2"/>
  <c r="CO74" i="2"/>
  <c r="CB74" i="2"/>
  <c r="BO74" i="2"/>
  <c r="BB74" i="2"/>
  <c r="AO74" i="2"/>
  <c r="AB74" i="2"/>
  <c r="O74" i="2"/>
  <c r="FO73" i="2"/>
  <c r="FB73" i="2"/>
  <c r="EO73" i="2"/>
  <c r="EB73" i="2"/>
  <c r="DO73" i="2"/>
  <c r="DB73" i="2"/>
  <c r="CO73" i="2"/>
  <c r="CB73" i="2"/>
  <c r="BO73" i="2"/>
  <c r="BB73" i="2"/>
  <c r="AO73" i="2"/>
  <c r="AB73" i="2"/>
  <c r="O73" i="2"/>
  <c r="FO72" i="2"/>
  <c r="FB72" i="2"/>
  <c r="EO72" i="2"/>
  <c r="EB72" i="2"/>
  <c r="DO72" i="2"/>
  <c r="DB72" i="2"/>
  <c r="CO72" i="2"/>
  <c r="CB72" i="2"/>
  <c r="BO72" i="2"/>
  <c r="BB72" i="2"/>
  <c r="AO72" i="2"/>
  <c r="AB72" i="2"/>
  <c r="O72" i="2"/>
  <c r="FO71" i="2"/>
  <c r="FB71" i="2"/>
  <c r="EO71" i="2"/>
  <c r="F22" i="3" s="1"/>
  <c r="EB71" i="2"/>
  <c r="DO71" i="2"/>
  <c r="DB71" i="2"/>
  <c r="CO71" i="2"/>
  <c r="CO77" i="2" s="1"/>
  <c r="CB71" i="2"/>
  <c r="BO71" i="2"/>
  <c r="BB71" i="2"/>
  <c r="AO71" i="2"/>
  <c r="AB71" i="2"/>
  <c r="O71" i="2"/>
  <c r="FN65" i="2"/>
  <c r="FM65" i="2"/>
  <c r="FL65" i="2"/>
  <c r="FK65" i="2"/>
  <c r="FJ65" i="2"/>
  <c r="FI65" i="2"/>
  <c r="FH65" i="2"/>
  <c r="FG65" i="2"/>
  <c r="FF65" i="2"/>
  <c r="FE65" i="2"/>
  <c r="FD65" i="2"/>
  <c r="FC65" i="2"/>
  <c r="FA65" i="2"/>
  <c r="EZ65" i="2"/>
  <c r="EY65" i="2"/>
  <c r="EX65" i="2"/>
  <c r="EW65" i="2"/>
  <c r="EV65" i="2"/>
  <c r="EU65" i="2"/>
  <c r="ET65" i="2"/>
  <c r="ES65" i="2"/>
  <c r="ER65" i="2"/>
  <c r="EQ65" i="2"/>
  <c r="EP65" i="2"/>
  <c r="EN65" i="2"/>
  <c r="EM65" i="2"/>
  <c r="EL65" i="2"/>
  <c r="EK65" i="2"/>
  <c r="EJ65" i="2"/>
  <c r="EI65" i="2"/>
  <c r="EH65" i="2"/>
  <c r="EG65" i="2"/>
  <c r="EF65" i="2"/>
  <c r="EE65" i="2"/>
  <c r="ED65" i="2"/>
  <c r="EC65" i="2"/>
  <c r="EA65" i="2"/>
  <c r="DZ65" i="2"/>
  <c r="DY65" i="2"/>
  <c r="DX65" i="2"/>
  <c r="DW65" i="2"/>
  <c r="DV65" i="2"/>
  <c r="DU65" i="2"/>
  <c r="DT65" i="2"/>
  <c r="DS65" i="2"/>
  <c r="DR65" i="2"/>
  <c r="DQ65" i="2"/>
  <c r="DP65" i="2"/>
  <c r="DN65" i="2"/>
  <c r="DM65" i="2"/>
  <c r="DL65" i="2"/>
  <c r="DK65" i="2"/>
  <c r="DJ65" i="2"/>
  <c r="DI65" i="2"/>
  <c r="DH65" i="2"/>
  <c r="DG65" i="2"/>
  <c r="DF65" i="2"/>
  <c r="DE65" i="2"/>
  <c r="DD65" i="2"/>
  <c r="DC65" i="2"/>
  <c r="DA65" i="2"/>
  <c r="CZ65" i="2"/>
  <c r="CY65" i="2"/>
  <c r="CX65" i="2"/>
  <c r="CW65" i="2"/>
  <c r="CV65" i="2"/>
  <c r="CU65" i="2"/>
  <c r="CT65" i="2"/>
  <c r="CS65" i="2"/>
  <c r="CR65" i="2"/>
  <c r="CQ65" i="2"/>
  <c r="CP65" i="2"/>
  <c r="CN65" i="2"/>
  <c r="CM65" i="2"/>
  <c r="CL65" i="2"/>
  <c r="CK65" i="2"/>
  <c r="CJ65" i="2"/>
  <c r="CI65" i="2"/>
  <c r="CH65" i="2"/>
  <c r="CG65" i="2"/>
  <c r="CF65" i="2"/>
  <c r="CE65" i="2"/>
  <c r="CD65" i="2"/>
  <c r="CC65" i="2"/>
  <c r="CA65" i="2"/>
  <c r="BZ65" i="2"/>
  <c r="BY65" i="2"/>
  <c r="BX65" i="2"/>
  <c r="BW65" i="2"/>
  <c r="BV65" i="2"/>
  <c r="BU65" i="2"/>
  <c r="BT65" i="2"/>
  <c r="BS65" i="2"/>
  <c r="BR65" i="2"/>
  <c r="BQ65" i="2"/>
  <c r="BP65" i="2"/>
  <c r="BN65" i="2"/>
  <c r="BM65" i="2"/>
  <c r="BL65" i="2"/>
  <c r="BK65" i="2"/>
  <c r="BJ65" i="2"/>
  <c r="BI65" i="2"/>
  <c r="BH65" i="2"/>
  <c r="BG65" i="2"/>
  <c r="BF65" i="2"/>
  <c r="BE65" i="2"/>
  <c r="BD65" i="2"/>
  <c r="BC65" i="2"/>
  <c r="BA65" i="2"/>
  <c r="AZ65" i="2"/>
  <c r="AY65" i="2"/>
  <c r="AX65" i="2"/>
  <c r="AW65" i="2"/>
  <c r="AV65" i="2"/>
  <c r="AU65" i="2"/>
  <c r="AT65" i="2"/>
  <c r="AS65" i="2"/>
  <c r="AR65" i="2"/>
  <c r="AQ65" i="2"/>
  <c r="AP65" i="2"/>
  <c r="AN65" i="2"/>
  <c r="AM65" i="2"/>
  <c r="AL65" i="2"/>
  <c r="AK65" i="2"/>
  <c r="AJ65" i="2"/>
  <c r="AI65" i="2"/>
  <c r="AH65" i="2"/>
  <c r="AG65" i="2"/>
  <c r="AF65" i="2"/>
  <c r="AE65" i="2"/>
  <c r="AD65" i="2"/>
  <c r="AC65" i="2"/>
  <c r="AA65" i="2"/>
  <c r="Z65" i="2"/>
  <c r="Y65" i="2"/>
  <c r="X65" i="2"/>
  <c r="W65" i="2"/>
  <c r="V65" i="2"/>
  <c r="U65" i="2"/>
  <c r="T65" i="2"/>
  <c r="S65" i="2"/>
  <c r="R65" i="2"/>
  <c r="Q65" i="2"/>
  <c r="P65" i="2"/>
  <c r="N65" i="2"/>
  <c r="M65" i="2"/>
  <c r="L65" i="2"/>
  <c r="K65" i="2"/>
  <c r="J65" i="2"/>
  <c r="I65" i="2"/>
  <c r="H65" i="2"/>
  <c r="G65" i="2"/>
  <c r="F65" i="2"/>
  <c r="E65" i="2"/>
  <c r="D65" i="2"/>
  <c r="C65" i="2"/>
  <c r="FO64" i="2"/>
  <c r="FB64" i="2"/>
  <c r="EO64" i="2"/>
  <c r="EB64" i="2"/>
  <c r="DO64" i="2"/>
  <c r="DB64" i="2"/>
  <c r="CO64" i="2"/>
  <c r="CB64" i="2"/>
  <c r="BO64" i="2"/>
  <c r="BB64" i="2"/>
  <c r="AO64" i="2"/>
  <c r="AB64" i="2"/>
  <c r="O64" i="2"/>
  <c r="FO63" i="2"/>
  <c r="FB63" i="2"/>
  <c r="EO63" i="2"/>
  <c r="E26" i="3" s="1"/>
  <c r="EB63" i="2"/>
  <c r="DO63" i="2"/>
  <c r="DB63" i="2"/>
  <c r="CO63" i="2"/>
  <c r="CB63" i="2"/>
  <c r="BO63" i="2"/>
  <c r="BB63" i="2"/>
  <c r="AO63" i="2"/>
  <c r="AB63" i="2"/>
  <c r="O63" i="2"/>
  <c r="FO62" i="2"/>
  <c r="FB62" i="2"/>
  <c r="EO62" i="2"/>
  <c r="E25" i="3" s="1"/>
  <c r="EB62" i="2"/>
  <c r="DO62" i="2"/>
  <c r="DB62" i="2"/>
  <c r="CO62" i="2"/>
  <c r="CB62" i="2"/>
  <c r="BO62" i="2"/>
  <c r="BB62" i="2"/>
  <c r="AO62" i="2"/>
  <c r="AB62" i="2"/>
  <c r="AB65" i="2" s="1"/>
  <c r="O62" i="2"/>
  <c r="FO61" i="2"/>
  <c r="FB61" i="2"/>
  <c r="EO61" i="2"/>
  <c r="EB61" i="2"/>
  <c r="DO61" i="2"/>
  <c r="DB61" i="2"/>
  <c r="CO61" i="2"/>
  <c r="CB61" i="2"/>
  <c r="BO61" i="2"/>
  <c r="BB61" i="2"/>
  <c r="AO61" i="2"/>
  <c r="AB61" i="2"/>
  <c r="O61" i="2"/>
  <c r="FO60" i="2"/>
  <c r="FB60" i="2"/>
  <c r="EO60" i="2"/>
  <c r="E23" i="3" s="1"/>
  <c r="EB60" i="2"/>
  <c r="DO60" i="2"/>
  <c r="DB60" i="2"/>
  <c r="CO60" i="2"/>
  <c r="CB60" i="2"/>
  <c r="BO60" i="2"/>
  <c r="BB60" i="2"/>
  <c r="AO60" i="2"/>
  <c r="AB60" i="2"/>
  <c r="O60" i="2"/>
  <c r="FO59" i="2"/>
  <c r="FB59" i="2"/>
  <c r="EO59" i="2"/>
  <c r="EB59" i="2"/>
  <c r="DO59" i="2"/>
  <c r="DO65" i="2" s="1"/>
  <c r="DB59" i="2"/>
  <c r="DB65" i="2" s="1"/>
  <c r="CO59" i="2"/>
  <c r="CO65" i="2" s="1"/>
  <c r="CB59" i="2"/>
  <c r="BO59" i="2"/>
  <c r="BB59" i="2"/>
  <c r="AO59" i="2"/>
  <c r="AB59" i="2"/>
  <c r="O59" i="2"/>
  <c r="FN53" i="2"/>
  <c r="FM53" i="2"/>
  <c r="FL53" i="2"/>
  <c r="FK53" i="2"/>
  <c r="FJ53" i="2"/>
  <c r="FI53" i="2"/>
  <c r="FH53" i="2"/>
  <c r="FG53" i="2"/>
  <c r="FF53" i="2"/>
  <c r="FE53" i="2"/>
  <c r="FD53" i="2"/>
  <c r="FC53" i="2"/>
  <c r="FA53" i="2"/>
  <c r="EZ53" i="2"/>
  <c r="EY53" i="2"/>
  <c r="EX53" i="2"/>
  <c r="EW53" i="2"/>
  <c r="EV53" i="2"/>
  <c r="EU53" i="2"/>
  <c r="ET53" i="2"/>
  <c r="ES53" i="2"/>
  <c r="ER53" i="2"/>
  <c r="EQ53" i="2"/>
  <c r="EP53" i="2"/>
  <c r="EN53" i="2"/>
  <c r="EM53" i="2"/>
  <c r="EL53" i="2"/>
  <c r="EK53" i="2"/>
  <c r="EJ53" i="2"/>
  <c r="EI53" i="2"/>
  <c r="EH53" i="2"/>
  <c r="EG53" i="2"/>
  <c r="EF53" i="2"/>
  <c r="EE53" i="2"/>
  <c r="ED53" i="2"/>
  <c r="EC53" i="2"/>
  <c r="EA53" i="2"/>
  <c r="DZ53" i="2"/>
  <c r="DY53" i="2"/>
  <c r="DX53" i="2"/>
  <c r="DW53" i="2"/>
  <c r="DV53" i="2"/>
  <c r="DU53" i="2"/>
  <c r="DT53" i="2"/>
  <c r="DS53" i="2"/>
  <c r="DR53" i="2"/>
  <c r="DQ53" i="2"/>
  <c r="DP53" i="2"/>
  <c r="DN53" i="2"/>
  <c r="DM53" i="2"/>
  <c r="DL53" i="2"/>
  <c r="DK53" i="2"/>
  <c r="DJ53" i="2"/>
  <c r="DI53" i="2"/>
  <c r="DH53" i="2"/>
  <c r="DG53" i="2"/>
  <c r="DF53" i="2"/>
  <c r="DE53" i="2"/>
  <c r="DD53" i="2"/>
  <c r="DC53" i="2"/>
  <c r="DA53" i="2"/>
  <c r="CZ53" i="2"/>
  <c r="CY53" i="2"/>
  <c r="CX53" i="2"/>
  <c r="CW53" i="2"/>
  <c r="CV53" i="2"/>
  <c r="CU53" i="2"/>
  <c r="CT53" i="2"/>
  <c r="CS53" i="2"/>
  <c r="CR53" i="2"/>
  <c r="CQ53" i="2"/>
  <c r="CP53" i="2"/>
  <c r="CN53" i="2"/>
  <c r="CM53" i="2"/>
  <c r="CL53" i="2"/>
  <c r="CK53" i="2"/>
  <c r="CJ53" i="2"/>
  <c r="CI53" i="2"/>
  <c r="CH53" i="2"/>
  <c r="CG53" i="2"/>
  <c r="CF53" i="2"/>
  <c r="CE53" i="2"/>
  <c r="CD53" i="2"/>
  <c r="CC53" i="2"/>
  <c r="CA53" i="2"/>
  <c r="BZ53" i="2"/>
  <c r="BY53" i="2"/>
  <c r="BX53" i="2"/>
  <c r="BW53" i="2"/>
  <c r="BV53" i="2"/>
  <c r="BU53" i="2"/>
  <c r="BT53" i="2"/>
  <c r="BS53" i="2"/>
  <c r="BR53" i="2"/>
  <c r="BQ53" i="2"/>
  <c r="BP53" i="2"/>
  <c r="BN53" i="2"/>
  <c r="BM53" i="2"/>
  <c r="BL53" i="2"/>
  <c r="BK53" i="2"/>
  <c r="BJ53" i="2"/>
  <c r="BI53" i="2"/>
  <c r="BH53" i="2"/>
  <c r="BG53" i="2"/>
  <c r="BF53" i="2"/>
  <c r="BE53" i="2"/>
  <c r="BD53" i="2"/>
  <c r="BC53" i="2"/>
  <c r="BA53" i="2"/>
  <c r="AZ53" i="2"/>
  <c r="AY53" i="2"/>
  <c r="AX53" i="2"/>
  <c r="AW53" i="2"/>
  <c r="AV53" i="2"/>
  <c r="AU53" i="2"/>
  <c r="AT53" i="2"/>
  <c r="AS53" i="2"/>
  <c r="AR53" i="2"/>
  <c r="AQ53" i="2"/>
  <c r="AP53" i="2"/>
  <c r="AN53" i="2"/>
  <c r="AM53" i="2"/>
  <c r="AL53" i="2"/>
  <c r="AK53" i="2"/>
  <c r="AJ53" i="2"/>
  <c r="AI53" i="2"/>
  <c r="AH53" i="2"/>
  <c r="AG53" i="2"/>
  <c r="AF53" i="2"/>
  <c r="AE53" i="2"/>
  <c r="AD53" i="2"/>
  <c r="AC53" i="2"/>
  <c r="AA53" i="2"/>
  <c r="Z53" i="2"/>
  <c r="Y53" i="2"/>
  <c r="X53" i="2"/>
  <c r="W53" i="2"/>
  <c r="V53" i="2"/>
  <c r="U53" i="2"/>
  <c r="T53" i="2"/>
  <c r="S53" i="2"/>
  <c r="R53" i="2"/>
  <c r="Q53" i="2"/>
  <c r="P53" i="2"/>
  <c r="N53" i="2"/>
  <c r="M53" i="2"/>
  <c r="L53" i="2"/>
  <c r="K53" i="2"/>
  <c r="J53" i="2"/>
  <c r="I53" i="2"/>
  <c r="H53" i="2"/>
  <c r="G53" i="2"/>
  <c r="F53" i="2"/>
  <c r="E53" i="2"/>
  <c r="D53" i="2"/>
  <c r="C53" i="2"/>
  <c r="FO52" i="2"/>
  <c r="FB52" i="2"/>
  <c r="EO52" i="2"/>
  <c r="EB52" i="2"/>
  <c r="EB161" i="2" s="1"/>
  <c r="DO52" i="2"/>
  <c r="DB52" i="2"/>
  <c r="CO52" i="2"/>
  <c r="CB52" i="2"/>
  <c r="BO52" i="2"/>
  <c r="BB52" i="2"/>
  <c r="AO52" i="2"/>
  <c r="AB52" i="2"/>
  <c r="O52" i="2"/>
  <c r="FO51" i="2"/>
  <c r="FB51" i="2"/>
  <c r="EO51" i="2"/>
  <c r="EB51" i="2"/>
  <c r="DO51" i="2"/>
  <c r="DB51" i="2"/>
  <c r="CO51" i="2"/>
  <c r="CB51" i="2"/>
  <c r="BO51" i="2"/>
  <c r="BB51" i="2"/>
  <c r="AO51" i="2"/>
  <c r="AB51" i="2"/>
  <c r="O51" i="2"/>
  <c r="FO50" i="2"/>
  <c r="FB50" i="2"/>
  <c r="EO50" i="2"/>
  <c r="EB50" i="2"/>
  <c r="DO50" i="2"/>
  <c r="DB50" i="2"/>
  <c r="CO50" i="2"/>
  <c r="CB50" i="2"/>
  <c r="BO50" i="2"/>
  <c r="BB50" i="2"/>
  <c r="AO50" i="2"/>
  <c r="AB50" i="2"/>
  <c r="O50" i="2"/>
  <c r="FO49" i="2"/>
  <c r="FB49" i="2"/>
  <c r="EO49" i="2"/>
  <c r="EB49" i="2"/>
  <c r="DO49" i="2"/>
  <c r="DB49" i="2"/>
  <c r="CO49" i="2"/>
  <c r="CB49" i="2"/>
  <c r="BO49" i="2"/>
  <c r="BB49" i="2"/>
  <c r="AO49" i="2"/>
  <c r="AB49" i="2"/>
  <c r="O49" i="2"/>
  <c r="FO48" i="2"/>
  <c r="FO157" i="2" s="1"/>
  <c r="FB48" i="2"/>
  <c r="EO48" i="2"/>
  <c r="EB48" i="2"/>
  <c r="DO48" i="2"/>
  <c r="DB48" i="2"/>
  <c r="CO48" i="2"/>
  <c r="CB48" i="2"/>
  <c r="BO48" i="2"/>
  <c r="BB48" i="2"/>
  <c r="AO48" i="2"/>
  <c r="AB48" i="2"/>
  <c r="O48" i="2"/>
  <c r="FO47" i="2"/>
  <c r="FB47" i="2"/>
  <c r="EO47" i="2"/>
  <c r="EB47" i="2"/>
  <c r="DO47" i="2"/>
  <c r="DO53" i="2" s="1"/>
  <c r="DB47" i="2"/>
  <c r="CO47" i="2"/>
  <c r="CB47" i="2"/>
  <c r="BO47" i="2"/>
  <c r="BB47" i="2"/>
  <c r="BB53" i="2" s="1"/>
  <c r="AO47" i="2"/>
  <c r="AB47" i="2"/>
  <c r="AB53" i="2" s="1"/>
  <c r="O47" i="2"/>
  <c r="FN38" i="2"/>
  <c r="FM38" i="2"/>
  <c r="FL38" i="2"/>
  <c r="FK38" i="2"/>
  <c r="FJ38" i="2"/>
  <c r="FI38" i="2"/>
  <c r="FH38" i="2"/>
  <c r="FG38" i="2"/>
  <c r="FF38" i="2"/>
  <c r="FE38" i="2"/>
  <c r="FD38" i="2"/>
  <c r="FC38" i="2"/>
  <c r="FA38" i="2"/>
  <c r="EZ38" i="2"/>
  <c r="EY38" i="2"/>
  <c r="EX38" i="2"/>
  <c r="EW38" i="2"/>
  <c r="EV38" i="2"/>
  <c r="EU38" i="2"/>
  <c r="ET38" i="2"/>
  <c r="ES38" i="2"/>
  <c r="ER38" i="2"/>
  <c r="EQ38" i="2"/>
  <c r="EP38" i="2"/>
  <c r="EN38" i="2"/>
  <c r="N35" i="3" s="1"/>
  <c r="EM38" i="2"/>
  <c r="M35" i="3" s="1"/>
  <c r="EL38" i="2"/>
  <c r="L35" i="3" s="1"/>
  <c r="EK38" i="2"/>
  <c r="K35" i="3" s="1"/>
  <c r="EJ38" i="2"/>
  <c r="J35" i="3" s="1"/>
  <c r="EI38" i="2"/>
  <c r="EH38" i="2"/>
  <c r="EG38" i="2"/>
  <c r="EF38" i="2"/>
  <c r="F35" i="3" s="1"/>
  <c r="EE38" i="2"/>
  <c r="E35" i="3" s="1"/>
  <c r="ED38" i="2"/>
  <c r="D35" i="3" s="1"/>
  <c r="EC38" i="2"/>
  <c r="C35" i="3" s="1"/>
  <c r="EA38" i="2"/>
  <c r="DZ38" i="2"/>
  <c r="DY38" i="2"/>
  <c r="DX38" i="2"/>
  <c r="DW38" i="2"/>
  <c r="DV38" i="2"/>
  <c r="DU38" i="2"/>
  <c r="DT38" i="2"/>
  <c r="DS38" i="2"/>
  <c r="DR38" i="2"/>
  <c r="DQ38" i="2"/>
  <c r="DP38" i="2"/>
  <c r="DN38" i="2"/>
  <c r="DM38" i="2"/>
  <c r="DL38" i="2"/>
  <c r="DK38" i="2"/>
  <c r="DJ38" i="2"/>
  <c r="DI38" i="2"/>
  <c r="DH38" i="2"/>
  <c r="DG38" i="2"/>
  <c r="DF38" i="2"/>
  <c r="DE38" i="2"/>
  <c r="DD38" i="2"/>
  <c r="DC38" i="2"/>
  <c r="DA38" i="2"/>
  <c r="CZ38" i="2"/>
  <c r="CY38" i="2"/>
  <c r="CX38" i="2"/>
  <c r="CW38" i="2"/>
  <c r="CV38" i="2"/>
  <c r="CU38" i="2"/>
  <c r="CT38" i="2"/>
  <c r="CS38" i="2"/>
  <c r="CR38" i="2"/>
  <c r="CQ38" i="2"/>
  <c r="CP38" i="2"/>
  <c r="CN38" i="2"/>
  <c r="CM38" i="2"/>
  <c r="CL38" i="2"/>
  <c r="CK38" i="2"/>
  <c r="CJ38" i="2"/>
  <c r="CI38" i="2"/>
  <c r="CH38" i="2"/>
  <c r="CG38" i="2"/>
  <c r="CF38" i="2"/>
  <c r="CE38" i="2"/>
  <c r="CD38" i="2"/>
  <c r="CC38" i="2"/>
  <c r="CA38" i="2"/>
  <c r="BZ38" i="2"/>
  <c r="BY38" i="2"/>
  <c r="BX38" i="2"/>
  <c r="BW38" i="2"/>
  <c r="BV38" i="2"/>
  <c r="BU38" i="2"/>
  <c r="BT38" i="2"/>
  <c r="BS38" i="2"/>
  <c r="BR38" i="2"/>
  <c r="BQ38" i="2"/>
  <c r="BP38" i="2"/>
  <c r="BN38" i="2"/>
  <c r="BM38" i="2"/>
  <c r="BL38" i="2"/>
  <c r="BK38" i="2"/>
  <c r="BJ38" i="2"/>
  <c r="BI38" i="2"/>
  <c r="BH38" i="2"/>
  <c r="BG38" i="2"/>
  <c r="BF38" i="2"/>
  <c r="BE38" i="2"/>
  <c r="BD38" i="2"/>
  <c r="BC38" i="2"/>
  <c r="BA38" i="2"/>
  <c r="AZ38" i="2"/>
  <c r="AY38" i="2"/>
  <c r="AX38" i="2"/>
  <c r="AW38" i="2"/>
  <c r="AV38" i="2"/>
  <c r="AU38" i="2"/>
  <c r="AT38" i="2"/>
  <c r="AS38" i="2"/>
  <c r="AR38" i="2"/>
  <c r="AQ38" i="2"/>
  <c r="AP38" i="2"/>
  <c r="AN38" i="2"/>
  <c r="AM38" i="2"/>
  <c r="AL38" i="2"/>
  <c r="AK38" i="2"/>
  <c r="AJ38" i="2"/>
  <c r="AI38" i="2"/>
  <c r="AH38" i="2"/>
  <c r="AG38" i="2"/>
  <c r="AF38" i="2"/>
  <c r="AE38" i="2"/>
  <c r="AD38" i="2"/>
  <c r="AC38" i="2"/>
  <c r="AA38" i="2"/>
  <c r="Z38" i="2"/>
  <c r="Y38" i="2"/>
  <c r="X38" i="2"/>
  <c r="W38" i="2"/>
  <c r="V38" i="2"/>
  <c r="U38" i="2"/>
  <c r="T38" i="2"/>
  <c r="S38" i="2"/>
  <c r="R38" i="2"/>
  <c r="Q38" i="2"/>
  <c r="P38" i="2"/>
  <c r="N38" i="2"/>
  <c r="M38" i="2"/>
  <c r="L38" i="2"/>
  <c r="K38" i="2"/>
  <c r="J38" i="2"/>
  <c r="I38" i="2"/>
  <c r="H38" i="2"/>
  <c r="G38" i="2"/>
  <c r="F38" i="2"/>
  <c r="E38" i="2"/>
  <c r="D38" i="2"/>
  <c r="C38" i="2"/>
  <c r="FO37" i="2"/>
  <c r="FB37" i="2"/>
  <c r="EO37" i="2"/>
  <c r="D27" i="3" s="1"/>
  <c r="J27" i="3" s="1"/>
  <c r="EB37" i="2"/>
  <c r="DO37" i="2"/>
  <c r="DB37" i="2"/>
  <c r="CO37" i="2"/>
  <c r="CB37" i="2"/>
  <c r="BO37" i="2"/>
  <c r="BB37" i="2"/>
  <c r="AO37" i="2"/>
  <c r="AB37" i="2"/>
  <c r="O37" i="2"/>
  <c r="FO36" i="2"/>
  <c r="FB36" i="2"/>
  <c r="EO36" i="2"/>
  <c r="D26" i="3" s="1"/>
  <c r="EB36" i="2"/>
  <c r="DO36" i="2"/>
  <c r="DB36" i="2"/>
  <c r="CO36" i="2"/>
  <c r="CB36" i="2"/>
  <c r="BO36" i="2"/>
  <c r="BB36" i="2"/>
  <c r="AO36" i="2"/>
  <c r="AB36" i="2"/>
  <c r="O36" i="2"/>
  <c r="FO35" i="2"/>
  <c r="FB35" i="2"/>
  <c r="EO35" i="2"/>
  <c r="D25" i="3" s="1"/>
  <c r="EB35" i="2"/>
  <c r="DO35" i="2"/>
  <c r="DB35" i="2"/>
  <c r="CO35" i="2"/>
  <c r="CB35" i="2"/>
  <c r="CB38" i="2" s="1"/>
  <c r="BO35" i="2"/>
  <c r="BB35" i="2"/>
  <c r="BB38" i="2" s="1"/>
  <c r="AO35" i="2"/>
  <c r="AB35" i="2"/>
  <c r="O35" i="2"/>
  <c r="FO34" i="2"/>
  <c r="FB34" i="2"/>
  <c r="EO34" i="2"/>
  <c r="EB34" i="2"/>
  <c r="DO34" i="2"/>
  <c r="DB34" i="2"/>
  <c r="CO34" i="2"/>
  <c r="CB34" i="2"/>
  <c r="BO34" i="2"/>
  <c r="BB34" i="2"/>
  <c r="AO34" i="2"/>
  <c r="AB34" i="2"/>
  <c r="O34" i="2"/>
  <c r="FO33" i="2"/>
  <c r="FB33" i="2"/>
  <c r="EO33" i="2"/>
  <c r="D23" i="3" s="1"/>
  <c r="EB33" i="2"/>
  <c r="DO33" i="2"/>
  <c r="DB33" i="2"/>
  <c r="DB38" i="2" s="1"/>
  <c r="CO33" i="2"/>
  <c r="CB33" i="2"/>
  <c r="BO33" i="2"/>
  <c r="BB33" i="2"/>
  <c r="AO33" i="2"/>
  <c r="AB33" i="2"/>
  <c r="O33" i="2"/>
  <c r="FO32" i="2"/>
  <c r="FB32" i="2"/>
  <c r="FB38" i="2" s="1"/>
  <c r="EO32" i="2"/>
  <c r="EO38" i="2" s="1"/>
  <c r="EB32" i="2"/>
  <c r="EB38" i="2" s="1"/>
  <c r="DO32" i="2"/>
  <c r="DO38" i="2" s="1"/>
  <c r="DB32" i="2"/>
  <c r="CO32" i="2"/>
  <c r="CB32" i="2"/>
  <c r="BO32" i="2"/>
  <c r="BB32" i="2"/>
  <c r="AO32" i="2"/>
  <c r="AB32" i="2"/>
  <c r="O32" i="2"/>
  <c r="FN26" i="2"/>
  <c r="FM26" i="2"/>
  <c r="FL26" i="2"/>
  <c r="FK26" i="2"/>
  <c r="FJ26" i="2"/>
  <c r="FI26" i="2"/>
  <c r="FH26" i="2"/>
  <c r="FG26" i="2"/>
  <c r="FF26" i="2"/>
  <c r="FE26" i="2"/>
  <c r="FD26" i="2"/>
  <c r="FC26" i="2"/>
  <c r="FA26" i="2"/>
  <c r="EZ26" i="2"/>
  <c r="EY26" i="2"/>
  <c r="EX26" i="2"/>
  <c r="EW26" i="2"/>
  <c r="EV26" i="2"/>
  <c r="EU26" i="2"/>
  <c r="ET26" i="2"/>
  <c r="ES26" i="2"/>
  <c r="ER26" i="2"/>
  <c r="EQ26" i="2"/>
  <c r="EP26" i="2"/>
  <c r="EN26" i="2"/>
  <c r="N34" i="3" s="1"/>
  <c r="N36" i="3" s="1"/>
  <c r="EM26" i="2"/>
  <c r="M34" i="3" s="1"/>
  <c r="M36" i="3" s="1"/>
  <c r="EL26" i="2"/>
  <c r="L34" i="3" s="1"/>
  <c r="L36" i="3" s="1"/>
  <c r="EK26" i="2"/>
  <c r="K34" i="3" s="1"/>
  <c r="EJ26" i="2"/>
  <c r="J34" i="3" s="1"/>
  <c r="J36" i="3" s="1"/>
  <c r="EI26" i="2"/>
  <c r="EH26" i="2"/>
  <c r="EG26" i="2"/>
  <c r="G34" i="3" s="1"/>
  <c r="G36" i="3" s="1"/>
  <c r="EF26" i="2"/>
  <c r="F34" i="3" s="1"/>
  <c r="EE26" i="2"/>
  <c r="E34" i="3" s="1"/>
  <c r="ED26" i="2"/>
  <c r="D34" i="3" s="1"/>
  <c r="EC26" i="2"/>
  <c r="C34" i="3" s="1"/>
  <c r="C36" i="3" s="1"/>
  <c r="EA26" i="2"/>
  <c r="DZ26" i="2"/>
  <c r="DY26" i="2"/>
  <c r="DX26" i="2"/>
  <c r="DW26" i="2"/>
  <c r="DV26" i="2"/>
  <c r="DU26" i="2"/>
  <c r="DT26" i="2"/>
  <c r="DS26" i="2"/>
  <c r="DR26" i="2"/>
  <c r="DQ26" i="2"/>
  <c r="DP26" i="2"/>
  <c r="DN26" i="2"/>
  <c r="DM26" i="2"/>
  <c r="DL26" i="2"/>
  <c r="DK26" i="2"/>
  <c r="DJ26" i="2"/>
  <c r="DI26" i="2"/>
  <c r="DH26" i="2"/>
  <c r="DG26" i="2"/>
  <c r="DF26" i="2"/>
  <c r="DE26" i="2"/>
  <c r="DD26" i="2"/>
  <c r="DC26" i="2"/>
  <c r="CZ26" i="2"/>
  <c r="CY26" i="2"/>
  <c r="CX26" i="2"/>
  <c r="CW26" i="2"/>
  <c r="CV26" i="2"/>
  <c r="CU26" i="2"/>
  <c r="CT26" i="2"/>
  <c r="CS26" i="2"/>
  <c r="CR26" i="2"/>
  <c r="CQ26" i="2"/>
  <c r="CP26" i="2"/>
  <c r="CN26" i="2"/>
  <c r="CM26" i="2"/>
  <c r="CL26" i="2"/>
  <c r="CK26" i="2"/>
  <c r="CJ26" i="2"/>
  <c r="CI26" i="2"/>
  <c r="CH26" i="2"/>
  <c r="CG26" i="2"/>
  <c r="CF26" i="2"/>
  <c r="CE26" i="2"/>
  <c r="CD26" i="2"/>
  <c r="CC26" i="2"/>
  <c r="CA26" i="2"/>
  <c r="BZ26" i="2"/>
  <c r="BY26" i="2"/>
  <c r="BX26" i="2"/>
  <c r="BW26" i="2"/>
  <c r="BV26" i="2"/>
  <c r="BU26" i="2"/>
  <c r="BT26" i="2"/>
  <c r="BS26" i="2"/>
  <c r="BR26" i="2"/>
  <c r="BQ26" i="2"/>
  <c r="BP26" i="2"/>
  <c r="BN26" i="2"/>
  <c r="BM26" i="2"/>
  <c r="BL26" i="2"/>
  <c r="BK26" i="2"/>
  <c r="BJ26" i="2"/>
  <c r="BI26" i="2"/>
  <c r="BH26" i="2"/>
  <c r="BG26" i="2"/>
  <c r="BF26" i="2"/>
  <c r="BE26" i="2"/>
  <c r="BD26" i="2"/>
  <c r="BC26" i="2"/>
  <c r="BA26" i="2"/>
  <c r="AZ26" i="2"/>
  <c r="AY26" i="2"/>
  <c r="AX26" i="2"/>
  <c r="AW26" i="2"/>
  <c r="AV26" i="2"/>
  <c r="AU26" i="2"/>
  <c r="AT26" i="2"/>
  <c r="AS26" i="2"/>
  <c r="AR26" i="2"/>
  <c r="AQ26" i="2"/>
  <c r="AP26" i="2"/>
  <c r="AN26" i="2"/>
  <c r="AM26" i="2"/>
  <c r="AL26" i="2"/>
  <c r="AK26" i="2"/>
  <c r="AJ26" i="2"/>
  <c r="AI26" i="2"/>
  <c r="AH26" i="2"/>
  <c r="AG26" i="2"/>
  <c r="AF26" i="2"/>
  <c r="AE26" i="2"/>
  <c r="AD26" i="2"/>
  <c r="AC26" i="2"/>
  <c r="AA26" i="2"/>
  <c r="Z26" i="2"/>
  <c r="Y26" i="2"/>
  <c r="X26" i="2"/>
  <c r="W26" i="2"/>
  <c r="V26" i="2"/>
  <c r="U26" i="2"/>
  <c r="T26" i="2"/>
  <c r="S26" i="2"/>
  <c r="R26" i="2"/>
  <c r="Q26" i="2"/>
  <c r="P26" i="2"/>
  <c r="N26" i="2"/>
  <c r="M26" i="2"/>
  <c r="L26" i="2"/>
  <c r="K26" i="2"/>
  <c r="J26" i="2"/>
  <c r="I26" i="2"/>
  <c r="H26" i="2"/>
  <c r="G26" i="2"/>
  <c r="F26" i="2"/>
  <c r="E26" i="2"/>
  <c r="D26" i="2"/>
  <c r="C26" i="2"/>
  <c r="FO25" i="2"/>
  <c r="FB25" i="2"/>
  <c r="EO25" i="2"/>
  <c r="C27" i="3" s="1"/>
  <c r="I27" i="3" s="1"/>
  <c r="EB25" i="2"/>
  <c r="DO25" i="2"/>
  <c r="DA25" i="2"/>
  <c r="DB25" i="2" s="1"/>
  <c r="CO25" i="2"/>
  <c r="CB25" i="2"/>
  <c r="BO25" i="2"/>
  <c r="BB25" i="2"/>
  <c r="AO25" i="2"/>
  <c r="AB25" i="2"/>
  <c r="O25" i="2"/>
  <c r="FO24" i="2"/>
  <c r="FB24" i="2"/>
  <c r="EO24" i="2"/>
  <c r="C26" i="3" s="1"/>
  <c r="EB24" i="2"/>
  <c r="DO24" i="2"/>
  <c r="DB24" i="2"/>
  <c r="DA24" i="2"/>
  <c r="CO24" i="2"/>
  <c r="CB24" i="2"/>
  <c r="BO24" i="2"/>
  <c r="BB24" i="2"/>
  <c r="AO24" i="2"/>
  <c r="AB24" i="2"/>
  <c r="O24" i="2"/>
  <c r="FO23" i="2"/>
  <c r="FB23" i="2"/>
  <c r="EO23" i="2"/>
  <c r="C25" i="3" s="1"/>
  <c r="I25" i="3" s="1"/>
  <c r="EB23" i="2"/>
  <c r="DO23" i="2"/>
  <c r="DA23" i="2"/>
  <c r="DB23" i="2" s="1"/>
  <c r="CO23" i="2"/>
  <c r="CB23" i="2"/>
  <c r="BO23" i="2"/>
  <c r="BB23" i="2"/>
  <c r="AO23" i="2"/>
  <c r="AB23" i="2"/>
  <c r="O23" i="2"/>
  <c r="FO22" i="2"/>
  <c r="FB22" i="2"/>
  <c r="EO22" i="2"/>
  <c r="C24" i="3" s="1"/>
  <c r="I24" i="3" s="1"/>
  <c r="EB22" i="2"/>
  <c r="DO22" i="2"/>
  <c r="DB22" i="2"/>
  <c r="DA22" i="2"/>
  <c r="CO22" i="2"/>
  <c r="CB22" i="2"/>
  <c r="BO22" i="2"/>
  <c r="BB22" i="2"/>
  <c r="AO22" i="2"/>
  <c r="AB22" i="2"/>
  <c r="O22" i="2"/>
  <c r="FO21" i="2"/>
  <c r="FB21" i="2"/>
  <c r="EO21" i="2"/>
  <c r="C23" i="3" s="1"/>
  <c r="EB21" i="2"/>
  <c r="DO21" i="2"/>
  <c r="DA21" i="2"/>
  <c r="DB21" i="2" s="1"/>
  <c r="CO21" i="2"/>
  <c r="CB21" i="2"/>
  <c r="BO21" i="2"/>
  <c r="BB21" i="2"/>
  <c r="AO21" i="2"/>
  <c r="AB21" i="2"/>
  <c r="O21" i="2"/>
  <c r="FO20" i="2"/>
  <c r="FB20" i="2"/>
  <c r="EO20" i="2"/>
  <c r="C22" i="3" s="1"/>
  <c r="EB20" i="2"/>
  <c r="DO20" i="2"/>
  <c r="DO26" i="2" s="1"/>
  <c r="DA20" i="2"/>
  <c r="DB20" i="2" s="1"/>
  <c r="CO20" i="2"/>
  <c r="CO26" i="2" s="1"/>
  <c r="CB20" i="2"/>
  <c r="BO20" i="2"/>
  <c r="BB20" i="2"/>
  <c r="AO20" i="2"/>
  <c r="AB20" i="2"/>
  <c r="O20" i="2"/>
  <c r="FN14" i="2"/>
  <c r="FM14" i="2"/>
  <c r="FL14" i="2"/>
  <c r="FK14" i="2"/>
  <c r="FJ14" i="2"/>
  <c r="FI14" i="2"/>
  <c r="FH14" i="2"/>
  <c r="FG14" i="2"/>
  <c r="FF14" i="2"/>
  <c r="FE14" i="2"/>
  <c r="FD14" i="2"/>
  <c r="FC14" i="2"/>
  <c r="FA14" i="2"/>
  <c r="EZ14" i="2"/>
  <c r="EY14" i="2"/>
  <c r="EX14" i="2"/>
  <c r="EW14" i="2"/>
  <c r="EV14" i="2"/>
  <c r="EU14" i="2"/>
  <c r="ET14" i="2"/>
  <c r="ES14" i="2"/>
  <c r="ER14" i="2"/>
  <c r="EQ14" i="2"/>
  <c r="EP14" i="2"/>
  <c r="EN14" i="2"/>
  <c r="N33" i="3" s="1"/>
  <c r="EM14" i="2"/>
  <c r="M33" i="3" s="1"/>
  <c r="EL14" i="2"/>
  <c r="L33" i="3" s="1"/>
  <c r="EK14" i="2"/>
  <c r="K33" i="3" s="1"/>
  <c r="EJ14" i="2"/>
  <c r="J33" i="3" s="1"/>
  <c r="EI14" i="2"/>
  <c r="EH14" i="2"/>
  <c r="H33" i="3" s="1"/>
  <c r="EG14" i="2"/>
  <c r="G33" i="3" s="1"/>
  <c r="EF14" i="2"/>
  <c r="F33" i="3" s="1"/>
  <c r="EE14" i="2"/>
  <c r="E33" i="3" s="1"/>
  <c r="ED14" i="2"/>
  <c r="D33" i="3" s="1"/>
  <c r="EC14" i="2"/>
  <c r="C33" i="3" s="1"/>
  <c r="EA14" i="2"/>
  <c r="DZ14" i="2"/>
  <c r="DY14" i="2"/>
  <c r="DX14" i="2"/>
  <c r="DW14" i="2"/>
  <c r="DV14" i="2"/>
  <c r="DU14" i="2"/>
  <c r="DT14" i="2"/>
  <c r="DS14" i="2"/>
  <c r="DR14" i="2"/>
  <c r="DQ14" i="2"/>
  <c r="DP14" i="2"/>
  <c r="DA14" i="2"/>
  <c r="CT14" i="2"/>
  <c r="CO14" i="2"/>
  <c r="CN14" i="2"/>
  <c r="CM14" i="2"/>
  <c r="CL14" i="2"/>
  <c r="CK14" i="2"/>
  <c r="CJ14" i="2"/>
  <c r="CI14" i="2"/>
  <c r="CH14" i="2"/>
  <c r="CG14" i="2"/>
  <c r="CF14" i="2"/>
  <c r="CE14" i="2"/>
  <c r="CD14" i="2"/>
  <c r="CC14" i="2"/>
  <c r="CA14" i="2"/>
  <c r="BZ14" i="2"/>
  <c r="BY14" i="2"/>
  <c r="BX14" i="2"/>
  <c r="BW14" i="2"/>
  <c r="BV14" i="2"/>
  <c r="BU14" i="2"/>
  <c r="BT14" i="2"/>
  <c r="BS14" i="2"/>
  <c r="BR14" i="2"/>
  <c r="BQ14" i="2"/>
  <c r="BP14" i="2"/>
  <c r="BN14" i="2"/>
  <c r="BM14" i="2"/>
  <c r="BL14" i="2"/>
  <c r="BK14" i="2"/>
  <c r="BJ14" i="2"/>
  <c r="BI14" i="2"/>
  <c r="BH14" i="2"/>
  <c r="BG14" i="2"/>
  <c r="BF14" i="2"/>
  <c r="BE14" i="2"/>
  <c r="BD14" i="2"/>
  <c r="BC14" i="2"/>
  <c r="BA14" i="2"/>
  <c r="AZ14" i="2"/>
  <c r="AY14" i="2"/>
  <c r="AX14" i="2"/>
  <c r="AW14" i="2"/>
  <c r="AV14" i="2"/>
  <c r="AU14" i="2"/>
  <c r="AT14" i="2"/>
  <c r="AS14" i="2"/>
  <c r="AR14" i="2"/>
  <c r="AQ14" i="2"/>
  <c r="AP14" i="2"/>
  <c r="AN14" i="2"/>
  <c r="AM14" i="2"/>
  <c r="AL14" i="2"/>
  <c r="AK14" i="2"/>
  <c r="AJ14" i="2"/>
  <c r="AI14" i="2"/>
  <c r="AH14" i="2"/>
  <c r="AG14" i="2"/>
  <c r="AF14" i="2"/>
  <c r="AE14" i="2"/>
  <c r="AD14" i="2"/>
  <c r="AC14" i="2"/>
  <c r="AA14" i="2"/>
  <c r="Z14" i="2"/>
  <c r="Y14" i="2"/>
  <c r="X14" i="2"/>
  <c r="W14" i="2"/>
  <c r="V14" i="2"/>
  <c r="U14" i="2"/>
  <c r="T14" i="2"/>
  <c r="S14" i="2"/>
  <c r="R14" i="2"/>
  <c r="Q14" i="2"/>
  <c r="P14" i="2"/>
  <c r="N14" i="2"/>
  <c r="M14" i="2"/>
  <c r="L14" i="2"/>
  <c r="K14" i="2"/>
  <c r="J14" i="2"/>
  <c r="I14" i="2"/>
  <c r="H14" i="2"/>
  <c r="G14" i="2"/>
  <c r="F14" i="2"/>
  <c r="E14" i="2"/>
  <c r="D14" i="2"/>
  <c r="C14" i="2"/>
  <c r="FO13" i="2"/>
  <c r="FO161" i="2" s="1"/>
  <c r="FB13" i="2"/>
  <c r="FB161" i="2" s="1"/>
  <c r="EO13" i="2"/>
  <c r="EB13" i="2"/>
  <c r="DN13" i="2"/>
  <c r="DN161" i="2" s="1"/>
  <c r="DM13" i="2"/>
  <c r="DM161" i="2" s="1"/>
  <c r="DL13" i="2"/>
  <c r="DL161" i="2" s="1"/>
  <c r="DK13" i="2"/>
  <c r="DK161" i="2" s="1"/>
  <c r="DJ13" i="2"/>
  <c r="DJ161" i="2" s="1"/>
  <c r="DI13" i="2"/>
  <c r="DI161" i="2" s="1"/>
  <c r="DH13" i="2"/>
  <c r="DH161" i="2" s="1"/>
  <c r="DG13" i="2"/>
  <c r="DG161" i="2" s="1"/>
  <c r="DF13" i="2"/>
  <c r="DF161" i="2" s="1"/>
  <c r="DE13" i="2"/>
  <c r="DE161" i="2" s="1"/>
  <c r="DD13" i="2"/>
  <c r="DD161" i="2" s="1"/>
  <c r="DC13" i="2"/>
  <c r="DC161" i="2" s="1"/>
  <c r="DA13" i="2"/>
  <c r="DA161" i="2" s="1"/>
  <c r="CZ13" i="2"/>
  <c r="CZ161" i="2" s="1"/>
  <c r="CY13" i="2"/>
  <c r="CY161" i="2" s="1"/>
  <c r="CX13" i="2"/>
  <c r="CX161" i="2" s="1"/>
  <c r="CW13" i="2"/>
  <c r="CW161" i="2" s="1"/>
  <c r="CV13" i="2"/>
  <c r="CV161" i="2" s="1"/>
  <c r="CU13" i="2"/>
  <c r="CU161" i="2" s="1"/>
  <c r="CT13" i="2"/>
  <c r="CT161" i="2" s="1"/>
  <c r="CS13" i="2"/>
  <c r="CS161" i="2" s="1"/>
  <c r="CR13" i="2"/>
  <c r="CR161" i="2" s="1"/>
  <c r="CQ13" i="2"/>
  <c r="CQ161" i="2" s="1"/>
  <c r="CP13" i="2"/>
  <c r="CP161" i="2" s="1"/>
  <c r="CO13" i="2"/>
  <c r="CO161" i="2" s="1"/>
  <c r="CB13" i="2"/>
  <c r="BO13" i="2"/>
  <c r="BB13" i="2"/>
  <c r="BB161" i="2" s="1"/>
  <c r="AO13" i="2"/>
  <c r="AO161" i="2" s="1"/>
  <c r="AB13" i="2"/>
  <c r="AB161" i="2" s="1"/>
  <c r="O13" i="2"/>
  <c r="O161" i="2" s="1"/>
  <c r="FO12" i="2"/>
  <c r="FO160" i="2" s="1"/>
  <c r="FB12" i="2"/>
  <c r="FB160" i="2" s="1"/>
  <c r="EO12" i="2"/>
  <c r="EB12" i="2"/>
  <c r="DN12" i="2"/>
  <c r="DN160" i="2" s="1"/>
  <c r="DM12" i="2"/>
  <c r="DM160" i="2" s="1"/>
  <c r="DL12" i="2"/>
  <c r="DL160" i="2" s="1"/>
  <c r="DK12" i="2"/>
  <c r="DK160" i="2" s="1"/>
  <c r="DJ12" i="2"/>
  <c r="DJ160" i="2" s="1"/>
  <c r="DI12" i="2"/>
  <c r="DI160" i="2" s="1"/>
  <c r="DH12" i="2"/>
  <c r="DH160" i="2" s="1"/>
  <c r="DG12" i="2"/>
  <c r="DG160" i="2" s="1"/>
  <c r="DF12" i="2"/>
  <c r="DF160" i="2" s="1"/>
  <c r="DE12" i="2"/>
  <c r="DE160" i="2" s="1"/>
  <c r="DD12" i="2"/>
  <c r="DD160" i="2" s="1"/>
  <c r="DC12" i="2"/>
  <c r="DC160" i="2" s="1"/>
  <c r="DB12" i="2"/>
  <c r="DB160" i="2" s="1"/>
  <c r="DA12" i="2"/>
  <c r="CZ12" i="2"/>
  <c r="CZ160" i="2" s="1"/>
  <c r="CY12" i="2"/>
  <c r="CY160" i="2" s="1"/>
  <c r="CX12" i="2"/>
  <c r="CX160" i="2" s="1"/>
  <c r="CW12" i="2"/>
  <c r="CW160" i="2" s="1"/>
  <c r="CV12" i="2"/>
  <c r="CV160" i="2" s="1"/>
  <c r="CU12" i="2"/>
  <c r="CU160" i="2" s="1"/>
  <c r="CT12" i="2"/>
  <c r="CS12" i="2"/>
  <c r="CS160" i="2" s="1"/>
  <c r="CR12" i="2"/>
  <c r="CR160" i="2" s="1"/>
  <c r="CQ12" i="2"/>
  <c r="CQ160" i="2" s="1"/>
  <c r="CP12" i="2"/>
  <c r="CP160" i="2" s="1"/>
  <c r="CO12" i="2"/>
  <c r="CO160" i="2" s="1"/>
  <c r="CB12" i="2"/>
  <c r="CB160" i="2" s="1"/>
  <c r="BO12" i="2"/>
  <c r="BO160" i="2" s="1"/>
  <c r="BB12" i="2"/>
  <c r="BB160" i="2" s="1"/>
  <c r="AO12" i="2"/>
  <c r="AO160" i="2" s="1"/>
  <c r="AB12" i="2"/>
  <c r="AB160" i="2" s="1"/>
  <c r="O12" i="2"/>
  <c r="O160" i="2" s="1"/>
  <c r="FO11" i="2"/>
  <c r="FO159" i="2" s="1"/>
  <c r="FB11" i="2"/>
  <c r="EO11" i="2"/>
  <c r="EB11" i="2"/>
  <c r="DO11" i="2"/>
  <c r="DO159" i="2" s="1"/>
  <c r="DN11" i="2"/>
  <c r="DN159" i="2" s="1"/>
  <c r="DM11" i="2"/>
  <c r="DM159" i="2" s="1"/>
  <c r="DL11" i="2"/>
  <c r="DL159" i="2" s="1"/>
  <c r="DK11" i="2"/>
  <c r="DK159" i="2" s="1"/>
  <c r="DJ11" i="2"/>
  <c r="DJ159" i="2" s="1"/>
  <c r="DI11" i="2"/>
  <c r="DI159" i="2" s="1"/>
  <c r="DH11" i="2"/>
  <c r="DG11" i="2"/>
  <c r="DG159" i="2" s="1"/>
  <c r="DF11" i="2"/>
  <c r="DF159" i="2" s="1"/>
  <c r="DE11" i="2"/>
  <c r="DE159" i="2" s="1"/>
  <c r="DD11" i="2"/>
  <c r="DD159" i="2" s="1"/>
  <c r="DC11" i="2"/>
  <c r="DC159" i="2" s="1"/>
  <c r="DA11" i="2"/>
  <c r="DA159" i="2" s="1"/>
  <c r="CZ11" i="2"/>
  <c r="CZ159" i="2" s="1"/>
  <c r="CY11" i="2"/>
  <c r="CY159" i="2" s="1"/>
  <c r="CX11" i="2"/>
  <c r="CX159" i="2" s="1"/>
  <c r="CW11" i="2"/>
  <c r="CW159" i="2" s="1"/>
  <c r="CV11" i="2"/>
  <c r="CU11" i="2"/>
  <c r="CU159" i="2" s="1"/>
  <c r="CT11" i="2"/>
  <c r="CT159" i="2" s="1"/>
  <c r="CS11" i="2"/>
  <c r="CS159" i="2" s="1"/>
  <c r="CR11" i="2"/>
  <c r="CR159" i="2" s="1"/>
  <c r="CQ11" i="2"/>
  <c r="CQ159" i="2" s="1"/>
  <c r="CP11" i="2"/>
  <c r="CP159" i="2" s="1"/>
  <c r="CO11" i="2"/>
  <c r="CO159" i="2" s="1"/>
  <c r="CB11" i="2"/>
  <c r="CB159" i="2" s="1"/>
  <c r="BO11" i="2"/>
  <c r="BO159" i="2" s="1"/>
  <c r="BB11" i="2"/>
  <c r="BB159" i="2" s="1"/>
  <c r="AO11" i="2"/>
  <c r="AO159" i="2" s="1"/>
  <c r="AB11" i="2"/>
  <c r="AB159" i="2" s="1"/>
  <c r="O11" i="2"/>
  <c r="FO10" i="2"/>
  <c r="FO158" i="2" s="1"/>
  <c r="FB10" i="2"/>
  <c r="EO10" i="2"/>
  <c r="EB10" i="2"/>
  <c r="EB158" i="2" s="1"/>
  <c r="DN10" i="2"/>
  <c r="DO10" i="2" s="1"/>
  <c r="DM10" i="2"/>
  <c r="DM158" i="2" s="1"/>
  <c r="DL10" i="2"/>
  <c r="DL158" i="2" s="1"/>
  <c r="DK10" i="2"/>
  <c r="DK158" i="2" s="1"/>
  <c r="DJ10" i="2"/>
  <c r="DJ158" i="2" s="1"/>
  <c r="DI10" i="2"/>
  <c r="DI158" i="2" s="1"/>
  <c r="DH10" i="2"/>
  <c r="DH158" i="2" s="1"/>
  <c r="DG10" i="2"/>
  <c r="DG158" i="2" s="1"/>
  <c r="DF10" i="2"/>
  <c r="DF158" i="2" s="1"/>
  <c r="DE10" i="2"/>
  <c r="DD10" i="2"/>
  <c r="DD158" i="2" s="1"/>
  <c r="DC10" i="2"/>
  <c r="DC158" i="2" s="1"/>
  <c r="DB10" i="2"/>
  <c r="DB158" i="2" s="1"/>
  <c r="DA10" i="2"/>
  <c r="DA158" i="2" s="1"/>
  <c r="CZ10" i="2"/>
  <c r="CZ158" i="2" s="1"/>
  <c r="CY10" i="2"/>
  <c r="CY158" i="2" s="1"/>
  <c r="CX10" i="2"/>
  <c r="CX158" i="2" s="1"/>
  <c r="CW10" i="2"/>
  <c r="CW158" i="2" s="1"/>
  <c r="CV10" i="2"/>
  <c r="CV158" i="2" s="1"/>
  <c r="CU10" i="2"/>
  <c r="CU158" i="2" s="1"/>
  <c r="CT10" i="2"/>
  <c r="CT158" i="2" s="1"/>
  <c r="CS10" i="2"/>
  <c r="CR10" i="2"/>
  <c r="CR158" i="2" s="1"/>
  <c r="CQ10" i="2"/>
  <c r="CQ158" i="2" s="1"/>
  <c r="CP10" i="2"/>
  <c r="CP158" i="2" s="1"/>
  <c r="CO10" i="2"/>
  <c r="CO158" i="2" s="1"/>
  <c r="CB10" i="2"/>
  <c r="CB158" i="2" s="1"/>
  <c r="BO10" i="2"/>
  <c r="BO158" i="2" s="1"/>
  <c r="BB10" i="2"/>
  <c r="BB158" i="2" s="1"/>
  <c r="AO10" i="2"/>
  <c r="AO158" i="2" s="1"/>
  <c r="AB10" i="2"/>
  <c r="AB158" i="2" s="1"/>
  <c r="O10" i="2"/>
  <c r="FO9" i="2"/>
  <c r="FB9" i="2"/>
  <c r="EO9" i="2"/>
  <c r="EO157" i="2" s="1"/>
  <c r="EB9" i="2"/>
  <c r="DO9" i="2"/>
  <c r="DO157" i="2" s="1"/>
  <c r="DN9" i="2"/>
  <c r="DN157" i="2" s="1"/>
  <c r="DM9" i="2"/>
  <c r="DM157" i="2" s="1"/>
  <c r="DL9" i="2"/>
  <c r="DK9" i="2"/>
  <c r="DK157" i="2" s="1"/>
  <c r="DJ9" i="2"/>
  <c r="DJ157" i="2" s="1"/>
  <c r="DI9" i="2"/>
  <c r="DI157" i="2" s="1"/>
  <c r="DH9" i="2"/>
  <c r="DH157" i="2" s="1"/>
  <c r="DG9" i="2"/>
  <c r="DG157" i="2" s="1"/>
  <c r="DF9" i="2"/>
  <c r="DF157" i="2" s="1"/>
  <c r="DE9" i="2"/>
  <c r="DE157" i="2" s="1"/>
  <c r="DD9" i="2"/>
  <c r="DD157" i="2" s="1"/>
  <c r="DC9" i="2"/>
  <c r="DC157" i="2" s="1"/>
  <c r="DA9" i="2"/>
  <c r="DB9" i="2" s="1"/>
  <c r="DB157" i="2" s="1"/>
  <c r="CZ9" i="2"/>
  <c r="CY9" i="2"/>
  <c r="CY157" i="2" s="1"/>
  <c r="CX9" i="2"/>
  <c r="CX157" i="2" s="1"/>
  <c r="CW9" i="2"/>
  <c r="CW157" i="2" s="1"/>
  <c r="CV9" i="2"/>
  <c r="CV157" i="2" s="1"/>
  <c r="CU9" i="2"/>
  <c r="CU157" i="2" s="1"/>
  <c r="CT9" i="2"/>
  <c r="CT157" i="2" s="1"/>
  <c r="CS9" i="2"/>
  <c r="CS157" i="2" s="1"/>
  <c r="CR9" i="2"/>
  <c r="CR157" i="2" s="1"/>
  <c r="CQ9" i="2"/>
  <c r="CQ157" i="2" s="1"/>
  <c r="CP9" i="2"/>
  <c r="CP157" i="2" s="1"/>
  <c r="CO9" i="2"/>
  <c r="CO157" i="2" s="1"/>
  <c r="CB9" i="2"/>
  <c r="CB157" i="2" s="1"/>
  <c r="BO9" i="2"/>
  <c r="BO157" i="2" s="1"/>
  <c r="BB9" i="2"/>
  <c r="BB157" i="2" s="1"/>
  <c r="AO9" i="2"/>
  <c r="AO157" i="2" s="1"/>
  <c r="AB9" i="2"/>
  <c r="AB157" i="2" s="1"/>
  <c r="O9" i="2"/>
  <c r="O157" i="2" s="1"/>
  <c r="FO8" i="2"/>
  <c r="FO14" i="2" s="1"/>
  <c r="FB8" i="2"/>
  <c r="FB156" i="2" s="1"/>
  <c r="EO8" i="2"/>
  <c r="EB8" i="2"/>
  <c r="EB156" i="2" s="1"/>
  <c r="DN8" i="2"/>
  <c r="DO8" i="2" s="1"/>
  <c r="DM8" i="2"/>
  <c r="DM156" i="2" s="1"/>
  <c r="DL8" i="2"/>
  <c r="DL156" i="2" s="1"/>
  <c r="DK8" i="2"/>
  <c r="DK156" i="2" s="1"/>
  <c r="DJ8" i="2"/>
  <c r="DJ156" i="2" s="1"/>
  <c r="DI8" i="2"/>
  <c r="DH8" i="2"/>
  <c r="DH156" i="2" s="1"/>
  <c r="DG8" i="2"/>
  <c r="DF8" i="2"/>
  <c r="DF156" i="2" s="1"/>
  <c r="DE8" i="2"/>
  <c r="DE156" i="2" s="1"/>
  <c r="DD8" i="2"/>
  <c r="DD156" i="2" s="1"/>
  <c r="DC8" i="2"/>
  <c r="DC156" i="2" s="1"/>
  <c r="DA8" i="2"/>
  <c r="DA156" i="2" s="1"/>
  <c r="CZ8" i="2"/>
  <c r="CZ156" i="2" s="1"/>
  <c r="CY8" i="2"/>
  <c r="CY156" i="2" s="1"/>
  <c r="CX8" i="2"/>
  <c r="CX156" i="2" s="1"/>
  <c r="CW8" i="2"/>
  <c r="CW14" i="2" s="1"/>
  <c r="CV8" i="2"/>
  <c r="CV156" i="2" s="1"/>
  <c r="CU8" i="2"/>
  <c r="CT8" i="2"/>
  <c r="CT156" i="2" s="1"/>
  <c r="CS8" i="2"/>
  <c r="CS156" i="2" s="1"/>
  <c r="CR8" i="2"/>
  <c r="CR156" i="2" s="1"/>
  <c r="CQ8" i="2"/>
  <c r="CQ156" i="2" s="1"/>
  <c r="CP8" i="2"/>
  <c r="CP14" i="2" s="1"/>
  <c r="CO8" i="2"/>
  <c r="CO156" i="2" s="1"/>
  <c r="CB8" i="2"/>
  <c r="CB156" i="2" s="1"/>
  <c r="BO8" i="2"/>
  <c r="BO156" i="2" s="1"/>
  <c r="BB8" i="2"/>
  <c r="BB156" i="2" s="1"/>
  <c r="AO8" i="2"/>
  <c r="AO14" i="2" s="1"/>
  <c r="AB8" i="2"/>
  <c r="AB156" i="2" s="1"/>
  <c r="O8" i="2"/>
  <c r="I26" i="3" l="1"/>
  <c r="E51" i="3"/>
  <c r="O35" i="3"/>
  <c r="F14" i="3"/>
  <c r="F17" i="3" s="1"/>
  <c r="F7" i="3" s="1"/>
  <c r="D49" i="3"/>
  <c r="D36" i="3"/>
  <c r="J25" i="3"/>
  <c r="L25" i="3" s="1"/>
  <c r="E36" i="3"/>
  <c r="J26" i="3"/>
  <c r="K26" i="3" s="1"/>
  <c r="K36" i="3"/>
  <c r="F36" i="3"/>
  <c r="G28" i="3"/>
  <c r="I23" i="3"/>
  <c r="L23" i="3" s="1"/>
  <c r="D28" i="3"/>
  <c r="CV14" i="2"/>
  <c r="O53" i="2"/>
  <c r="BO26" i="2"/>
  <c r="D45" i="3" s="1"/>
  <c r="FO26" i="2"/>
  <c r="CO38" i="2"/>
  <c r="AO65" i="2"/>
  <c r="O65" i="2"/>
  <c r="FO65" i="2"/>
  <c r="AO104" i="2"/>
  <c r="CO116" i="2"/>
  <c r="O14" i="2"/>
  <c r="CU14" i="2"/>
  <c r="DG14" i="2"/>
  <c r="O158" i="2"/>
  <c r="O159" i="2"/>
  <c r="DH14" i="2"/>
  <c r="CB26" i="2"/>
  <c r="D46" i="3" s="1"/>
  <c r="FB53" i="2"/>
  <c r="DB77" i="2"/>
  <c r="CB77" i="2"/>
  <c r="E46" i="3" s="1"/>
  <c r="DB116" i="2"/>
  <c r="E48" i="3" s="1"/>
  <c r="FB77" i="2"/>
  <c r="E52" i="3" s="1"/>
  <c r="EO77" i="2"/>
  <c r="F15" i="3" s="1"/>
  <c r="EB77" i="2"/>
  <c r="E50" i="3" s="1"/>
  <c r="I51" i="3" s="1"/>
  <c r="DI14" i="2"/>
  <c r="BB104" i="2"/>
  <c r="E28" i="3"/>
  <c r="DF14" i="2"/>
  <c r="DM14" i="2"/>
  <c r="O38" i="2"/>
  <c r="FO38" i="2"/>
  <c r="BO53" i="2"/>
  <c r="O77" i="2"/>
  <c r="FO77" i="2"/>
  <c r="DO77" i="2"/>
  <c r="E49" i="3" s="1"/>
  <c r="BO92" i="2"/>
  <c r="BB92" i="2"/>
  <c r="AO92" i="2"/>
  <c r="DI156" i="2"/>
  <c r="H22" i="3"/>
  <c r="H28" i="3" s="1"/>
  <c r="EO26" i="2"/>
  <c r="CB161" i="2"/>
  <c r="FB14" i="2"/>
  <c r="C52" i="3" s="1"/>
  <c r="FB26" i="2"/>
  <c r="D52" i="3" s="1"/>
  <c r="AB38" i="2"/>
  <c r="E42" i="3" s="1"/>
  <c r="CB53" i="2"/>
  <c r="EB65" i="2"/>
  <c r="CB92" i="2"/>
  <c r="AB92" i="2"/>
  <c r="EB104" i="2"/>
  <c r="DO104" i="2"/>
  <c r="DB104" i="2"/>
  <c r="DN156" i="2"/>
  <c r="CB65" i="2"/>
  <c r="CW156" i="2"/>
  <c r="DO158" i="2"/>
  <c r="O26" i="2"/>
  <c r="D41" i="3" s="1"/>
  <c r="CO53" i="2"/>
  <c r="C47" i="3" s="1"/>
  <c r="EO65" i="2"/>
  <c r="E15" i="3" s="1"/>
  <c r="H15" i="3" s="1"/>
  <c r="AO77" i="2"/>
  <c r="CO104" i="2"/>
  <c r="D47" i="3" s="1"/>
  <c r="AO116" i="2"/>
  <c r="AB116" i="2"/>
  <c r="CV159" i="2"/>
  <c r="BB65" i="2"/>
  <c r="DB8" i="2"/>
  <c r="DB156" i="2" s="1"/>
  <c r="EB157" i="2"/>
  <c r="EB159" i="2"/>
  <c r="DO12" i="2"/>
  <c r="DO160" i="2" s="1"/>
  <c r="DB13" i="2"/>
  <c r="DB161" i="2" s="1"/>
  <c r="AB26" i="2"/>
  <c r="D42" i="3" s="1"/>
  <c r="FB65" i="2"/>
  <c r="BB77" i="2"/>
  <c r="E44" i="3" s="1"/>
  <c r="DB92" i="2"/>
  <c r="BB116" i="2"/>
  <c r="FB116" i="2"/>
  <c r="AB14" i="2"/>
  <c r="C42" i="3" s="1"/>
  <c r="FO53" i="2"/>
  <c r="C53" i="3" s="1"/>
  <c r="AO156" i="2"/>
  <c r="DO116" i="2"/>
  <c r="EB26" i="2"/>
  <c r="D50" i="3" s="1"/>
  <c r="EO156" i="2"/>
  <c r="EO14" i="2"/>
  <c r="EO159" i="2"/>
  <c r="EB160" i="2"/>
  <c r="AO26" i="2"/>
  <c r="BO38" i="2"/>
  <c r="AO38" i="2"/>
  <c r="E43" i="3" s="1"/>
  <c r="BO77" i="2"/>
  <c r="DO92" i="2"/>
  <c r="O104" i="2"/>
  <c r="FO104" i="2"/>
  <c r="DH159" i="2"/>
  <c r="F23" i="3"/>
  <c r="J23" i="3" s="1"/>
  <c r="EO53" i="2"/>
  <c r="D15" i="3" s="1"/>
  <c r="BO65" i="2"/>
  <c r="FB157" i="2"/>
  <c r="CS14" i="2"/>
  <c r="DE14" i="2"/>
  <c r="FB158" i="2"/>
  <c r="FB159" i="2"/>
  <c r="EO160" i="2"/>
  <c r="EO161" i="2"/>
  <c r="BB26" i="2"/>
  <c r="D44" i="3" s="1"/>
  <c r="EB53" i="2"/>
  <c r="DB53" i="2"/>
  <c r="BO161" i="2"/>
  <c r="EB92" i="2"/>
  <c r="AB104" i="2"/>
  <c r="CB116" i="2"/>
  <c r="L24" i="3"/>
  <c r="K27" i="3"/>
  <c r="L27" i="3"/>
  <c r="K25" i="3"/>
  <c r="I22" i="3"/>
  <c r="K24" i="3"/>
  <c r="C28" i="3"/>
  <c r="J22" i="3"/>
  <c r="DB26" i="2"/>
  <c r="D48" i="3" s="1"/>
  <c r="DB14" i="2"/>
  <c r="C48" i="3" s="1"/>
  <c r="DO156" i="2"/>
  <c r="BB14" i="2"/>
  <c r="C44" i="3" s="1"/>
  <c r="CX14" i="2"/>
  <c r="DJ14" i="2"/>
  <c r="DN158" i="2"/>
  <c r="DB11" i="2"/>
  <c r="DB159" i="2" s="1"/>
  <c r="BO14" i="2"/>
  <c r="CY14" i="2"/>
  <c r="DK14" i="2"/>
  <c r="O156" i="2"/>
  <c r="CU156" i="2"/>
  <c r="DG156" i="2"/>
  <c r="FO156" i="2"/>
  <c r="CB14" i="2"/>
  <c r="CZ14" i="2"/>
  <c r="DL14" i="2"/>
  <c r="AO53" i="2"/>
  <c r="C43" i="3" s="1"/>
  <c r="EO104" i="2"/>
  <c r="E16" i="3" s="1"/>
  <c r="DE158" i="2"/>
  <c r="EO158" i="2"/>
  <c r="DO13" i="2"/>
  <c r="DO161" i="2" s="1"/>
  <c r="DN14" i="2"/>
  <c r="DA26" i="2"/>
  <c r="CS158" i="2"/>
  <c r="CQ14" i="2"/>
  <c r="DC14" i="2"/>
  <c r="CR14" i="2"/>
  <c r="DD14" i="2"/>
  <c r="EB14" i="2"/>
  <c r="DA157" i="2"/>
  <c r="F46" i="3" l="1"/>
  <c r="I53" i="3"/>
  <c r="H48" i="3"/>
  <c r="H47" i="3"/>
  <c r="I45" i="3"/>
  <c r="F44" i="3"/>
  <c r="I49" i="3"/>
  <c r="I50" i="3"/>
  <c r="G48" i="3"/>
  <c r="E53" i="3"/>
  <c r="F48" i="3"/>
  <c r="E41" i="3"/>
  <c r="G41" i="3"/>
  <c r="H53" i="3"/>
  <c r="G52" i="3"/>
  <c r="F52" i="3"/>
  <c r="E47" i="3"/>
  <c r="G47" i="3" s="1"/>
  <c r="F28" i="3"/>
  <c r="I42" i="3"/>
  <c r="I43" i="3"/>
  <c r="H44" i="3"/>
  <c r="H45" i="3"/>
  <c r="G42" i="3"/>
  <c r="I44" i="3"/>
  <c r="D53" i="3"/>
  <c r="H16" i="3"/>
  <c r="G16" i="3"/>
  <c r="K23" i="3"/>
  <c r="O34" i="3"/>
  <c r="O36" i="3" s="1"/>
  <c r="E14" i="3"/>
  <c r="D51" i="3"/>
  <c r="H46" i="3"/>
  <c r="G45" i="3"/>
  <c r="I52" i="3"/>
  <c r="H49" i="3"/>
  <c r="H50" i="3"/>
  <c r="C50" i="3"/>
  <c r="E45" i="3"/>
  <c r="I46" i="3" s="1"/>
  <c r="G15" i="3"/>
  <c r="D43" i="3"/>
  <c r="F50" i="3"/>
  <c r="G50" i="3"/>
  <c r="F49" i="3"/>
  <c r="C46" i="3"/>
  <c r="L26" i="3"/>
  <c r="J28" i="3"/>
  <c r="C45" i="3"/>
  <c r="DO14" i="2"/>
  <c r="C49" i="3" s="1"/>
  <c r="G44" i="3"/>
  <c r="F41" i="3"/>
  <c r="G46" i="3"/>
  <c r="G49" i="3"/>
  <c r="F42" i="3"/>
  <c r="D14" i="3"/>
  <c r="D17" i="3" s="1"/>
  <c r="B7" i="3" s="1"/>
  <c r="O33" i="3"/>
  <c r="C51" i="3"/>
  <c r="H42" i="3"/>
  <c r="C41" i="3"/>
  <c r="I28" i="3"/>
  <c r="L22" i="3"/>
  <c r="K22" i="3"/>
  <c r="K28" i="3" s="1"/>
  <c r="G14" i="3" l="1"/>
  <c r="H14" i="3"/>
  <c r="E17" i="3"/>
  <c r="G53" i="3"/>
  <c r="F53" i="3"/>
  <c r="F47" i="3"/>
  <c r="I48" i="3"/>
  <c r="I47" i="3"/>
  <c r="G51" i="3"/>
  <c r="H52" i="3"/>
  <c r="F51" i="3"/>
  <c r="G43" i="3"/>
  <c r="H43" i="3"/>
  <c r="F43" i="3"/>
  <c r="H51" i="3"/>
  <c r="F45" i="3"/>
  <c r="L28" i="3"/>
  <c r="M22" i="3"/>
  <c r="M23" i="3"/>
  <c r="M24" i="3"/>
  <c r="M25" i="3"/>
  <c r="M26" i="3"/>
  <c r="M27" i="3"/>
  <c r="I14" i="3" l="1"/>
  <c r="H17" i="3"/>
  <c r="H7" i="3" s="1"/>
  <c r="D7" i="3"/>
  <c r="G17" i="3"/>
  <c r="J7" i="3" s="1"/>
  <c r="I16" i="3"/>
  <c r="I15" i="3"/>
  <c r="M28" i="3"/>
  <c r="I17" i="3" l="1"/>
</calcChain>
</file>

<file path=xl/sharedStrings.xml><?xml version="1.0" encoding="utf-8"?>
<sst xmlns="http://schemas.openxmlformats.org/spreadsheetml/2006/main" count="1827" uniqueCount="130">
  <si>
    <t>MINISTERIO DE OBRAS PÚBLICAS — DASHBOARD DE INVERSIÓN Y EJECUCIÓN PRESUPUESTARIA</t>
  </si>
  <si>
    <t>Visualizador Analítico Interactivo Tabla a Tabla | Subtítulos 31, 29, 33 y Consolidado Total | Cifras en miles de pesos ($)</t>
  </si>
  <si>
    <t>AÑO SELECCIONADO:</t>
  </si>
  <si>
    <t>COBERTURA TEMPORAL:</t>
  </si>
  <si>
    <t>2014 - 2026 (Ene - Dic)</t>
  </si>
  <si>
    <t>UNIDAD MONETARIA:</t>
  </si>
  <si>
    <t>Miles de $ Corrientes (DIPRES)</t>
  </si>
  <si>
    <t>PRESUPUESTO LEY (INICIAL)</t>
  </si>
  <si>
    <t>PRESUPUESTO VIGENTE</t>
  </si>
  <si>
    <t>EJECUCIÓN ACUMULADA</t>
  </si>
  <si>
    <t>% CUMPLIMIENTO PRESUPUESTARIO</t>
  </si>
  <si>
    <t>SALDO POR EJECUTAR</t>
  </si>
  <si>
    <t>Aprobado Ley de Presupuesto</t>
  </si>
  <si>
    <t>Presupuesto anual actualizado</t>
  </si>
  <si>
    <t>Total devengado en el ejercicio</t>
  </si>
  <si>
    <t>Ejecución devengada / Presupuesto vigente</t>
  </si>
  <si>
    <t>Monto disponible no devengado</t>
  </si>
  <si>
    <t>TABLA 1: RESUMEN CONSOLIDADO POR SUBTÍTULO PRESUPUESTARIO</t>
  </si>
  <si>
    <t>Subtítulo Presupuestario</t>
  </si>
  <si>
    <t>Cód.</t>
  </si>
  <si>
    <t>Presupuesto Ley</t>
  </si>
  <si>
    <t>Presupuesto Vigente</t>
  </si>
  <si>
    <t>Ejecución Acumulada</t>
  </si>
  <si>
    <t>Saldo por Ejecutar</t>
  </si>
  <si>
    <t>% Ejecución</t>
  </si>
  <si>
    <t>% Participación</t>
  </si>
  <si>
    <t>Subtítulo 31 – Iniciativas de Inversión</t>
  </si>
  <si>
    <t>31</t>
  </si>
  <si>
    <t>Subtítulo 29 – Activos No Financieros</t>
  </si>
  <si>
    <t>29</t>
  </si>
  <si>
    <t>Subtítulo 33 – Transferencias de Capital</t>
  </si>
  <si>
    <t>33</t>
  </si>
  <si>
    <t>TOTAL INVERSIÓN MOP (31 + 29 + 33)</t>
  </si>
  <si>
    <t>TOTAL</t>
  </si>
  <si>
    <t>TABLA 2: DESGLOSE COMPLETO POR PROGRAMA / DIRECCIÓN (AÑO SELECCIONADO)</t>
  </si>
  <si>
    <t>Dirección / Programa</t>
  </si>
  <si>
    <t>Subt. 31 Vigente</t>
  </si>
  <si>
    <t>Subt. 31 Ejecución</t>
  </si>
  <si>
    <t>Subt. 29 Vigente</t>
  </si>
  <si>
    <t>Subt. 29 Ejecución</t>
  </si>
  <si>
    <t>Subt. 33 Vigente</t>
  </si>
  <si>
    <t>Subt. 33 Ejecución</t>
  </si>
  <si>
    <t>Total Vigente</t>
  </si>
  <si>
    <t>Total Ejecución</t>
  </si>
  <si>
    <t>Saldo</t>
  </si>
  <si>
    <t>% Part. MOP</t>
  </si>
  <si>
    <t>Dirección de Vialidad</t>
  </si>
  <si>
    <t>Dirección de Obras Hidráulicas</t>
  </si>
  <si>
    <t>Subdirección de APR</t>
  </si>
  <si>
    <t>Dirección de Obras Portuarias</t>
  </si>
  <si>
    <t>Dirección de Aeropuertos</t>
  </si>
  <si>
    <t>Dirección de Arquitectura</t>
  </si>
  <si>
    <t>TOTAL MOP</t>
  </si>
  <si>
    <t>TABLA 3: EVOLUCIÓN MENSUAL DEL AÑO SELECCIONADO (ENERO A DICIEMBRE)</t>
  </si>
  <si>
    <t>Concepto / Mes</t>
  </si>
  <si>
    <t>Ene</t>
  </si>
  <si>
    <t>Feb</t>
  </si>
  <si>
    <t>Mar</t>
  </si>
  <si>
    <t>Abr</t>
  </si>
  <si>
    <t>May</t>
  </si>
  <si>
    <t>Jun</t>
  </si>
  <si>
    <t>Jul</t>
  </si>
  <si>
    <t>Ago</t>
  </si>
  <si>
    <t>Sep</t>
  </si>
  <si>
    <t>Oct</t>
  </si>
  <si>
    <t>Nov</t>
  </si>
  <si>
    <t>Dic</t>
  </si>
  <si>
    <t>Cierre Total</t>
  </si>
  <si>
    <t>% Avance Ejecución</t>
  </si>
  <si>
    <t>TABLA 4: COMPARATIVA HISTÓRICA MULTIANUAL (2014 - 2026)</t>
  </si>
  <si>
    <t>Año</t>
  </si>
  <si>
    <t>Crec. Vigente (YoY)</t>
  </si>
  <si>
    <t>Crec. Ejecución (YoY)</t>
  </si>
  <si>
    <t>-</t>
  </si>
  <si>
    <t>Ministerio de Obras Públicas – Partida 12</t>
  </si>
  <si>
    <t>Miles de pesos – moneda corriente – montos devengados</t>
  </si>
  <si>
    <t>Presupuesto Ley de Inversión en Infraestructura Pública del Ministerio de Obras Públicas, 2014-2026 (Subtítulo 31 – Iniciativas de Inversión, miles de pesos)</t>
  </si>
  <si>
    <t>2014</t>
  </si>
  <si>
    <t>2015</t>
  </si>
  <si>
    <t>2016</t>
  </si>
  <si>
    <t>2017</t>
  </si>
  <si>
    <t>2018</t>
  </si>
  <si>
    <t>2019</t>
  </si>
  <si>
    <t>2020</t>
  </si>
  <si>
    <t>2021(1)</t>
  </si>
  <si>
    <t>2022(1)</t>
  </si>
  <si>
    <t>2023</t>
  </si>
  <si>
    <t>2024</t>
  </si>
  <si>
    <t>2025</t>
  </si>
  <si>
    <t>2026</t>
  </si>
  <si>
    <t>Programa</t>
  </si>
  <si>
    <t>Total 2014</t>
  </si>
  <si>
    <t>Total 2015</t>
  </si>
  <si>
    <t>Total 2016</t>
  </si>
  <si>
    <t>Total 2017</t>
  </si>
  <si>
    <t>Total 2018</t>
  </si>
  <si>
    <t>Total 2019</t>
  </si>
  <si>
    <t>Total 2020</t>
  </si>
  <si>
    <t>Total 2021</t>
  </si>
  <si>
    <t>Total 2022</t>
  </si>
  <si>
    <t>Total 2023</t>
  </si>
  <si>
    <t>Total 2024</t>
  </si>
  <si>
    <t>Total 2025</t>
  </si>
  <si>
    <t>Total 2026</t>
  </si>
  <si>
    <t>Total</t>
  </si>
  <si>
    <t>(1) Los años 2021 y 2022 incluyen el Presupuesto Ley del Subtítulo 30, Ítem 10. Fuente: elaboración propia, Dipres.</t>
  </si>
  <si>
    <t>Presupuesto Vigente de Inversión en Infraestructura Pública del Ministerio de Obras Públicas, 2014-2026 (Subtítulo 31 – Iniciativas de Inversión, miles de pesos)</t>
  </si>
  <si>
    <t>(1) Los años 2021 y 2022 incluyen el Presupuesto Vigente del Subtítulo 30, Ítem 10. Fuente: elaboración propia, Dipres.</t>
  </si>
  <si>
    <t>Ejecución de Inversión en Infraestructura Pública del Ministerio de Obras Públicas, 2014-2026 (Subtítulo 31 – Iniciativas de Inversión, miles de pesos)</t>
  </si>
  <si>
    <t>Fuente: elaboración propia, Dipres.</t>
  </si>
  <si>
    <t>Subtítulo 29 – Adquisición de Activos No Financieros</t>
  </si>
  <si>
    <t>Presupuesto Ley de Inversión en Infraestructura Pública del Ministerio de Obras Públicas, 2014-2026 (Subtítulo 29 – Adquisición de Activos No Financieros, miles de pesos)</t>
  </si>
  <si>
    <t>2021</t>
  </si>
  <si>
    <t>2022</t>
  </si>
  <si>
    <t>Presupuesto Vigente de Inversión en Infraestructura Pública del Ministerio de Obras Públicas, 2014-2026 (Subtítulo 29 – Adquisición de Activos No Financieros, miles de pesos)</t>
  </si>
  <si>
    <t>Ejecución de Inversión en Infraestructura Pública del Ministerio de Obras Públicas, 2014-2026 (Subtítulo 29 – Adquisición de Activos No Financieros, miles de pesos)</t>
  </si>
  <si>
    <t>Presupuesto Ley de Inversión en Infraestructura Pública del Ministerio de Obras Públicas, 2014-2026 (Subtítulo 33 – Transferencias de Capital, miles de pesos)</t>
  </si>
  <si>
    <t>El Subtítulo 33 solo aparece en APR, desde 2023. En los demás Programas y años no está en los informes de ejecución. Fuente: elaboración propia, Dipres.</t>
  </si>
  <si>
    <t>Presupuesto Vigente de Inversión en Infraestructura Pública del Ministerio de Obras Públicas, 2014-2026 (Subtítulo 33 – Transferencias de Capital, miles de pesos)</t>
  </si>
  <si>
    <t>Ejecución de Inversión en Infraestructura Pública del Ministerio de Obras Públicas, 2014-2026 (Subtítulo 33 – Transferencias de Capital, miles de pesos)</t>
  </si>
  <si>
    <t>La columna Total de cada año es el cierre de diciembre (o último mes reportado), no la suma de los doce meses. Dipres informa la ejecución ACUMULADA al mes, así que diciembre ya contiene el año completo; y el Presupuesto Ley y el Vigente son niveles, no flujos, de modo que sumar doce meses los multiplicaría por doce.</t>
  </si>
  <si>
    <t>Las columnas mensuales están agrupadas: la hoja abre mostrando solo las columnas anuales, y con el botón + que aparece sobre cada año se despliegan sus doce meses.</t>
  </si>
  <si>
    <t>Años cargados: 2014 a 2026 (2014 a 2025 cerrados a diciembre; 2026 actualizado a julio).</t>
  </si>
  <si>
    <t>Pendientes de cargar: agosto a diciembre 2026.</t>
  </si>
  <si>
    <t>Los meses de marzo, junio, septiembre y diciembre provienen del informe trimestral, cuyo acumulado corresponde al último mes del trimestre.</t>
  </si>
  <si>
    <t>No se incluye la Dirección General de Concesiones, por tratarse de inversiones con distinta naturaleza de financiamiento.</t>
  </si>
  <si>
    <t>(1) El Fondo de Emergencia Transitorio Covid-19 (Ley Nº 21.288) se aplicó de forma excepcional solo en 2021 y 2022. Es parte del presupuesto, así que su Subtítulo 30, Ítem 10 se suma al Subtítulo 31 en el Presupuesto Ley y en el Presupuesto Vigente de esos dos años. La suma quedó escrita a la vista en cada celda.</t>
  </si>
  <si>
    <t>En 2021 el Fondo tiene Presupuesto Vigente en los seis Programas. En 2022 aparece en el Presupuesto Ley de los seis, pero su Vigente quedó en cero: se retiró durante el año. La única excepción es Arquitectura, que lo mantuvo de enero a junio. El Ítem 10 no registra ejecución en ningún Programa de ninguno de los dos años.</t>
  </si>
  <si>
    <t>No se incluye el programa 120253, Obras Hidráulicas FET - Covid-19, que es un programa aparte sin Presupuesto Ley. El programa principal de Obras Hidráulicas por sí solo cierra 2021 en 129.806.818, que coincide con el archivo histórico del Ministerio.</t>
  </si>
  <si>
    <t>Cifras oficiales obtenidas del Sistema Integrado de Información Financiera / Dirección de Presupuestos (DIPRES), Ministerio de Hacienda.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</si>
</sst>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 #,##0_-;\-* #,##0_-;_-* &quot;-&quot;_-;_-@_-"/>
    <numFmt numFmtId="165" formatCode="0.0%"/>
  </numFmts>
  <fonts count="18" x14ac:knownFonts="1">
    <font>
      <sz val="11"/>
      <color theme="1"/>
      <name val="Calibri"/>
      <family val="2"/>
      <scheme val="minor"/>
    </font>
    <font>
      <b/>
      <sz val="12"/>
      <name val="Calibri"/>
      <family val="2"/>
    </font>
    <font>
      <i/>
      <sz val="10"/>
      <color rgb="FF595959"/>
      <name val="Calibri"/>
      <family val="2"/>
    </font>
    <font>
      <b/>
      <sz val="14"/>
      <name val="Calibri"/>
      <family val="2"/>
    </font>
    <font>
      <sz val="12"/>
      <name val="Calibri"/>
      <family val="2"/>
    </font>
    <font>
      <b/>
      <sz val="16"/>
      <color rgb="FF1B365D"/>
      <name val="Calibri"/>
    </font>
    <font>
      <i/>
      <sz val="10"/>
      <color rgb="FF595959"/>
      <name val="Calibri"/>
    </font>
    <font>
      <b/>
      <sz val="10"/>
      <color rgb="FF000000"/>
      <name val="Calibri"/>
    </font>
    <font>
      <b/>
      <sz val="13"/>
      <color rgb="FFB25900"/>
      <name val="Calibri"/>
    </font>
    <font>
      <sz val="10"/>
      <color rgb="FF000000"/>
      <name val="Calibri"/>
    </font>
    <font>
      <b/>
      <sz val="9"/>
      <color rgb="FF595959"/>
      <name val="Calibri"/>
    </font>
    <font>
      <b/>
      <sz val="15"/>
      <color rgb="FF1B365D"/>
      <name val="Calibri"/>
    </font>
    <font>
      <i/>
      <sz val="8"/>
      <color rgb="FF7F7F7F"/>
      <name val="Calibri"/>
    </font>
    <font>
      <b/>
      <sz val="15"/>
      <color rgb="FF007A3D"/>
      <name val="Calibri"/>
    </font>
    <font>
      <b/>
      <sz val="16"/>
      <color rgb="FF007A3D"/>
      <name val="Calibri"/>
    </font>
    <font>
      <b/>
      <sz val="15"/>
      <color rgb="FFB25900"/>
      <name val="Calibri"/>
    </font>
    <font>
      <b/>
      <sz val="11"/>
      <color rgb="FF1B365D"/>
      <name val="Calibri"/>
    </font>
    <font>
      <b/>
      <sz val="10"/>
      <color rgb="FFFFFFFF"/>
      <name val="Calibri"/>
    </font>
  </fonts>
  <fills count="11">
    <fill>
      <patternFill patternType="none"/>
    </fill>
    <fill>
      <patternFill patternType="gray125"/>
    </fill>
    <fill>
      <patternFill patternType="solid">
        <fgColor theme="9" tint="0.79998168889431442"/>
        <bgColor indexed="65"/>
      </patternFill>
    </fill>
    <fill>
      <patternFill patternType="solid">
        <fgColor theme="6" tint="0.59999389629810485"/>
        <bgColor indexed="65"/>
      </patternFill>
    </fill>
    <fill>
      <patternFill patternType="solid">
        <fgColor theme="6" tint="0.79998168889431442"/>
        <bgColor indexed="65"/>
      </patternFill>
    </fill>
    <fill>
      <patternFill patternType="solid">
        <fgColor rgb="FFD9E1F2"/>
        <bgColor rgb="FFD9E1F2"/>
      </patternFill>
    </fill>
    <fill>
      <patternFill patternType="solid">
        <fgColor rgb="FFFFF2CC"/>
        <bgColor rgb="FFFFF2CC"/>
      </patternFill>
    </fill>
    <fill>
      <patternFill patternType="solid">
        <fgColor rgb="FFF2F4F8"/>
        <bgColor rgb="FFF2F4F8"/>
      </patternFill>
    </fill>
    <fill>
      <patternFill patternType="solid">
        <fgColor rgb="FF1B365D"/>
        <bgColor rgb="FF1B365D"/>
      </patternFill>
    </fill>
    <fill>
      <patternFill patternType="solid">
        <fgColor rgb="FF2C3E50"/>
        <bgColor rgb="FF2C3E50"/>
      </patternFill>
    </fill>
    <fill>
      <patternFill patternType="solid">
        <fgColor rgb="FFF9FAFC"/>
        <bgColor rgb="FFF9FAFC"/>
      </patternFill>
    </fill>
  </fills>
  <borders count="15">
    <border>
      <left/>
      <right/>
      <top/>
      <bottom/>
      <diagonal/>
    </border>
    <border>
      <left/>
      <right/>
      <top style="thin">
        <color auto="1"/>
      </top>
      <bottom style="thin">
        <color auto="1"/>
      </bottom>
      <diagonal/>
    </border>
    <border>
      <left/>
      <right/>
      <top/>
      <bottom/>
      <diagonal/>
    </border>
    <border>
      <left style="thin">
        <color rgb="FFD9D9D9"/>
      </left>
      <right style="thin">
        <color rgb="FFD9D9D9"/>
      </right>
      <top style="thin">
        <color rgb="FFD9D9D9"/>
      </top>
      <bottom style="thin">
        <color rgb="FFD9D9D9"/>
      </bottom>
      <diagonal/>
    </border>
    <border>
      <left style="medium">
        <color rgb="FF1B365D"/>
      </left>
      <right style="medium">
        <color rgb="FF1B365D"/>
      </right>
      <top style="medium">
        <color rgb="FF1B365D"/>
      </top>
      <bottom style="medium">
        <color rgb="FF1B365D"/>
      </bottom>
      <diagonal/>
    </border>
    <border>
      <left style="thin">
        <color rgb="FFD9D9D9"/>
      </left>
      <right/>
      <top style="medium">
        <color rgb="FF1B365D"/>
      </top>
      <bottom/>
      <diagonal/>
    </border>
    <border>
      <left/>
      <right style="thin">
        <color rgb="FFD9D9D9"/>
      </right>
      <top style="medium">
        <color rgb="FF1B365D"/>
      </top>
      <bottom/>
      <diagonal/>
    </border>
    <border>
      <left style="thin">
        <color rgb="FFD9D9D9"/>
      </left>
      <right/>
      <top/>
      <bottom/>
      <diagonal/>
    </border>
    <border>
      <left/>
      <right style="thin">
        <color rgb="FFD9D9D9"/>
      </right>
      <top/>
      <bottom/>
      <diagonal/>
    </border>
    <border>
      <left style="thin">
        <color rgb="FFD9D9D9"/>
      </left>
      <right/>
      <top/>
      <bottom style="thin">
        <color rgb="FFD9D9D9"/>
      </bottom>
      <diagonal/>
    </border>
    <border>
      <left/>
      <right style="thin">
        <color rgb="FFD9D9D9"/>
      </right>
      <top/>
      <bottom style="thin">
        <color rgb="FFD9D9D9"/>
      </bottom>
      <diagonal/>
    </border>
    <border>
      <left/>
      <right/>
      <top style="medium">
        <color rgb="FF1B365D"/>
      </top>
      <bottom/>
      <diagonal/>
    </border>
    <border>
      <left/>
      <right/>
      <top/>
      <bottom/>
      <diagonal/>
    </border>
    <border>
      <left/>
      <right/>
      <top/>
      <bottom style="thin">
        <color rgb="FFD9D9D9"/>
      </bottom>
      <diagonal/>
    </border>
    <border>
      <left style="thin">
        <color rgb="FFD9D9D9"/>
      </left>
      <right style="thin">
        <color rgb="FFD9D9D9"/>
      </right>
      <top style="thin">
        <color rgb="FFD9D9D9"/>
      </top>
      <bottom style="double">
        <color rgb="FF1B365D"/>
      </bottom>
      <diagonal/>
    </border>
  </borders>
  <cellStyleXfs count="1">
    <xf numFmtId="0" fontId="0" fillId="0" borderId="2"/>
  </cellStyleXfs>
  <cellXfs count="62">
    <xf numFmtId="0" fontId="0" fillId="0" borderId="0" xfId="0" applyBorder="1"/>
    <xf numFmtId="0" fontId="1" fillId="0" borderId="0" xfId="0" applyFont="1" applyBorder="1" applyAlignment="1">
      <alignment vertical="center"/>
    </xf>
    <xf numFmtId="0" fontId="2" fillId="0" borderId="0" xfId="0" applyFont="1" applyBorder="1"/>
    <xf numFmtId="0" fontId="0" fillId="3" borderId="1" xfId="0" applyFill="1" applyBorder="1"/>
    <xf numFmtId="0" fontId="1" fillId="4" borderId="1" xfId="0" applyFont="1" applyFill="1" applyBorder="1" applyAlignment="1">
      <alignment horizontal="left" vertical="center"/>
    </xf>
    <xf numFmtId="0" fontId="1" fillId="4" borderId="1" xfId="0" applyFont="1" applyFill="1" applyBorder="1" applyAlignment="1">
      <alignment horizontal="center" vertical="center"/>
    </xf>
    <xf numFmtId="0" fontId="4" fillId="0" borderId="0" xfId="0" applyFont="1" applyBorder="1" applyAlignment="1">
      <alignment horizontal="left" vertical="center"/>
    </xf>
    <xf numFmtId="164" fontId="4" fillId="0" borderId="0" xfId="0" applyNumberFormat="1" applyFont="1" applyBorder="1" applyAlignment="1">
      <alignment horizontal="center" vertical="center"/>
    </xf>
    <xf numFmtId="164" fontId="1" fillId="4" borderId="1" xfId="0" applyNumberFormat="1" applyFont="1" applyFill="1" applyBorder="1" applyAlignment="1">
      <alignment horizontal="center" vertical="center"/>
    </xf>
    <xf numFmtId="164" fontId="0" fillId="0" borderId="0" xfId="0" applyNumberFormat="1" applyBorder="1"/>
    <xf numFmtId="0" fontId="0" fillId="0" borderId="0" xfId="0" applyBorder="1"/>
    <xf numFmtId="0" fontId="5" fillId="0" borderId="0" xfId="0" applyFont="1" applyBorder="1"/>
    <xf numFmtId="0" fontId="6" fillId="0" borderId="0" xfId="0" applyFont="1" applyBorder="1"/>
    <xf numFmtId="0" fontId="7" fillId="5" borderId="3" xfId="0" applyFont="1" applyFill="1" applyBorder="1" applyAlignment="1">
      <alignment horizontal="right" vertical="center"/>
    </xf>
    <xf numFmtId="0" fontId="8" fillId="6" borderId="4" xfId="0" applyFont="1" applyFill="1" applyBorder="1" applyAlignment="1">
      <alignment horizontal="center" vertical="center"/>
    </xf>
    <xf numFmtId="0" fontId="16" fillId="0" borderId="0" xfId="0" applyFont="1" applyBorder="1"/>
    <xf numFmtId="0" fontId="17" fillId="8" borderId="3" xfId="0" applyFont="1" applyFill="1" applyBorder="1" applyAlignment="1">
      <alignment horizontal="center" vertical="center" wrapText="1"/>
    </xf>
    <xf numFmtId="0" fontId="9" fillId="0" borderId="3" xfId="0" applyFont="1" applyBorder="1"/>
    <xf numFmtId="0" fontId="9" fillId="0" borderId="3" xfId="0" applyFont="1" applyBorder="1" applyAlignment="1">
      <alignment horizontal="center"/>
    </xf>
    <xf numFmtId="164" fontId="9" fillId="0" borderId="3" xfId="0" applyNumberFormat="1" applyFont="1" applyBorder="1" applyAlignment="1">
      <alignment horizontal="right"/>
    </xf>
    <xf numFmtId="165" fontId="9" fillId="0" borderId="3" xfId="0" applyNumberFormat="1" applyFont="1" applyBorder="1" applyAlignment="1">
      <alignment horizontal="right"/>
    </xf>
    <xf numFmtId="0" fontId="7" fillId="5" borderId="14" xfId="0" applyFont="1" applyFill="1" applyBorder="1"/>
    <xf numFmtId="0" fontId="7" fillId="5" borderId="14" xfId="0" applyFont="1" applyFill="1" applyBorder="1" applyAlignment="1">
      <alignment horizontal="center"/>
    </xf>
    <xf numFmtId="164" fontId="7" fillId="5" borderId="14" xfId="0" applyNumberFormat="1" applyFont="1" applyFill="1" applyBorder="1" applyAlignment="1">
      <alignment horizontal="right"/>
    </xf>
    <xf numFmtId="165" fontId="7" fillId="5" borderId="14" xfId="0" applyNumberFormat="1" applyFont="1" applyFill="1" applyBorder="1" applyAlignment="1">
      <alignment horizontal="right"/>
    </xf>
    <xf numFmtId="0" fontId="17" fillId="9" borderId="3" xfId="0" applyFont="1" applyFill="1" applyBorder="1" applyAlignment="1">
      <alignment horizontal="center" vertical="center" wrapText="1"/>
    </xf>
    <xf numFmtId="0" fontId="9" fillId="10" borderId="3" xfId="0" applyFont="1" applyFill="1" applyBorder="1"/>
    <xf numFmtId="164" fontId="9" fillId="10" borderId="3" xfId="0" applyNumberFormat="1" applyFont="1" applyFill="1" applyBorder="1" applyAlignment="1">
      <alignment horizontal="right"/>
    </xf>
    <xf numFmtId="165" fontId="9" fillId="10" borderId="3" xfId="0" applyNumberFormat="1" applyFont="1" applyFill="1" applyBorder="1" applyAlignment="1">
      <alignment horizontal="right"/>
    </xf>
    <xf numFmtId="0" fontId="17" fillId="8" borderId="3" xfId="0" applyFont="1" applyFill="1" applyBorder="1" applyAlignment="1">
      <alignment horizontal="center" vertical="center"/>
    </xf>
    <xf numFmtId="164" fontId="9" fillId="5" borderId="3" xfId="0" applyNumberFormat="1" applyFont="1" applyFill="1" applyBorder="1" applyAlignment="1">
      <alignment horizontal="right"/>
    </xf>
    <xf numFmtId="0" fontId="7" fillId="0" borderId="3" xfId="0" applyFont="1" applyBorder="1"/>
    <xf numFmtId="164" fontId="7" fillId="0" borderId="3" xfId="0" applyNumberFormat="1" applyFont="1" applyBorder="1" applyAlignment="1">
      <alignment horizontal="right"/>
    </xf>
    <xf numFmtId="164" fontId="7" fillId="5" borderId="3" xfId="0" applyNumberFormat="1" applyFont="1" applyFill="1" applyBorder="1" applyAlignment="1">
      <alignment horizontal="right"/>
    </xf>
    <xf numFmtId="0" fontId="7" fillId="0" borderId="14" xfId="0" applyFont="1" applyBorder="1"/>
    <xf numFmtId="165" fontId="7" fillId="0" borderId="14" xfId="0" applyNumberFormat="1" applyFont="1" applyBorder="1" applyAlignment="1">
      <alignment horizontal="right"/>
    </xf>
    <xf numFmtId="0" fontId="7" fillId="10" borderId="3" xfId="0" applyFont="1" applyFill="1" applyBorder="1" applyAlignment="1">
      <alignment horizontal="center"/>
    </xf>
    <xf numFmtId="0" fontId="9" fillId="10" borderId="3" xfId="0" applyFont="1" applyFill="1" applyBorder="1" applyAlignment="1">
      <alignment horizontal="right"/>
    </xf>
    <xf numFmtId="0" fontId="7" fillId="0" borderId="3" xfId="0" applyFont="1" applyBorder="1" applyAlignment="1">
      <alignment horizontal="center"/>
    </xf>
    <xf numFmtId="0" fontId="7" fillId="0" borderId="3" xfId="0" applyFont="1" applyBorder="1" applyAlignment="1">
      <alignment horizontal="center" vertical="center"/>
    </xf>
    <xf numFmtId="0" fontId="0" fillId="0" borderId="3" xfId="0" applyBorder="1"/>
    <xf numFmtId="0" fontId="10" fillId="7" borderId="5" xfId="0" applyFont="1" applyFill="1" applyBorder="1" applyAlignment="1">
      <alignment horizontal="center" vertical="center"/>
    </xf>
    <xf numFmtId="0" fontId="0" fillId="0" borderId="11" xfId="0" applyBorder="1"/>
    <xf numFmtId="0" fontId="0" fillId="0" borderId="6" xfId="0" applyBorder="1"/>
    <xf numFmtId="164" fontId="11" fillId="7" borderId="7" xfId="0" applyNumberFormat="1" applyFont="1" applyFill="1" applyBorder="1" applyAlignment="1">
      <alignment horizontal="center" vertical="center"/>
    </xf>
    <xf numFmtId="0" fontId="0" fillId="0" borderId="8" xfId="0" applyBorder="1"/>
    <xf numFmtId="0" fontId="0" fillId="0" borderId="7" xfId="0" applyBorder="1"/>
    <xf numFmtId="165" fontId="14" fillId="7" borderId="7" xfId="0" applyNumberFormat="1" applyFont="1" applyFill="1" applyBorder="1" applyAlignment="1">
      <alignment horizontal="center" vertical="center"/>
    </xf>
    <xf numFmtId="0" fontId="9" fillId="0" borderId="3" xfId="0" applyFont="1" applyBorder="1" applyAlignment="1">
      <alignment horizontal="center" vertical="center"/>
    </xf>
    <xf numFmtId="0" fontId="7" fillId="5" borderId="3" xfId="0" applyFont="1" applyFill="1" applyBorder="1" applyAlignment="1">
      <alignment horizontal="right" vertical="center"/>
    </xf>
    <xf numFmtId="0" fontId="12" fillId="7" borderId="9" xfId="0" applyFont="1" applyFill="1" applyBorder="1" applyAlignment="1">
      <alignment horizontal="center" vertical="center"/>
    </xf>
    <xf numFmtId="0" fontId="0" fillId="0" borderId="10" xfId="0" applyBorder="1"/>
    <xf numFmtId="164" fontId="13" fillId="7" borderId="7" xfId="0" applyNumberFormat="1" applyFont="1" applyFill="1" applyBorder="1" applyAlignment="1">
      <alignment horizontal="center" vertical="center"/>
    </xf>
    <xf numFmtId="164" fontId="15" fillId="7" borderId="7" xfId="0" applyNumberFormat="1" applyFont="1" applyFill="1" applyBorder="1" applyAlignment="1">
      <alignment horizontal="center" vertical="center"/>
    </xf>
    <xf numFmtId="0" fontId="0" fillId="0" borderId="12" xfId="0" applyBorder="1"/>
    <xf numFmtId="0" fontId="0" fillId="0" borderId="13" xfId="0" applyBorder="1"/>
    <xf numFmtId="0" fontId="3" fillId="2" borderId="2" xfId="0" applyFont="1" applyFill="1" applyAlignment="1">
      <alignment vertical="center"/>
    </xf>
    <xf numFmtId="0" fontId="0" fillId="0" borderId="0" xfId="0" applyBorder="1"/>
    <xf numFmtId="0" fontId="1" fillId="3" borderId="1" xfId="0" applyFont="1" applyFill="1" applyBorder="1" applyAlignment="1">
      <alignment horizontal="center" vertical="center"/>
    </xf>
    <xf numFmtId="0" fontId="0" fillId="0" borderId="1" xfId="0" applyBorder="1"/>
    <xf numFmtId="0" fontId="1" fillId="0" borderId="2" xfId="0" applyFont="1" applyAlignment="1">
      <alignment horizontal="center"/>
    </xf>
    <xf numFmtId="0" fontId="2" fillId="0" borderId="2" xfId="0" applyFont="1" applyAlignment="1">
      <alignment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CL"/>
              <a:t>Presupuesto Vigente vs Ejecución Acumulada por Dirección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L"/>
        </a:p>
      </c:txPr>
    </c:title>
    <c:autoTitleDeleted val="0"/>
    <c:plotArea>
      <c:layout/>
      <c:barChart>
        <c:barDir val="col"/>
        <c:grouping val="clustered"/>
        <c:varyColors val="0"/>
        <c:ser>
          <c:idx val="0"/>
          <c:order val="0"/>
          <c:tx>
            <c:v>Total Vigente</c:v>
          </c:tx>
          <c:spPr>
            <a:solidFill>
              <a:schemeClr val="accent1"/>
            </a:solidFill>
            <a:ln>
              <a:noFill/>
            </a:ln>
            <a:effectLst/>
          </c:spPr>
          <c:invertIfNegative val="0"/>
          <c:cat>
            <c:strRef>
              <c:f>Dashboard!$B$22:$B$27</c:f>
              <c:strCache>
                <c:ptCount val="6"/>
                <c:pt idx="0">
                  <c:v>Dirección de Vialidad</c:v>
                </c:pt>
                <c:pt idx="1">
                  <c:v>Dirección de Obras Hidráulicas</c:v>
                </c:pt>
                <c:pt idx="2">
                  <c:v>Subdirección de APR</c:v>
                </c:pt>
                <c:pt idx="3">
                  <c:v>Dirección de Obras Portuarias</c:v>
                </c:pt>
                <c:pt idx="4">
                  <c:v>Dirección de Aeropuertos</c:v>
                </c:pt>
                <c:pt idx="5">
                  <c:v>Dirección de Arquitectura</c:v>
                </c:pt>
              </c:strCache>
            </c:strRef>
          </c:cat>
          <c:val>
            <c:numRef>
              <c:f>Dashboard!$I$22:$I$27</c:f>
              <c:numCache>
                <c:formatCode>_-* #,##0_-;\-* #,##0_-;_-* "-"_-;_-@_-</c:formatCode>
                <c:ptCount val="6"/>
                <c:pt idx="0">
                  <c:v>1609788387</c:v>
                </c:pt>
                <c:pt idx="1">
                  <c:v>245227270</c:v>
                </c:pt>
                <c:pt idx="2">
                  <c:v>192822491</c:v>
                </c:pt>
                <c:pt idx="3">
                  <c:v>125413689</c:v>
                </c:pt>
                <c:pt idx="4">
                  <c:v>123298425</c:v>
                </c:pt>
                <c:pt idx="5">
                  <c:v>34318109</c:v>
                </c:pt>
              </c:numCache>
            </c:numRef>
          </c:val>
          <c:extLst>
            <c:ext xmlns:c16="http://schemas.microsoft.com/office/drawing/2014/chart" uri="{C3380CC4-5D6E-409C-BE32-E72D297353CC}">
              <c16:uniqueId val="{00000002-1F05-42B9-947F-46246B4770A2}"/>
            </c:ext>
          </c:extLst>
        </c:ser>
        <c:ser>
          <c:idx val="1"/>
          <c:order val="1"/>
          <c:tx>
            <c:v>Total Ejecución</c:v>
          </c:tx>
          <c:spPr>
            <a:solidFill>
              <a:schemeClr val="accent2"/>
            </a:solidFill>
            <a:ln>
              <a:noFill/>
            </a:ln>
            <a:effectLst/>
          </c:spPr>
          <c:invertIfNegative val="0"/>
          <c:cat>
            <c:strRef>
              <c:f>Dashboard!$B$22:$B$27</c:f>
              <c:strCache>
                <c:ptCount val="6"/>
                <c:pt idx="0">
                  <c:v>Dirección de Vialidad</c:v>
                </c:pt>
                <c:pt idx="1">
                  <c:v>Dirección de Obras Hidráulicas</c:v>
                </c:pt>
                <c:pt idx="2">
                  <c:v>Subdirección de APR</c:v>
                </c:pt>
                <c:pt idx="3">
                  <c:v>Dirección de Obras Portuarias</c:v>
                </c:pt>
                <c:pt idx="4">
                  <c:v>Dirección de Aeropuertos</c:v>
                </c:pt>
                <c:pt idx="5">
                  <c:v>Dirección de Arquitectura</c:v>
                </c:pt>
              </c:strCache>
            </c:strRef>
          </c:cat>
          <c:val>
            <c:numRef>
              <c:f>Dashboard!$J$22:$J$27</c:f>
              <c:numCache>
                <c:formatCode>_-* #,##0_-;\-* #,##0_-;_-* "-"_-;_-@_-</c:formatCode>
                <c:ptCount val="6"/>
                <c:pt idx="0">
                  <c:v>1604683065</c:v>
                </c:pt>
                <c:pt idx="1">
                  <c:v>244796124</c:v>
                </c:pt>
                <c:pt idx="2">
                  <c:v>190360293</c:v>
                </c:pt>
                <c:pt idx="3">
                  <c:v>124484986</c:v>
                </c:pt>
                <c:pt idx="4">
                  <c:v>123233646</c:v>
                </c:pt>
                <c:pt idx="5">
                  <c:v>34155175</c:v>
                </c:pt>
              </c:numCache>
            </c:numRef>
          </c:val>
          <c:extLst>
            <c:ext xmlns:c16="http://schemas.microsoft.com/office/drawing/2014/chart" uri="{C3380CC4-5D6E-409C-BE32-E72D297353CC}">
              <c16:uniqueId val="{00000003-1F05-42B9-947F-46246B4770A2}"/>
            </c:ext>
          </c:extLst>
        </c:ser>
        <c:dLbls>
          <c:showLegendKey val="0"/>
          <c:showVal val="0"/>
          <c:showCatName val="0"/>
          <c:showSerName val="0"/>
          <c:showPercent val="0"/>
          <c:showBubbleSize val="0"/>
        </c:dLbls>
        <c:gapWidth val="219"/>
        <c:overlap val="-27"/>
        <c:axId val="2121775232"/>
        <c:axId val="2121778976"/>
      </c:barChart>
      <c:catAx>
        <c:axId val="21217752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1500000" spcFirstLastPara="1" vertOverflow="ellipsis" vert="horz" wrap="square" anchor="ctr" anchorCtr="1"/>
          <a:lstStyle/>
          <a:p>
            <a:pPr>
              <a:defRPr sz="850" b="0" i="0" u="none" strike="noStrike" kern="1200" baseline="0">
                <a:solidFill>
                  <a:schemeClr val="tx1">
                    <a:lumMod val="65000"/>
                    <a:lumOff val="35000"/>
                  </a:schemeClr>
                </a:solidFill>
                <a:latin typeface="+mn-lt"/>
                <a:ea typeface="+mn-ea"/>
                <a:cs typeface="+mn-cs"/>
              </a:defRPr>
            </a:pPr>
            <a:endParaRPr lang="es-CL"/>
          </a:p>
        </c:txPr>
        <c:crossAx val="2121778976"/>
        <c:crosses val="autoZero"/>
        <c:auto val="1"/>
        <c:lblAlgn val="ctr"/>
        <c:lblOffset val="100"/>
        <c:noMultiLvlLbl val="0"/>
      </c:catAx>
      <c:valAx>
        <c:axId val="2121778976"/>
        <c:scaling>
          <c:orientation val="minMax"/>
        </c:scaling>
        <c:delete val="0"/>
        <c:axPos val="l"/>
        <c:majorGridlines>
          <c:spPr>
            <a:ln w="9525" cap="flat" cmpd="sng" algn="ctr">
              <a:solidFill>
                <a:schemeClr val="tx1">
                  <a:lumMod val="15000"/>
                  <a:lumOff val="85000"/>
                </a:schemeClr>
              </a:solidFill>
              <a:round/>
            </a:ln>
            <a:effectLst/>
          </c:spPr>
        </c:majorGridlines>
        <c:numFmt formatCode="_-* #,##0_-;\-*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crossAx val="2121775232"/>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L"/>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CL"/>
              <a:t>Evolución Mensual de la Inversión (Enero a Diciembre)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L"/>
        </a:p>
      </c:txPr>
    </c:title>
    <c:autoTitleDeleted val="0"/>
    <c:plotArea>
      <c:layout/>
      <c:lineChart>
        <c:grouping val="standard"/>
        <c:varyColors val="0"/>
        <c:ser>
          <c:idx val="0"/>
          <c:order val="0"/>
          <c:tx>
            <c:v>Presupuesto Vigente</c:v>
          </c:tx>
          <c:spPr>
            <a:ln w="28575" cap="rnd">
              <a:solidFill>
                <a:schemeClr val="accent1"/>
              </a:solidFill>
              <a:round/>
            </a:ln>
            <a:effectLst/>
          </c:spPr>
          <c:marker>
            <c:symbol val="none"/>
          </c:marker>
          <c:cat>
            <c:strRef>
              <c:f>Dashboard!$C$32:$N$32</c:f>
              <c:strCache>
                <c:ptCount val="12"/>
                <c:pt idx="0">
                  <c:v>Ene</c:v>
                </c:pt>
                <c:pt idx="1">
                  <c:v>Feb</c:v>
                </c:pt>
                <c:pt idx="2">
                  <c:v>Mar</c:v>
                </c:pt>
                <c:pt idx="3">
                  <c:v>Abr</c:v>
                </c:pt>
                <c:pt idx="4">
                  <c:v>May</c:v>
                </c:pt>
                <c:pt idx="5">
                  <c:v>Jun</c:v>
                </c:pt>
                <c:pt idx="6">
                  <c:v>Jul</c:v>
                </c:pt>
                <c:pt idx="7">
                  <c:v>Ago</c:v>
                </c:pt>
                <c:pt idx="8">
                  <c:v>Sep</c:v>
                </c:pt>
                <c:pt idx="9">
                  <c:v>Oct</c:v>
                </c:pt>
                <c:pt idx="10">
                  <c:v>Nov</c:v>
                </c:pt>
                <c:pt idx="11">
                  <c:v>Dic</c:v>
                </c:pt>
              </c:strCache>
            </c:strRef>
          </c:cat>
          <c:val>
            <c:numRef>
              <c:f>Dashboard!$C$34:$N$34</c:f>
              <c:numCache>
                <c:formatCode>_-* #,##0_-;\-* #,##0_-;_-* "-"_-;_-@_-</c:formatCode>
                <c:ptCount val="12"/>
                <c:pt idx="0">
                  <c:v>2942161253</c:v>
                </c:pt>
                <c:pt idx="1">
                  <c:v>2942161253</c:v>
                </c:pt>
                <c:pt idx="2">
                  <c:v>2872224418</c:v>
                </c:pt>
                <c:pt idx="3">
                  <c:v>2789233638</c:v>
                </c:pt>
                <c:pt idx="4">
                  <c:v>2788989293</c:v>
                </c:pt>
                <c:pt idx="5">
                  <c:v>2768911293</c:v>
                </c:pt>
                <c:pt idx="6">
                  <c:v>2768911293</c:v>
                </c:pt>
                <c:pt idx="7">
                  <c:v>2765121527</c:v>
                </c:pt>
                <c:pt idx="8">
                  <c:v>2763486063</c:v>
                </c:pt>
                <c:pt idx="9">
                  <c:v>2757523660</c:v>
                </c:pt>
                <c:pt idx="10">
                  <c:v>2716453128</c:v>
                </c:pt>
                <c:pt idx="11">
                  <c:v>2330868371</c:v>
                </c:pt>
              </c:numCache>
            </c:numRef>
          </c:val>
          <c:smooth val="0"/>
          <c:extLst>
            <c:ext xmlns:c16="http://schemas.microsoft.com/office/drawing/2014/chart" uri="{C3380CC4-5D6E-409C-BE32-E72D297353CC}">
              <c16:uniqueId val="{00000002-4B20-48E4-A5ED-6BF8BCC3A6CD}"/>
            </c:ext>
          </c:extLst>
        </c:ser>
        <c:ser>
          <c:idx val="1"/>
          <c:order val="1"/>
          <c:tx>
            <c:v>Ejecución Acumulada</c:v>
          </c:tx>
          <c:spPr>
            <a:ln w="28575" cap="rnd">
              <a:solidFill>
                <a:schemeClr val="accent2"/>
              </a:solidFill>
              <a:round/>
            </a:ln>
            <a:effectLst/>
          </c:spPr>
          <c:marker>
            <c:symbol val="none"/>
          </c:marker>
          <c:cat>
            <c:strRef>
              <c:f>Dashboard!$C$32:$N$32</c:f>
              <c:strCache>
                <c:ptCount val="12"/>
                <c:pt idx="0">
                  <c:v>Ene</c:v>
                </c:pt>
                <c:pt idx="1">
                  <c:v>Feb</c:v>
                </c:pt>
                <c:pt idx="2">
                  <c:v>Mar</c:v>
                </c:pt>
                <c:pt idx="3">
                  <c:v>Abr</c:v>
                </c:pt>
                <c:pt idx="4">
                  <c:v>May</c:v>
                </c:pt>
                <c:pt idx="5">
                  <c:v>Jun</c:v>
                </c:pt>
                <c:pt idx="6">
                  <c:v>Jul</c:v>
                </c:pt>
                <c:pt idx="7">
                  <c:v>Ago</c:v>
                </c:pt>
                <c:pt idx="8">
                  <c:v>Sep</c:v>
                </c:pt>
                <c:pt idx="9">
                  <c:v>Oct</c:v>
                </c:pt>
                <c:pt idx="10">
                  <c:v>Nov</c:v>
                </c:pt>
                <c:pt idx="11">
                  <c:v>Dic</c:v>
                </c:pt>
              </c:strCache>
            </c:strRef>
          </c:cat>
          <c:val>
            <c:numRef>
              <c:f>Dashboard!$C$35:$N$35</c:f>
              <c:numCache>
                <c:formatCode>_-* #,##0_-;\-* #,##0_-;_-* "-"_-;_-@_-</c:formatCode>
                <c:ptCount val="12"/>
                <c:pt idx="0">
                  <c:v>10076</c:v>
                </c:pt>
                <c:pt idx="1">
                  <c:v>158901130</c:v>
                </c:pt>
                <c:pt idx="2">
                  <c:v>342245752</c:v>
                </c:pt>
                <c:pt idx="3">
                  <c:v>535933925</c:v>
                </c:pt>
                <c:pt idx="4">
                  <c:v>735766967</c:v>
                </c:pt>
                <c:pt idx="5">
                  <c:v>1103900218</c:v>
                </c:pt>
                <c:pt idx="6">
                  <c:v>1232252883</c:v>
                </c:pt>
                <c:pt idx="7">
                  <c:v>1374995854</c:v>
                </c:pt>
                <c:pt idx="8">
                  <c:v>1567303306</c:v>
                </c:pt>
                <c:pt idx="9">
                  <c:v>1765889793</c:v>
                </c:pt>
                <c:pt idx="10">
                  <c:v>2025828192</c:v>
                </c:pt>
                <c:pt idx="11">
                  <c:v>2321713289</c:v>
                </c:pt>
              </c:numCache>
            </c:numRef>
          </c:val>
          <c:smooth val="0"/>
          <c:extLst>
            <c:ext xmlns:c16="http://schemas.microsoft.com/office/drawing/2014/chart" uri="{C3380CC4-5D6E-409C-BE32-E72D297353CC}">
              <c16:uniqueId val="{00000003-4B20-48E4-A5ED-6BF8BCC3A6CD}"/>
            </c:ext>
          </c:extLst>
        </c:ser>
        <c:dLbls>
          <c:showLegendKey val="0"/>
          <c:showVal val="0"/>
          <c:showCatName val="0"/>
          <c:showSerName val="0"/>
          <c:showPercent val="0"/>
          <c:showBubbleSize val="0"/>
        </c:dLbls>
        <c:smooth val="0"/>
        <c:axId val="2121776896"/>
        <c:axId val="2121786880"/>
      </c:lineChart>
      <c:catAx>
        <c:axId val="21217768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crossAx val="2121786880"/>
        <c:crosses val="autoZero"/>
        <c:auto val="1"/>
        <c:lblAlgn val="ctr"/>
        <c:lblOffset val="100"/>
        <c:noMultiLvlLbl val="0"/>
      </c:catAx>
      <c:valAx>
        <c:axId val="2121786880"/>
        <c:scaling>
          <c:orientation val="minMax"/>
        </c:scaling>
        <c:delete val="0"/>
        <c:axPos val="l"/>
        <c:majorGridlines>
          <c:spPr>
            <a:ln w="9525" cap="flat" cmpd="sng" algn="ctr">
              <a:solidFill>
                <a:schemeClr val="tx1">
                  <a:lumMod val="15000"/>
                  <a:lumOff val="85000"/>
                </a:schemeClr>
              </a:solidFill>
              <a:round/>
            </a:ln>
            <a:effectLst/>
          </c:spPr>
        </c:majorGridlines>
        <c:numFmt formatCode="_-* #,##0_-;\-*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crossAx val="212177689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L"/>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CL"/>
              <a:t>Composición de la Inversión Vigente por Subtítulo</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L"/>
        </a:p>
      </c:txPr>
    </c:title>
    <c:autoTitleDeleted val="0"/>
    <c:plotArea>
      <c:layout/>
      <c:doughnutChart>
        <c:varyColors val="1"/>
        <c:ser>
          <c:idx val="0"/>
          <c:order val="0"/>
          <c:tx>
            <c:v>Presupuesto Vigente</c:v>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cat>
            <c:strRef>
              <c:f>Dashboard!$B$14:$B$16</c:f>
              <c:strCache>
                <c:ptCount val="3"/>
                <c:pt idx="0">
                  <c:v>Subtítulo 31 – Iniciativas de Inversión</c:v>
                </c:pt>
                <c:pt idx="1">
                  <c:v>Subtítulo 29 – Activos No Financieros</c:v>
                </c:pt>
                <c:pt idx="2">
                  <c:v>Subtítulo 33 – Transferencias de Capital</c:v>
                </c:pt>
              </c:strCache>
            </c:strRef>
          </c:cat>
          <c:val>
            <c:numRef>
              <c:f>Dashboard!$E$14:$E$16</c:f>
              <c:numCache>
                <c:formatCode>_-* #,##0_-;\-* #,##0_-;_-* "-"_-;_-@_-</c:formatCode>
                <c:ptCount val="3"/>
                <c:pt idx="0">
                  <c:v>2323820848</c:v>
                </c:pt>
                <c:pt idx="1">
                  <c:v>7047523</c:v>
                </c:pt>
                <c:pt idx="2">
                  <c:v>0</c:v>
                </c:pt>
              </c:numCache>
            </c:numRef>
          </c:val>
          <c:extLst>
            <c:ext xmlns:c16="http://schemas.microsoft.com/office/drawing/2014/chart" uri="{C3380CC4-5D6E-409C-BE32-E72D297353CC}">
              <c16:uniqueId val="{00000002-4B38-4B6D-9919-C57A83D1E205}"/>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L"/>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16</xdr:col>
      <xdr:colOff>0</xdr:colOff>
      <xdr:row>10</xdr:row>
      <xdr:rowOff>0</xdr:rowOff>
    </xdr:from>
    <xdr:to>
      <xdr:col>25</xdr:col>
      <xdr:colOff>322580</xdr:colOff>
      <xdr:row>26</xdr:row>
      <xdr:rowOff>73660</xdr:rowOff>
    </xdr:to>
    <xdr:graphicFrame macro="">
      <xdr:nvGraphicFramePr>
        <xdr:cNvPr id="2" name="Gráfico 1">
          <a:extLst>
            <a:ext uri="{FF2B5EF4-FFF2-40B4-BE49-F238E27FC236}">
              <a16:creationId xmlns:a16="http://schemas.microsoft.com/office/drawing/2014/main" id="{D22E61A0-648D-4252-BB59-2DB54DF85AD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16</xdr:col>
      <xdr:colOff>0</xdr:colOff>
      <xdr:row>28</xdr:row>
      <xdr:rowOff>63500</xdr:rowOff>
    </xdr:from>
    <xdr:to>
      <xdr:col>25</xdr:col>
      <xdr:colOff>322580</xdr:colOff>
      <xdr:row>43</xdr:row>
      <xdr:rowOff>66040</xdr:rowOff>
    </xdr:to>
    <xdr:graphicFrame macro="">
      <xdr:nvGraphicFramePr>
        <xdr:cNvPr id="3" name="Gráfico 2">
          <a:extLst>
            <a:ext uri="{FF2B5EF4-FFF2-40B4-BE49-F238E27FC236}">
              <a16:creationId xmlns:a16="http://schemas.microsoft.com/office/drawing/2014/main" id="{3A7294DC-193E-4BED-BC82-2CAB8833EC7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0</xdr:colOff>
      <xdr:row>44</xdr:row>
      <xdr:rowOff>0</xdr:rowOff>
    </xdr:from>
    <xdr:to>
      <xdr:col>23</xdr:col>
      <xdr:colOff>307340</xdr:colOff>
      <xdr:row>59</xdr:row>
      <xdr:rowOff>177800</xdr:rowOff>
    </xdr:to>
    <xdr:graphicFrame macro="">
      <xdr:nvGraphicFramePr>
        <xdr:cNvPr id="4" name="Gráfico 3">
          <a:extLst>
            <a:ext uri="{FF2B5EF4-FFF2-40B4-BE49-F238E27FC236}">
              <a16:creationId xmlns:a16="http://schemas.microsoft.com/office/drawing/2014/main" id="{8B8D3F30-B3DB-4058-964B-9BF4BBD9681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AE222C-24E0-4CAE-AF5F-E923650712C9}">
  <sheetPr>
    <tabColor rgb="FF1B365D"/>
  </sheetPr>
  <dimension ref="B2:O53"/>
  <sheetViews>
    <sheetView tabSelected="1" workbookViewId="0"/>
  </sheetViews>
  <sheetFormatPr baseColWidth="10" defaultColWidth="8.88671875" defaultRowHeight="14.4" x14ac:dyDescent="0.3"/>
  <cols>
    <col min="1" max="1" width="3" style="10" customWidth="1"/>
    <col min="2" max="2" width="32" style="10" customWidth="1"/>
    <col min="3" max="13" width="16" style="10" customWidth="1"/>
    <col min="14" max="15" width="18" style="10" customWidth="1"/>
    <col min="16" max="16" width="4" style="10" customWidth="1"/>
    <col min="17" max="32" width="11" style="10" customWidth="1"/>
    <col min="33" max="16384" width="8.88671875" style="10"/>
  </cols>
  <sheetData>
    <row r="2" spans="2:12" ht="21" x14ac:dyDescent="0.4">
      <c r="B2" s="11" t="s">
        <v>0</v>
      </c>
    </row>
    <row r="3" spans="2:12" ht="15" thickBot="1" x14ac:dyDescent="0.35">
      <c r="B3" s="12" t="s">
        <v>1</v>
      </c>
    </row>
    <row r="4" spans="2:12" ht="18" thickBot="1" x14ac:dyDescent="0.35">
      <c r="B4" s="13" t="s">
        <v>2</v>
      </c>
      <c r="C4" s="14">
        <v>2024</v>
      </c>
      <c r="D4" s="49" t="s">
        <v>3</v>
      </c>
      <c r="E4" s="40"/>
      <c r="F4" s="39" t="s">
        <v>4</v>
      </c>
      <c r="G4" s="40"/>
      <c r="H4" s="49" t="s">
        <v>5</v>
      </c>
      <c r="I4" s="40"/>
      <c r="J4" s="48" t="s">
        <v>6</v>
      </c>
      <c r="K4" s="40"/>
      <c r="L4" s="40"/>
    </row>
    <row r="6" spans="2:12" x14ac:dyDescent="0.3">
      <c r="B6" s="41" t="s">
        <v>7</v>
      </c>
      <c r="C6" s="43"/>
      <c r="D6" s="41" t="s">
        <v>8</v>
      </c>
      <c r="E6" s="43"/>
      <c r="F6" s="41" t="s">
        <v>9</v>
      </c>
      <c r="G6" s="43"/>
      <c r="H6" s="41" t="s">
        <v>10</v>
      </c>
      <c r="I6" s="43"/>
      <c r="J6" s="41" t="s">
        <v>11</v>
      </c>
      <c r="K6" s="42"/>
      <c r="L6" s="43"/>
    </row>
    <row r="7" spans="2:12" x14ac:dyDescent="0.3">
      <c r="B7" s="44">
        <f>D17</f>
        <v>2942161253</v>
      </c>
      <c r="C7" s="45"/>
      <c r="D7" s="44">
        <f>E17</f>
        <v>2330868371</v>
      </c>
      <c r="E7" s="45"/>
      <c r="F7" s="52">
        <f>F17</f>
        <v>2321713289</v>
      </c>
      <c r="G7" s="45"/>
      <c r="H7" s="47">
        <f>H17</f>
        <v>0.99607224409842066</v>
      </c>
      <c r="I7" s="45"/>
      <c r="J7" s="53">
        <f>G17</f>
        <v>9155082</v>
      </c>
      <c r="K7" s="54"/>
      <c r="L7" s="45"/>
    </row>
    <row r="8" spans="2:12" x14ac:dyDescent="0.3">
      <c r="B8" s="46"/>
      <c r="C8" s="45"/>
      <c r="D8" s="46"/>
      <c r="E8" s="45"/>
      <c r="F8" s="46"/>
      <c r="G8" s="45"/>
      <c r="H8" s="46"/>
      <c r="I8" s="45"/>
      <c r="J8" s="46"/>
      <c r="K8" s="54"/>
      <c r="L8" s="45"/>
    </row>
    <row r="9" spans="2:12" x14ac:dyDescent="0.3">
      <c r="B9" s="50" t="s">
        <v>12</v>
      </c>
      <c r="C9" s="51"/>
      <c r="D9" s="50" t="s">
        <v>13</v>
      </c>
      <c r="E9" s="51"/>
      <c r="F9" s="50" t="s">
        <v>14</v>
      </c>
      <c r="G9" s="51"/>
      <c r="H9" s="50" t="s">
        <v>15</v>
      </c>
      <c r="I9" s="51"/>
      <c r="J9" s="50" t="s">
        <v>16</v>
      </c>
      <c r="K9" s="55"/>
      <c r="L9" s="51"/>
    </row>
    <row r="11" spans="2:12" x14ac:dyDescent="0.3">
      <c r="B11" s="15" t="s">
        <v>17</v>
      </c>
    </row>
    <row r="13" spans="2:12" ht="27.6" x14ac:dyDescent="0.3">
      <c r="B13" s="16" t="s">
        <v>18</v>
      </c>
      <c r="C13" s="16" t="s">
        <v>19</v>
      </c>
      <c r="D13" s="16" t="s">
        <v>20</v>
      </c>
      <c r="E13" s="16" t="s">
        <v>21</v>
      </c>
      <c r="F13" s="16" t="s">
        <v>22</v>
      </c>
      <c r="G13" s="16" t="s">
        <v>23</v>
      </c>
      <c r="H13" s="16" t="s">
        <v>24</v>
      </c>
      <c r="I13" s="16" t="s">
        <v>25</v>
      </c>
    </row>
    <row r="14" spans="2:12" x14ac:dyDescent="0.3">
      <c r="B14" s="17" t="s">
        <v>26</v>
      </c>
      <c r="C14" s="18" t="s">
        <v>27</v>
      </c>
      <c r="D14" s="19">
        <f>INDEX(MOP_Mes_Corriente!$1:$161, 14, 3 + ($C$4 - 2014)*13 + 12)</f>
        <v>2933512941</v>
      </c>
      <c r="E14" s="19">
        <f>INDEX(MOP_Mes_Corriente!$1:$161, 26, 3 + ($C$4 - 2014)*13 + 12)</f>
        <v>2323820848</v>
      </c>
      <c r="F14" s="19">
        <f>INDEX(MOP_Mes_Corriente!$1:$161, 38, 3 + ($C$4 - 2014)*13 + 12)</f>
        <v>2314939413</v>
      </c>
      <c r="G14" s="19">
        <f>E14 - F14</f>
        <v>8881435</v>
      </c>
      <c r="H14" s="20">
        <f>IF(E14&gt;0, F14/E14, 0)</f>
        <v>0.99617808962870613</v>
      </c>
      <c r="I14" s="20">
        <f>IF($E$17&gt;0, E14/$E$17, 0)</f>
        <v>0.99697643887244636</v>
      </c>
    </row>
    <row r="15" spans="2:12" x14ac:dyDescent="0.3">
      <c r="B15" s="17" t="s">
        <v>28</v>
      </c>
      <c r="C15" s="18" t="s">
        <v>29</v>
      </c>
      <c r="D15" s="19">
        <f>INDEX(MOP_Mes_Corriente!$1:$161, 53, 3 + ($C$4 - 2014)*13 + 12)</f>
        <v>8648312</v>
      </c>
      <c r="E15" s="19">
        <f>INDEX(MOP_Mes_Corriente!$1:$161, 65, 3 + ($C$4 - 2014)*13 + 12)</f>
        <v>7047523</v>
      </c>
      <c r="F15" s="19">
        <f>INDEX(MOP_Mes_Corriente!$1:$161, 77, 3 + ($C$4 - 2014)*13 + 12)</f>
        <v>6773876</v>
      </c>
      <c r="G15" s="19">
        <f>E15 - F15</f>
        <v>273647</v>
      </c>
      <c r="H15" s="20">
        <f>IF(E15&gt;0, F15/E15, 0)</f>
        <v>0.96117118028561244</v>
      </c>
      <c r="I15" s="20">
        <f>IF($E$17&gt;0, E15/$E$17, 0)</f>
        <v>3.023561127553693E-3</v>
      </c>
    </row>
    <row r="16" spans="2:12" x14ac:dyDescent="0.3">
      <c r="B16" s="17" t="s">
        <v>30</v>
      </c>
      <c r="C16" s="18" t="s">
        <v>31</v>
      </c>
      <c r="D16" s="19">
        <f>INDEX(MOP_Mes_Corriente!$1:$161, 92, 3 + ($C$4 - 2014)*13 + 12)</f>
        <v>0</v>
      </c>
      <c r="E16" s="19">
        <f>INDEX(MOP_Mes_Corriente!$1:$161, 104, 3 + ($C$4 - 2014)*13 + 12)</f>
        <v>0</v>
      </c>
      <c r="F16" s="19">
        <f>INDEX(MOP_Mes_Corriente!$1:$161, 116, 3 + ($C$4 - 2014)*13 + 12)</f>
        <v>0</v>
      </c>
      <c r="G16" s="19">
        <f>E16 - F16</f>
        <v>0</v>
      </c>
      <c r="H16" s="20">
        <f>IF(E16&gt;0, F16/E16, 0)</f>
        <v>0</v>
      </c>
      <c r="I16" s="20">
        <f>IF($E$17&gt;0, E16/$E$17, 0)</f>
        <v>0</v>
      </c>
    </row>
    <row r="17" spans="2:15" ht="15" thickBot="1" x14ac:dyDescent="0.35">
      <c r="B17" s="21" t="s">
        <v>32</v>
      </c>
      <c r="C17" s="22" t="s">
        <v>33</v>
      </c>
      <c r="D17" s="23">
        <f>SUM(D14:D16)</f>
        <v>2942161253</v>
      </c>
      <c r="E17" s="23">
        <f>SUM(E14:E16)</f>
        <v>2330868371</v>
      </c>
      <c r="F17" s="23">
        <f>SUM(F14:F16)</f>
        <v>2321713289</v>
      </c>
      <c r="G17" s="23">
        <f>E17 - F17</f>
        <v>9155082</v>
      </c>
      <c r="H17" s="24">
        <f>IF(E17&gt;0, F17/E17, 0)</f>
        <v>0.99607224409842066</v>
      </c>
      <c r="I17" s="24">
        <f>SUM(I14:I16)</f>
        <v>1</v>
      </c>
    </row>
    <row r="19" spans="2:15" x14ac:dyDescent="0.3">
      <c r="B19" s="15" t="s">
        <v>34</v>
      </c>
    </row>
    <row r="21" spans="2:15" x14ac:dyDescent="0.3">
      <c r="B21" s="25" t="s">
        <v>35</v>
      </c>
      <c r="C21" s="25" t="s">
        <v>36</v>
      </c>
      <c r="D21" s="25" t="s">
        <v>37</v>
      </c>
      <c r="E21" s="25" t="s">
        <v>38</v>
      </c>
      <c r="F21" s="25" t="s">
        <v>39</v>
      </c>
      <c r="G21" s="25" t="s">
        <v>40</v>
      </c>
      <c r="H21" s="25" t="s">
        <v>41</v>
      </c>
      <c r="I21" s="25" t="s">
        <v>42</v>
      </c>
      <c r="J21" s="25" t="s">
        <v>43</v>
      </c>
      <c r="K21" s="25" t="s">
        <v>44</v>
      </c>
      <c r="L21" s="25" t="s">
        <v>24</v>
      </c>
      <c r="M21" s="25" t="s">
        <v>45</v>
      </c>
    </row>
    <row r="22" spans="2:15" x14ac:dyDescent="0.3">
      <c r="B22" s="17" t="s">
        <v>46</v>
      </c>
      <c r="C22" s="19">
        <f>INDEX(MOP_Mes_Corriente!$1:$161, 20, 3 + ($C$4 - 2014)*13 + 12)</f>
        <v>1608652526</v>
      </c>
      <c r="D22" s="19">
        <f>INDEX(MOP_Mes_Corriente!$1:$161, 32, 3 + ($C$4 - 2014)*13 + 12)</f>
        <v>1603559540</v>
      </c>
      <c r="E22" s="19">
        <f>INDEX(MOP_Mes_Corriente!$1:$161, 59, 3 + ($C$4 - 2014)*13 + 12)</f>
        <v>1135861</v>
      </c>
      <c r="F22" s="19">
        <f>INDEX(MOP_Mes_Corriente!$1:$161, 71, 3 + ($C$4 - 2014)*13 + 12)</f>
        <v>1123525</v>
      </c>
      <c r="G22" s="19">
        <f>INDEX(MOP_Mes_Corriente!$1:$161, 98, 3 + ($C$4 - 2014)*13 + 12)</f>
        <v>0</v>
      </c>
      <c r="H22" s="19">
        <f>INDEX(MOP_Mes_Corriente!$1:$161, 110, 3 + ($C$4 - 2014)*13 + 12)</f>
        <v>0</v>
      </c>
      <c r="I22" s="19">
        <f t="shared" ref="I22:J27" si="0">C22 + E22 + G22</f>
        <v>1609788387</v>
      </c>
      <c r="J22" s="19">
        <f t="shared" si="0"/>
        <v>1604683065</v>
      </c>
      <c r="K22" s="19">
        <f t="shared" ref="K22:K27" si="1">I22 - J22</f>
        <v>5105322</v>
      </c>
      <c r="L22" s="20">
        <f t="shared" ref="L22:L28" si="2">IF(I22&gt;0, J22/I22, 0)</f>
        <v>0.99682857570521166</v>
      </c>
      <c r="M22" s="20">
        <f t="shared" ref="M22:M27" si="3">IF($I$28&gt;0, I22/$I$28, 0)</f>
        <v>0.69063890824060614</v>
      </c>
    </row>
    <row r="23" spans="2:15" x14ac:dyDescent="0.3">
      <c r="B23" s="26" t="s">
        <v>47</v>
      </c>
      <c r="C23" s="27">
        <f>INDEX(MOP_Mes_Corriente!$1:$161, 21, 3 + ($C$4 - 2014)*13 + 12)</f>
        <v>244313644</v>
      </c>
      <c r="D23" s="27">
        <f>INDEX(MOP_Mes_Corriente!$1:$161, 33, 3 + ($C$4 - 2014)*13 + 12)</f>
        <v>243896208</v>
      </c>
      <c r="E23" s="27">
        <f>INDEX(MOP_Mes_Corriente!$1:$161, 60, 3 + ($C$4 - 2014)*13 + 12)</f>
        <v>913626</v>
      </c>
      <c r="F23" s="27">
        <f>INDEX(MOP_Mes_Corriente!$1:$161, 72, 3 + ($C$4 - 2014)*13 + 12)</f>
        <v>899916</v>
      </c>
      <c r="G23" s="27">
        <f>INDEX(MOP_Mes_Corriente!$1:$161, 99, 3 + ($C$4 - 2014)*13 + 12)</f>
        <v>0</v>
      </c>
      <c r="H23" s="27">
        <f>INDEX(MOP_Mes_Corriente!$1:$161, 111, 3 + ($C$4 - 2014)*13 + 12)</f>
        <v>0</v>
      </c>
      <c r="I23" s="27">
        <f t="shared" si="0"/>
        <v>245227270</v>
      </c>
      <c r="J23" s="27">
        <f t="shared" si="0"/>
        <v>244796124</v>
      </c>
      <c r="K23" s="27">
        <f t="shared" si="1"/>
        <v>431146</v>
      </c>
      <c r="L23" s="28">
        <f t="shared" si="2"/>
        <v>0.99824185132428378</v>
      </c>
      <c r="M23" s="28">
        <f t="shared" si="3"/>
        <v>0.10520854504314693</v>
      </c>
    </row>
    <row r="24" spans="2:15" x14ac:dyDescent="0.3">
      <c r="B24" s="17" t="s">
        <v>48</v>
      </c>
      <c r="C24" s="19">
        <f>INDEX(MOP_Mes_Corriente!$1:$161, 22, 3 + ($C$4 - 2014)*13 + 12)</f>
        <v>192186387</v>
      </c>
      <c r="D24" s="19">
        <f>INDEX(MOP_Mes_Corriente!$1:$161, 34, 3 + ($C$4 - 2014)*13 + 12)</f>
        <v>189747396</v>
      </c>
      <c r="E24" s="19">
        <f>INDEX(MOP_Mes_Corriente!$1:$161, 61, 3 + ($C$4 - 2014)*13 + 12)</f>
        <v>636104</v>
      </c>
      <c r="F24" s="19">
        <f>INDEX(MOP_Mes_Corriente!$1:$161, 73, 3 + ($C$4 - 2014)*13 + 12)</f>
        <v>612897</v>
      </c>
      <c r="G24" s="19">
        <f>INDEX(MOP_Mes_Corriente!$1:$161, 100, 3 + ($C$4 - 2014)*13 + 12)</f>
        <v>0</v>
      </c>
      <c r="H24" s="19">
        <f>INDEX(MOP_Mes_Corriente!$1:$161, 112, 3 + ($C$4 - 2014)*13 + 12)</f>
        <v>0</v>
      </c>
      <c r="I24" s="19">
        <f t="shared" si="0"/>
        <v>192822491</v>
      </c>
      <c r="J24" s="19">
        <f t="shared" si="0"/>
        <v>190360293</v>
      </c>
      <c r="K24" s="19">
        <f t="shared" si="1"/>
        <v>2462198</v>
      </c>
      <c r="L24" s="20">
        <f t="shared" si="2"/>
        <v>0.98723075307641373</v>
      </c>
      <c r="M24" s="20">
        <f t="shared" si="3"/>
        <v>8.2725602783513E-2</v>
      </c>
    </row>
    <row r="25" spans="2:15" x14ac:dyDescent="0.3">
      <c r="B25" s="26" t="s">
        <v>49</v>
      </c>
      <c r="C25" s="27">
        <f>INDEX(MOP_Mes_Corriente!$1:$161, 23, 3 + ($C$4 - 2014)*13 + 12)</f>
        <v>123682417</v>
      </c>
      <c r="D25" s="27">
        <f>INDEX(MOP_Mes_Corriente!$1:$161, 35, 3 + ($C$4 - 2014)*13 + 12)</f>
        <v>122976500</v>
      </c>
      <c r="E25" s="27">
        <f>INDEX(MOP_Mes_Corriente!$1:$161, 62, 3 + ($C$4 - 2014)*13 + 12)</f>
        <v>1731272</v>
      </c>
      <c r="F25" s="27">
        <f>INDEX(MOP_Mes_Corriente!$1:$161, 74, 3 + ($C$4 - 2014)*13 + 12)</f>
        <v>1508486</v>
      </c>
      <c r="G25" s="27">
        <f>INDEX(MOP_Mes_Corriente!$1:$161, 101, 3 + ($C$4 - 2014)*13 + 12)</f>
        <v>0</v>
      </c>
      <c r="H25" s="27">
        <f>INDEX(MOP_Mes_Corriente!$1:$161, 113, 3 + ($C$4 - 2014)*13 + 12)</f>
        <v>0</v>
      </c>
      <c r="I25" s="27">
        <f t="shared" si="0"/>
        <v>125413689</v>
      </c>
      <c r="J25" s="27">
        <f t="shared" si="0"/>
        <v>124484986</v>
      </c>
      <c r="K25" s="27">
        <f t="shared" si="1"/>
        <v>928703</v>
      </c>
      <c r="L25" s="28">
        <f t="shared" si="2"/>
        <v>0.99259488332250556</v>
      </c>
      <c r="M25" s="28">
        <f t="shared" si="3"/>
        <v>5.3805564724444067E-2</v>
      </c>
    </row>
    <row r="26" spans="2:15" x14ac:dyDescent="0.3">
      <c r="B26" s="17" t="s">
        <v>50</v>
      </c>
      <c r="C26" s="19">
        <f>INDEX(MOP_Mes_Corriente!$1:$161, 24, 3 + ($C$4 - 2014)*13 + 12)</f>
        <v>121300022</v>
      </c>
      <c r="D26" s="19">
        <f>INDEX(MOP_Mes_Corriente!$1:$161, 36, 3 + ($C$4 - 2014)*13 + 12)</f>
        <v>121236421</v>
      </c>
      <c r="E26" s="19">
        <f>INDEX(MOP_Mes_Corriente!$1:$161, 63, 3 + ($C$4 - 2014)*13 + 12)</f>
        <v>1998403</v>
      </c>
      <c r="F26" s="19">
        <f>INDEX(MOP_Mes_Corriente!$1:$161, 75, 3 + ($C$4 - 2014)*13 + 12)</f>
        <v>1997225</v>
      </c>
      <c r="G26" s="19">
        <f>INDEX(MOP_Mes_Corriente!$1:$161, 102, 3 + ($C$4 - 2014)*13 + 12)</f>
        <v>0</v>
      </c>
      <c r="H26" s="19">
        <f>INDEX(MOP_Mes_Corriente!$1:$161, 114, 3 + ($C$4 - 2014)*13 + 12)</f>
        <v>0</v>
      </c>
      <c r="I26" s="19">
        <f t="shared" si="0"/>
        <v>123298425</v>
      </c>
      <c r="J26" s="19">
        <f t="shared" si="0"/>
        <v>123233646</v>
      </c>
      <c r="K26" s="19">
        <f t="shared" si="1"/>
        <v>64779</v>
      </c>
      <c r="L26" s="20">
        <f t="shared" si="2"/>
        <v>0.99947461615993882</v>
      </c>
      <c r="M26" s="20">
        <f t="shared" si="3"/>
        <v>5.289806431544735E-2</v>
      </c>
    </row>
    <row r="27" spans="2:15" x14ac:dyDescent="0.3">
      <c r="B27" s="26" t="s">
        <v>51</v>
      </c>
      <c r="C27" s="27">
        <f>INDEX(MOP_Mes_Corriente!$1:$161, 25, 3 + ($C$4 - 2014)*13 + 12)</f>
        <v>33685852</v>
      </c>
      <c r="D27" s="27">
        <f>INDEX(MOP_Mes_Corriente!$1:$161, 37, 3 + ($C$4 - 2014)*13 + 12)</f>
        <v>33523348</v>
      </c>
      <c r="E27" s="27">
        <f>INDEX(MOP_Mes_Corriente!$1:$161, 64, 3 + ($C$4 - 2014)*13 + 12)</f>
        <v>632257</v>
      </c>
      <c r="F27" s="27">
        <f>INDEX(MOP_Mes_Corriente!$1:$161, 76, 3 + ($C$4 - 2014)*13 + 12)</f>
        <v>631827</v>
      </c>
      <c r="G27" s="27">
        <f>INDEX(MOP_Mes_Corriente!$1:$161, 103, 3 + ($C$4 - 2014)*13 + 12)</f>
        <v>0</v>
      </c>
      <c r="H27" s="27">
        <f>INDEX(MOP_Mes_Corriente!$1:$161, 115, 3 + ($C$4 - 2014)*13 + 12)</f>
        <v>0</v>
      </c>
      <c r="I27" s="27">
        <f t="shared" si="0"/>
        <v>34318109</v>
      </c>
      <c r="J27" s="27">
        <f t="shared" si="0"/>
        <v>34155175</v>
      </c>
      <c r="K27" s="27">
        <f t="shared" si="1"/>
        <v>162934</v>
      </c>
      <c r="L27" s="28">
        <f t="shared" si="2"/>
        <v>0.99525224423058978</v>
      </c>
      <c r="M27" s="28">
        <f t="shared" si="3"/>
        <v>1.472331489284257E-2</v>
      </c>
    </row>
    <row r="28" spans="2:15" ht="15" thickBot="1" x14ac:dyDescent="0.35">
      <c r="B28" s="21" t="s">
        <v>52</v>
      </c>
      <c r="C28" s="23">
        <f t="shared" ref="C28:K28" si="4">SUM(C22:C27)</f>
        <v>2323820848</v>
      </c>
      <c r="D28" s="23">
        <f t="shared" si="4"/>
        <v>2314939413</v>
      </c>
      <c r="E28" s="23">
        <f t="shared" si="4"/>
        <v>7047523</v>
      </c>
      <c r="F28" s="23">
        <f t="shared" si="4"/>
        <v>6773876</v>
      </c>
      <c r="G28" s="23">
        <f t="shared" si="4"/>
        <v>0</v>
      </c>
      <c r="H28" s="23">
        <f t="shared" si="4"/>
        <v>0</v>
      </c>
      <c r="I28" s="23">
        <f t="shared" si="4"/>
        <v>2330868371</v>
      </c>
      <c r="J28" s="23">
        <f t="shared" si="4"/>
        <v>2321713289</v>
      </c>
      <c r="K28" s="23">
        <f t="shared" si="4"/>
        <v>9155082</v>
      </c>
      <c r="L28" s="24">
        <f t="shared" si="2"/>
        <v>0.99607224409842066</v>
      </c>
      <c r="M28" s="24">
        <f>SUM(M22:M27)</f>
        <v>1</v>
      </c>
    </row>
    <row r="30" spans="2:15" x14ac:dyDescent="0.3">
      <c r="B30" s="15" t="s">
        <v>53</v>
      </c>
    </row>
    <row r="32" spans="2:15" x14ac:dyDescent="0.3">
      <c r="B32" s="29" t="s">
        <v>54</v>
      </c>
      <c r="C32" s="29" t="s">
        <v>55</v>
      </c>
      <c r="D32" s="29" t="s">
        <v>56</v>
      </c>
      <c r="E32" s="29" t="s">
        <v>57</v>
      </c>
      <c r="F32" s="29" t="s">
        <v>58</v>
      </c>
      <c r="G32" s="29" t="s">
        <v>59</v>
      </c>
      <c r="H32" s="29" t="s">
        <v>60</v>
      </c>
      <c r="I32" s="29" t="s">
        <v>61</v>
      </c>
      <c r="J32" s="29" t="s">
        <v>62</v>
      </c>
      <c r="K32" s="29" t="s">
        <v>63</v>
      </c>
      <c r="L32" s="29" t="s">
        <v>64</v>
      </c>
      <c r="M32" s="29" t="s">
        <v>65</v>
      </c>
      <c r="N32" s="29" t="s">
        <v>66</v>
      </c>
      <c r="O32" s="29" t="s">
        <v>67</v>
      </c>
    </row>
    <row r="33" spans="2:15" x14ac:dyDescent="0.3">
      <c r="B33" s="17" t="s">
        <v>20</v>
      </c>
      <c r="C33" s="19">
        <f>INDEX(MOP_Mes_Corriente!$1:$161, 14, 3 + ($C$4 - 2014)*13 + 0) + INDEX(MOP_Mes_Corriente!$1:$161, 53, 3 + ($C$4 - 2014)*13 + 0) + INDEX(MOP_Mes_Corriente!$1:$161, 92, 3 + ($C$4 - 2014)*13 + 0)</f>
        <v>2942161253</v>
      </c>
      <c r="D33" s="19">
        <f>INDEX(MOP_Mes_Corriente!$1:$161, 14, 3 + ($C$4 - 2014)*13 + 1) + INDEX(MOP_Mes_Corriente!$1:$161, 53, 3 + ($C$4 - 2014)*13 + 1) + INDEX(MOP_Mes_Corriente!$1:$161, 92, 3 + ($C$4 - 2014)*13 + 1)</f>
        <v>2942161253</v>
      </c>
      <c r="E33" s="19">
        <f>INDEX(MOP_Mes_Corriente!$1:$161, 14, 3 + ($C$4 - 2014)*13 + 2) + INDEX(MOP_Mes_Corriente!$1:$161, 53, 3 + ($C$4 - 2014)*13 + 2) + INDEX(MOP_Mes_Corriente!$1:$161, 92, 3 + ($C$4 - 2014)*13 + 2)</f>
        <v>2942161253</v>
      </c>
      <c r="F33" s="19">
        <f>INDEX(MOP_Mes_Corriente!$1:$161, 14, 3 + ($C$4 - 2014)*13 + 3) + INDEX(MOP_Mes_Corriente!$1:$161, 53, 3 + ($C$4 - 2014)*13 + 3) + INDEX(MOP_Mes_Corriente!$1:$161, 92, 3 + ($C$4 - 2014)*13 + 3)</f>
        <v>2942161253</v>
      </c>
      <c r="G33" s="19">
        <f>INDEX(MOP_Mes_Corriente!$1:$161, 14, 3 + ($C$4 - 2014)*13 + 4) + INDEX(MOP_Mes_Corriente!$1:$161, 53, 3 + ($C$4 - 2014)*13 + 4) + INDEX(MOP_Mes_Corriente!$1:$161, 92, 3 + ($C$4 - 2014)*13 + 4)</f>
        <v>2942161253</v>
      </c>
      <c r="H33" s="19">
        <f>INDEX(MOP_Mes_Corriente!$1:$161, 14, 3 + ($C$4 - 2014)*13 + 5) + INDEX(MOP_Mes_Corriente!$1:$161, 53, 3 + ($C$4 - 2014)*13 + 5) + INDEX(MOP_Mes_Corriente!$1:$161, 92, 3 + ($C$4 - 2014)*13 + 5)</f>
        <v>2942161253</v>
      </c>
      <c r="I33" s="19">
        <f>INDEX(MOP_Mes_Corriente!$1:$161, 14, 3 + ($C$4 - 2014)*13 + 6) + INDEX(MOP_Mes_Corriente!$1:$161, 53, 3 + ($C$4 - 2014)*13 + 6) + INDEX(MOP_Mes_Corriente!$1:$161, 92, 3 + ($C$4 - 2014)*13 + 6)</f>
        <v>2942161253</v>
      </c>
      <c r="J33" s="19">
        <f>INDEX(MOP_Mes_Corriente!$1:$161, 14, 3 + ($C$4 - 2014)*13 + 7) + INDEX(MOP_Mes_Corriente!$1:$161, 53, 3 + ($C$4 - 2014)*13 + 7) + INDEX(MOP_Mes_Corriente!$1:$161, 92, 3 + ($C$4 - 2014)*13 + 7)</f>
        <v>2942161253</v>
      </c>
      <c r="K33" s="19">
        <f>INDEX(MOP_Mes_Corriente!$1:$161, 14, 3 + ($C$4 - 2014)*13 + 8) + INDEX(MOP_Mes_Corriente!$1:$161, 53, 3 + ($C$4 - 2014)*13 + 8) + INDEX(MOP_Mes_Corriente!$1:$161, 92, 3 + ($C$4 - 2014)*13 + 8)</f>
        <v>2942161253</v>
      </c>
      <c r="L33" s="19">
        <f>INDEX(MOP_Mes_Corriente!$1:$161, 14, 3 + ($C$4 - 2014)*13 + 9) + INDEX(MOP_Mes_Corriente!$1:$161, 53, 3 + ($C$4 - 2014)*13 + 9) + INDEX(MOP_Mes_Corriente!$1:$161, 92, 3 + ($C$4 - 2014)*13 + 9)</f>
        <v>2942161253</v>
      </c>
      <c r="M33" s="19">
        <f>INDEX(MOP_Mes_Corriente!$1:$161, 14, 3 + ($C$4 - 2014)*13 + 10) + INDEX(MOP_Mes_Corriente!$1:$161, 53, 3 + ($C$4 - 2014)*13 + 10) + INDEX(MOP_Mes_Corriente!$1:$161, 92, 3 + ($C$4 - 2014)*13 + 10)</f>
        <v>2942161253</v>
      </c>
      <c r="N33" s="19">
        <f>INDEX(MOP_Mes_Corriente!$1:$161, 14, 3 + ($C$4 - 2014)*13 + 11) + INDEX(MOP_Mes_Corriente!$1:$161, 53, 3 + ($C$4 - 2014)*13 + 11) + INDEX(MOP_Mes_Corriente!$1:$161, 92, 3 + ($C$4 - 2014)*13 + 11)</f>
        <v>2942161253</v>
      </c>
      <c r="O33" s="30">
        <f>INDEX(MOP_Mes_Corriente!$1:$161, 14, 3 + ($C$4 - 2014)*13 + 12) + INDEX(MOP_Mes_Corriente!$1:$161, 53, 3 + ($C$4 - 2014)*13 + 12) + INDEX(MOP_Mes_Corriente!$1:$161, 92, 3 + ($C$4 - 2014)*13 + 12)</f>
        <v>2942161253</v>
      </c>
    </row>
    <row r="34" spans="2:15" x14ac:dyDescent="0.3">
      <c r="B34" s="17" t="s">
        <v>21</v>
      </c>
      <c r="C34" s="19">
        <f>INDEX(MOP_Mes_Corriente!$1:$161, 26, 3 + ($C$4 - 2014)*13 + 0) + INDEX(MOP_Mes_Corriente!$1:$161, 65, 3 + ($C$4 - 2014)*13 + 0) + INDEX(MOP_Mes_Corriente!$1:$161, 104, 3 + ($C$4 - 2014)*13 + 0)</f>
        <v>2942161253</v>
      </c>
      <c r="D34" s="19">
        <f>INDEX(MOP_Mes_Corriente!$1:$161, 26, 3 + ($C$4 - 2014)*13 + 1) + INDEX(MOP_Mes_Corriente!$1:$161, 65, 3 + ($C$4 - 2014)*13 + 1) + INDEX(MOP_Mes_Corriente!$1:$161, 104, 3 + ($C$4 - 2014)*13 + 1)</f>
        <v>2942161253</v>
      </c>
      <c r="E34" s="19">
        <f>INDEX(MOP_Mes_Corriente!$1:$161, 26, 3 + ($C$4 - 2014)*13 + 2) + INDEX(MOP_Mes_Corriente!$1:$161, 65, 3 + ($C$4 - 2014)*13 + 2) + INDEX(MOP_Mes_Corriente!$1:$161, 104, 3 + ($C$4 - 2014)*13 + 2)</f>
        <v>2872224418</v>
      </c>
      <c r="F34" s="19">
        <f>INDEX(MOP_Mes_Corriente!$1:$161, 26, 3 + ($C$4 - 2014)*13 + 3) + INDEX(MOP_Mes_Corriente!$1:$161, 65, 3 + ($C$4 - 2014)*13 + 3) + INDEX(MOP_Mes_Corriente!$1:$161, 104, 3 + ($C$4 - 2014)*13 + 3)</f>
        <v>2789233638</v>
      </c>
      <c r="G34" s="19">
        <f>INDEX(MOP_Mes_Corriente!$1:$161, 26, 3 + ($C$4 - 2014)*13 + 4) + INDEX(MOP_Mes_Corriente!$1:$161, 65, 3 + ($C$4 - 2014)*13 + 4) + INDEX(MOP_Mes_Corriente!$1:$161, 104, 3 + ($C$4 - 2014)*13 + 4)</f>
        <v>2788989293</v>
      </c>
      <c r="H34" s="19">
        <f>INDEX(MOP_Mes_Corriente!$1:$161, 26, 3 + ($C$4 - 2014)*13 + 5) + INDEX(MOP_Mes_Corriente!$1:$161, 65, 3 + ($C$4 - 2014)*13 + 5) + INDEX(MOP_Mes_Corriente!$1:$161, 104, 3 + ($C$4 - 2014)*13 + 5)</f>
        <v>2768911293</v>
      </c>
      <c r="I34" s="19">
        <f>INDEX(MOP_Mes_Corriente!$1:$161, 26, 3 + ($C$4 - 2014)*13 + 6) + INDEX(MOP_Mes_Corriente!$1:$161, 65, 3 + ($C$4 - 2014)*13 + 6) + INDEX(MOP_Mes_Corriente!$1:$161, 104, 3 + ($C$4 - 2014)*13 + 6)</f>
        <v>2768911293</v>
      </c>
      <c r="J34" s="19">
        <f>INDEX(MOP_Mes_Corriente!$1:$161, 26, 3 + ($C$4 - 2014)*13 + 7) + INDEX(MOP_Mes_Corriente!$1:$161, 65, 3 + ($C$4 - 2014)*13 + 7) + INDEX(MOP_Mes_Corriente!$1:$161, 104, 3 + ($C$4 - 2014)*13 + 7)</f>
        <v>2765121527</v>
      </c>
      <c r="K34" s="19">
        <f>INDEX(MOP_Mes_Corriente!$1:$161, 26, 3 + ($C$4 - 2014)*13 + 8) + INDEX(MOP_Mes_Corriente!$1:$161, 65, 3 + ($C$4 - 2014)*13 + 8) + INDEX(MOP_Mes_Corriente!$1:$161, 104, 3 + ($C$4 - 2014)*13 + 8)</f>
        <v>2763486063</v>
      </c>
      <c r="L34" s="19">
        <f>INDEX(MOP_Mes_Corriente!$1:$161, 26, 3 + ($C$4 - 2014)*13 + 9) + INDEX(MOP_Mes_Corriente!$1:$161, 65, 3 + ($C$4 - 2014)*13 + 9) + INDEX(MOP_Mes_Corriente!$1:$161, 104, 3 + ($C$4 - 2014)*13 + 9)</f>
        <v>2757523660</v>
      </c>
      <c r="M34" s="19">
        <f>INDEX(MOP_Mes_Corriente!$1:$161, 26, 3 + ($C$4 - 2014)*13 + 10) + INDEX(MOP_Mes_Corriente!$1:$161, 65, 3 + ($C$4 - 2014)*13 + 10) + INDEX(MOP_Mes_Corriente!$1:$161, 104, 3 + ($C$4 - 2014)*13 + 10)</f>
        <v>2716453128</v>
      </c>
      <c r="N34" s="19">
        <f>INDEX(MOP_Mes_Corriente!$1:$161, 26, 3 + ($C$4 - 2014)*13 + 11) + INDEX(MOP_Mes_Corriente!$1:$161, 65, 3 + ($C$4 - 2014)*13 + 11) + INDEX(MOP_Mes_Corriente!$1:$161, 104, 3 + ($C$4 - 2014)*13 + 11)</f>
        <v>2330868371</v>
      </c>
      <c r="O34" s="30">
        <f>INDEX(MOP_Mes_Corriente!$1:$161, 26, 3 + ($C$4 - 2014)*13 + 12) + INDEX(MOP_Mes_Corriente!$1:$161, 65, 3 + ($C$4 - 2014)*13 + 12) + INDEX(MOP_Mes_Corriente!$1:$161, 104, 3 + ($C$4 - 2014)*13 + 12)</f>
        <v>2330868371</v>
      </c>
    </row>
    <row r="35" spans="2:15" x14ac:dyDescent="0.3">
      <c r="B35" s="31" t="s">
        <v>22</v>
      </c>
      <c r="C35" s="32">
        <f>INDEX(MOP_Mes_Corriente!$1:$161, 38, 3 + ($C$4 - 2014)*13 + 0) + INDEX(MOP_Mes_Corriente!$1:$161, 77, 3 + ($C$4 - 2014)*13 + 0) + INDEX(MOP_Mes_Corriente!$1:$161, 116, 3 + ($C$4 - 2014)*13 + 0)</f>
        <v>10076</v>
      </c>
      <c r="D35" s="32">
        <f>INDEX(MOP_Mes_Corriente!$1:$161, 38, 3 + ($C$4 - 2014)*13 + 1) + INDEX(MOP_Mes_Corriente!$1:$161, 77, 3 + ($C$4 - 2014)*13 + 1) + INDEX(MOP_Mes_Corriente!$1:$161, 116, 3 + ($C$4 - 2014)*13 + 1)</f>
        <v>158901130</v>
      </c>
      <c r="E35" s="32">
        <f>INDEX(MOP_Mes_Corriente!$1:$161, 38, 3 + ($C$4 - 2014)*13 + 2) + INDEX(MOP_Mes_Corriente!$1:$161, 77, 3 + ($C$4 - 2014)*13 + 2) + INDEX(MOP_Mes_Corriente!$1:$161, 116, 3 + ($C$4 - 2014)*13 + 2)</f>
        <v>342245752</v>
      </c>
      <c r="F35" s="32">
        <f>INDEX(MOP_Mes_Corriente!$1:$161, 38, 3 + ($C$4 - 2014)*13 + 3) + INDEX(MOP_Mes_Corriente!$1:$161, 77, 3 + ($C$4 - 2014)*13 + 3) + INDEX(MOP_Mes_Corriente!$1:$161, 116, 3 + ($C$4 - 2014)*13 + 3)</f>
        <v>535933925</v>
      </c>
      <c r="G35" s="32">
        <f>INDEX(MOP_Mes_Corriente!$1:$161, 38, 3 + ($C$4 - 2014)*13 + 4) + INDEX(MOP_Mes_Corriente!$1:$161, 77, 3 + ($C$4 - 2014)*13 + 4) + INDEX(MOP_Mes_Corriente!$1:$161, 116, 3 + ($C$4 - 2014)*13 + 4)</f>
        <v>735766967</v>
      </c>
      <c r="H35" s="32">
        <f>INDEX(MOP_Mes_Corriente!$1:$161, 38, 3 + ($C$4 - 2014)*13 + 5) + INDEX(MOP_Mes_Corriente!$1:$161, 77, 3 + ($C$4 - 2014)*13 + 5) + INDEX(MOP_Mes_Corriente!$1:$161, 116, 3 + ($C$4 - 2014)*13 + 5)</f>
        <v>1103900218</v>
      </c>
      <c r="I35" s="32">
        <f>INDEX(MOP_Mes_Corriente!$1:$161, 38, 3 + ($C$4 - 2014)*13 + 6) + INDEX(MOP_Mes_Corriente!$1:$161, 77, 3 + ($C$4 - 2014)*13 + 6) + INDEX(MOP_Mes_Corriente!$1:$161, 116, 3 + ($C$4 - 2014)*13 + 6)</f>
        <v>1232252883</v>
      </c>
      <c r="J35" s="32">
        <f>INDEX(MOP_Mes_Corriente!$1:$161, 38, 3 + ($C$4 - 2014)*13 + 7) + INDEX(MOP_Mes_Corriente!$1:$161, 77, 3 + ($C$4 - 2014)*13 + 7) + INDEX(MOP_Mes_Corriente!$1:$161, 116, 3 + ($C$4 - 2014)*13 + 7)</f>
        <v>1374995854</v>
      </c>
      <c r="K35" s="32">
        <f>INDEX(MOP_Mes_Corriente!$1:$161, 38, 3 + ($C$4 - 2014)*13 + 8) + INDEX(MOP_Mes_Corriente!$1:$161, 77, 3 + ($C$4 - 2014)*13 + 8) + INDEX(MOP_Mes_Corriente!$1:$161, 116, 3 + ($C$4 - 2014)*13 + 8)</f>
        <v>1567303306</v>
      </c>
      <c r="L35" s="32">
        <f>INDEX(MOP_Mes_Corriente!$1:$161, 38, 3 + ($C$4 - 2014)*13 + 9) + INDEX(MOP_Mes_Corriente!$1:$161, 77, 3 + ($C$4 - 2014)*13 + 9) + INDEX(MOP_Mes_Corriente!$1:$161, 116, 3 + ($C$4 - 2014)*13 + 9)</f>
        <v>1765889793</v>
      </c>
      <c r="M35" s="32">
        <f>INDEX(MOP_Mes_Corriente!$1:$161, 38, 3 + ($C$4 - 2014)*13 + 10) + INDEX(MOP_Mes_Corriente!$1:$161, 77, 3 + ($C$4 - 2014)*13 + 10) + INDEX(MOP_Mes_Corriente!$1:$161, 116, 3 + ($C$4 - 2014)*13 + 10)</f>
        <v>2025828192</v>
      </c>
      <c r="N35" s="32">
        <f>INDEX(MOP_Mes_Corriente!$1:$161, 38, 3 + ($C$4 - 2014)*13 + 11) + INDEX(MOP_Mes_Corriente!$1:$161, 77, 3 + ($C$4 - 2014)*13 + 11) + INDEX(MOP_Mes_Corriente!$1:$161, 116, 3 + ($C$4 - 2014)*13 + 11)</f>
        <v>2321713289</v>
      </c>
      <c r="O35" s="33">
        <f>INDEX(MOP_Mes_Corriente!$1:$161, 38, 3 + ($C$4 - 2014)*13 + 12) + INDEX(MOP_Mes_Corriente!$1:$161, 77, 3 + ($C$4 - 2014)*13 + 12) + INDEX(MOP_Mes_Corriente!$1:$161, 116, 3 + ($C$4 - 2014)*13 + 12)</f>
        <v>2321713289</v>
      </c>
    </row>
    <row r="36" spans="2:15" ht="15" thickBot="1" x14ac:dyDescent="0.35">
      <c r="B36" s="34" t="s">
        <v>68</v>
      </c>
      <c r="C36" s="35">
        <f t="shared" ref="C36:O36" si="5">IF(C34&gt;0, C35/C34, 0)</f>
        <v>3.4246933235647504E-6</v>
      </c>
      <c r="D36" s="35">
        <f t="shared" si="5"/>
        <v>5.4008300815590951E-2</v>
      </c>
      <c r="E36" s="35">
        <f t="shared" si="5"/>
        <v>0.11915703726184254</v>
      </c>
      <c r="F36" s="35">
        <f t="shared" si="5"/>
        <v>0.19214379093186598</v>
      </c>
      <c r="G36" s="35">
        <f t="shared" si="5"/>
        <v>0.26381132722405182</v>
      </c>
      <c r="H36" s="35">
        <f t="shared" si="5"/>
        <v>0.39867662817177868</v>
      </c>
      <c r="I36" s="35">
        <f t="shared" si="5"/>
        <v>0.4450315494451631</v>
      </c>
      <c r="J36" s="35">
        <f t="shared" si="5"/>
        <v>0.49726416744214225</v>
      </c>
      <c r="K36" s="35">
        <f t="shared" si="5"/>
        <v>0.56714717218387511</v>
      </c>
      <c r="L36" s="35">
        <f t="shared" si="5"/>
        <v>0.6403897158220575</v>
      </c>
      <c r="M36" s="35">
        <f t="shared" si="5"/>
        <v>0.74576224824888637</v>
      </c>
      <c r="N36" s="35">
        <f t="shared" si="5"/>
        <v>0.99607224409842066</v>
      </c>
      <c r="O36" s="24">
        <f t="shared" si="5"/>
        <v>0.99607224409842066</v>
      </c>
    </row>
    <row r="38" spans="2:15" x14ac:dyDescent="0.3">
      <c r="B38" s="15" t="s">
        <v>69</v>
      </c>
    </row>
    <row r="40" spans="2:15" ht="27.6" x14ac:dyDescent="0.3">
      <c r="B40" s="16" t="s">
        <v>70</v>
      </c>
      <c r="C40" s="16" t="s">
        <v>20</v>
      </c>
      <c r="D40" s="16" t="s">
        <v>21</v>
      </c>
      <c r="E40" s="16" t="s">
        <v>22</v>
      </c>
      <c r="F40" s="16" t="s">
        <v>23</v>
      </c>
      <c r="G40" s="16" t="s">
        <v>24</v>
      </c>
      <c r="H40" s="16" t="s">
        <v>71</v>
      </c>
      <c r="I40" s="16" t="s">
        <v>72</v>
      </c>
    </row>
    <row r="41" spans="2:15" x14ac:dyDescent="0.3">
      <c r="B41" s="36">
        <v>2014</v>
      </c>
      <c r="C41" s="27">
        <f>MOP_Mes_Corriente!O14 + MOP_Mes_Corriente!O53 + MOP_Mes_Corriente!O92</f>
        <v>1084025889</v>
      </c>
      <c r="D41" s="27">
        <f>MOP_Mes_Corriente!O26 + MOP_Mes_Corriente!O65 + MOP_Mes_Corriente!O104</f>
        <v>1166387752</v>
      </c>
      <c r="E41" s="27">
        <f>MOP_Mes_Corriente!O38 + MOP_Mes_Corriente!O77 + MOP_Mes_Corriente!O116</f>
        <v>1164341987</v>
      </c>
      <c r="F41" s="27">
        <f t="shared" ref="F41:F53" si="6">D41 - E41</f>
        <v>2045765</v>
      </c>
      <c r="G41" s="28">
        <f t="shared" ref="G41:G53" si="7">IF(D41&gt;0, E41/D41, 0)</f>
        <v>0.99824606783079461</v>
      </c>
      <c r="H41" s="37" t="s">
        <v>73</v>
      </c>
      <c r="I41" s="37" t="s">
        <v>73</v>
      </c>
    </row>
    <row r="42" spans="2:15" x14ac:dyDescent="0.3">
      <c r="B42" s="38">
        <v>2015</v>
      </c>
      <c r="C42" s="19">
        <f>MOP_Mes_Corriente!AB14 + MOP_Mes_Corriente!AB53 + MOP_Mes_Corriente!AB92</f>
        <v>1280988401</v>
      </c>
      <c r="D42" s="19">
        <f>MOP_Mes_Corriente!AB26 + MOP_Mes_Corriente!AB65 + MOP_Mes_Corriente!AB104</f>
        <v>1327989832</v>
      </c>
      <c r="E42" s="19">
        <f>MOP_Mes_Corriente!AB38 + MOP_Mes_Corriente!AB77 + MOP_Mes_Corriente!AB116</f>
        <v>1325414832</v>
      </c>
      <c r="F42" s="19">
        <f t="shared" si="6"/>
        <v>2575000</v>
      </c>
      <c r="G42" s="20">
        <f t="shared" si="7"/>
        <v>0.99806097912954506</v>
      </c>
      <c r="H42" s="20">
        <f t="shared" ref="H42:I53" si="8">IF(D41&gt;0, (D42-D41)/D41, 0)</f>
        <v>0.13854919148705189</v>
      </c>
      <c r="I42" s="20">
        <f t="shared" si="8"/>
        <v>0.13833808863580901</v>
      </c>
    </row>
    <row r="43" spans="2:15" x14ac:dyDescent="0.3">
      <c r="B43" s="36">
        <v>2016</v>
      </c>
      <c r="C43" s="27">
        <f>MOP_Mes_Corriente!AO14 + MOP_Mes_Corriente!AO53 + MOP_Mes_Corriente!AO92</f>
        <v>1280211801</v>
      </c>
      <c r="D43" s="27">
        <f>MOP_Mes_Corriente!AO26 + MOP_Mes_Corriente!AO65 + MOP_Mes_Corriente!AO104</f>
        <v>1282280297</v>
      </c>
      <c r="E43" s="27">
        <f>MOP_Mes_Corriente!AO38 + MOP_Mes_Corriente!AO77 + MOP_Mes_Corriente!AO116</f>
        <v>1279809174</v>
      </c>
      <c r="F43" s="27">
        <f t="shared" si="6"/>
        <v>2471123</v>
      </c>
      <c r="G43" s="28">
        <f t="shared" si="7"/>
        <v>0.99807286830673336</v>
      </c>
      <c r="H43" s="28">
        <f t="shared" si="8"/>
        <v>-3.4420094114094094E-2</v>
      </c>
      <c r="I43" s="28">
        <f t="shared" si="8"/>
        <v>-3.4408591860393488E-2</v>
      </c>
    </row>
    <row r="44" spans="2:15" x14ac:dyDescent="0.3">
      <c r="B44" s="38">
        <v>2017</v>
      </c>
      <c r="C44" s="19">
        <f>MOP_Mes_Corriente!BB14 + MOP_Mes_Corriente!BB53 + MOP_Mes_Corriente!BB92</f>
        <v>1341993281</v>
      </c>
      <c r="D44" s="19">
        <f>MOP_Mes_Corriente!BB26 + MOP_Mes_Corriente!BB65 + MOP_Mes_Corriente!BB104</f>
        <v>1319688378</v>
      </c>
      <c r="E44" s="19">
        <f>MOP_Mes_Corriente!BB38 + MOP_Mes_Corriente!BB77 + MOP_Mes_Corriente!BB116</f>
        <v>1316094896</v>
      </c>
      <c r="F44" s="19">
        <f t="shared" si="6"/>
        <v>3593482</v>
      </c>
      <c r="G44" s="20">
        <f t="shared" si="7"/>
        <v>0.99727702231837034</v>
      </c>
      <c r="H44" s="20">
        <f t="shared" si="8"/>
        <v>2.917309194215904E-2</v>
      </c>
      <c r="I44" s="20">
        <f t="shared" si="8"/>
        <v>2.8352447175066117E-2</v>
      </c>
    </row>
    <row r="45" spans="2:15" x14ac:dyDescent="0.3">
      <c r="B45" s="36">
        <v>2018</v>
      </c>
      <c r="C45" s="27">
        <f>MOP_Mes_Corriente!BO14 + MOP_Mes_Corriente!BO53 + MOP_Mes_Corriente!BO92</f>
        <v>1360411524</v>
      </c>
      <c r="D45" s="27">
        <f>MOP_Mes_Corriente!BO26 + MOP_Mes_Corriente!BO65 + MOP_Mes_Corriente!BO104</f>
        <v>1257040244</v>
      </c>
      <c r="E45" s="27">
        <f>MOP_Mes_Corriente!BO38 + MOP_Mes_Corriente!BO77 + MOP_Mes_Corriente!BO116</f>
        <v>1252583084</v>
      </c>
      <c r="F45" s="27">
        <f t="shared" si="6"/>
        <v>4457160</v>
      </c>
      <c r="G45" s="28">
        <f t="shared" si="7"/>
        <v>0.99645424239894109</v>
      </c>
      <c r="H45" s="28">
        <f t="shared" si="8"/>
        <v>-4.7471914615891238E-2</v>
      </c>
      <c r="I45" s="28">
        <f t="shared" si="8"/>
        <v>-4.8257775478828389E-2</v>
      </c>
    </row>
    <row r="46" spans="2:15" x14ac:dyDescent="0.3">
      <c r="B46" s="38">
        <v>2019</v>
      </c>
      <c r="C46" s="19">
        <f>MOP_Mes_Corriente!CB14 + MOP_Mes_Corriente!CB53 + MOP_Mes_Corriente!CB92</f>
        <v>1453655213</v>
      </c>
      <c r="D46" s="19">
        <f>MOP_Mes_Corriente!CB26 + MOP_Mes_Corriente!CB65 + MOP_Mes_Corriente!CB104</f>
        <v>1476564275</v>
      </c>
      <c r="E46" s="19">
        <f>MOP_Mes_Corriente!CB38 + MOP_Mes_Corriente!CB77 + MOP_Mes_Corriente!CB116</f>
        <v>1462473656</v>
      </c>
      <c r="F46" s="19">
        <f t="shared" si="6"/>
        <v>14090619</v>
      </c>
      <c r="G46" s="20">
        <f t="shared" si="7"/>
        <v>0.99045715839224135</v>
      </c>
      <c r="H46" s="20">
        <f t="shared" si="8"/>
        <v>0.17463564277103605</v>
      </c>
      <c r="I46" s="20">
        <f t="shared" si="8"/>
        <v>0.16756618756955846</v>
      </c>
    </row>
    <row r="47" spans="2:15" x14ac:dyDescent="0.3">
      <c r="B47" s="36">
        <v>2020</v>
      </c>
      <c r="C47" s="27">
        <f>MOP_Mes_Corriente!CO14 + MOP_Mes_Corriente!CO53 + MOP_Mes_Corriente!CO92</f>
        <v>1578601711</v>
      </c>
      <c r="D47" s="27">
        <f>MOP_Mes_Corriente!CO26 + MOP_Mes_Corriente!CO65 + MOP_Mes_Corriente!CO104</f>
        <v>1397548041</v>
      </c>
      <c r="E47" s="27">
        <f>MOP_Mes_Corriente!CO38 + MOP_Mes_Corriente!CO77 + MOP_Mes_Corriente!CO116</f>
        <v>1373767417</v>
      </c>
      <c r="F47" s="27">
        <f t="shared" si="6"/>
        <v>23780624</v>
      </c>
      <c r="G47" s="28">
        <f t="shared" si="7"/>
        <v>0.98298403825675718</v>
      </c>
      <c r="H47" s="28">
        <f t="shared" si="8"/>
        <v>-5.3513575628124962E-2</v>
      </c>
      <c r="I47" s="28">
        <f t="shared" si="8"/>
        <v>-6.0654931209236089E-2</v>
      </c>
    </row>
    <row r="48" spans="2:15" x14ac:dyDescent="0.3">
      <c r="B48" s="38">
        <v>2021</v>
      </c>
      <c r="C48" s="19">
        <f>MOP_Mes_Corriente!DB14 + MOP_Mes_Corriente!DB53 + MOP_Mes_Corriente!DB92</f>
        <v>2326773489</v>
      </c>
      <c r="D48" s="19">
        <f>MOP_Mes_Corriente!DB26 + MOP_Mes_Corriente!DB65 + MOP_Mes_Corriente!DB104</f>
        <v>1577529365</v>
      </c>
      <c r="E48" s="19">
        <f>MOP_Mes_Corriente!DB38 + MOP_Mes_Corriente!DB77 + MOP_Mes_Corriente!DB116</f>
        <v>1391673062</v>
      </c>
      <c r="F48" s="19">
        <f t="shared" si="6"/>
        <v>185856303</v>
      </c>
      <c r="G48" s="20">
        <f t="shared" si="7"/>
        <v>0.88218520230208208</v>
      </c>
      <c r="H48" s="20">
        <f t="shared" si="8"/>
        <v>0.12878364014679336</v>
      </c>
      <c r="I48" s="20">
        <f t="shared" si="8"/>
        <v>1.3033971237359752E-2</v>
      </c>
    </row>
    <row r="49" spans="2:9" x14ac:dyDescent="0.3">
      <c r="B49" s="36">
        <v>2022</v>
      </c>
      <c r="C49" s="27">
        <f>MOP_Mes_Corriente!DO14 + MOP_Mes_Corriente!DO53 + MOP_Mes_Corriente!DO92</f>
        <v>2620025909</v>
      </c>
      <c r="D49" s="27">
        <f>MOP_Mes_Corriente!DO26 + MOP_Mes_Corriente!DO65 + MOP_Mes_Corriente!DO104</f>
        <v>1358582828</v>
      </c>
      <c r="E49" s="27">
        <f>MOP_Mes_Corriente!DO38 + MOP_Mes_Corriente!DO77 + MOP_Mes_Corriente!DO116</f>
        <v>1340723690</v>
      </c>
      <c r="F49" s="27">
        <f t="shared" si="6"/>
        <v>17859138</v>
      </c>
      <c r="G49" s="28">
        <f t="shared" si="7"/>
        <v>0.986854582855069</v>
      </c>
      <c r="H49" s="28">
        <f t="shared" si="8"/>
        <v>-0.13879078377726425</v>
      </c>
      <c r="I49" s="28">
        <f t="shared" si="8"/>
        <v>-3.6610158945506698E-2</v>
      </c>
    </row>
    <row r="50" spans="2:9" x14ac:dyDescent="0.3">
      <c r="B50" s="38">
        <v>2023</v>
      </c>
      <c r="C50" s="19">
        <f>MOP_Mes_Corriente!EB14 + MOP_Mes_Corriente!EB53 + MOP_Mes_Corriente!EB92</f>
        <v>2835156480</v>
      </c>
      <c r="D50" s="19">
        <f>MOP_Mes_Corriente!EB26 + MOP_Mes_Corriente!EB65 + MOP_Mes_Corriente!EB104</f>
        <v>2132837420</v>
      </c>
      <c r="E50" s="19">
        <f>MOP_Mes_Corriente!EB38 + MOP_Mes_Corriente!EB77 + MOP_Mes_Corriente!EB116</f>
        <v>2106371463</v>
      </c>
      <c r="F50" s="19">
        <f t="shared" si="6"/>
        <v>26465957</v>
      </c>
      <c r="G50" s="20">
        <f t="shared" si="7"/>
        <v>0.98759119811391904</v>
      </c>
      <c r="H50" s="20">
        <f t="shared" si="8"/>
        <v>0.56989870329790449</v>
      </c>
      <c r="I50" s="20">
        <f t="shared" si="8"/>
        <v>0.57107051863907921</v>
      </c>
    </row>
    <row r="51" spans="2:9" x14ac:dyDescent="0.3">
      <c r="B51" s="36">
        <v>2024</v>
      </c>
      <c r="C51" s="27">
        <f>MOP_Mes_Corriente!EO14 + MOP_Mes_Corriente!EO53 + MOP_Mes_Corriente!EO92</f>
        <v>2942161253</v>
      </c>
      <c r="D51" s="27">
        <f>MOP_Mes_Corriente!EO26 + MOP_Mes_Corriente!EO65 + MOP_Mes_Corriente!EO104</f>
        <v>2330868371</v>
      </c>
      <c r="E51" s="27">
        <f>MOP_Mes_Corriente!EO38 + MOP_Mes_Corriente!EO77 + MOP_Mes_Corriente!EO116</f>
        <v>2321713289</v>
      </c>
      <c r="F51" s="27">
        <f t="shared" si="6"/>
        <v>9155082</v>
      </c>
      <c r="G51" s="28">
        <f t="shared" si="7"/>
        <v>0.99607224409842066</v>
      </c>
      <c r="H51" s="28">
        <f t="shared" si="8"/>
        <v>9.284859180687105E-2</v>
      </c>
      <c r="I51" s="28">
        <f t="shared" si="8"/>
        <v>0.10223354701800762</v>
      </c>
    </row>
    <row r="52" spans="2:9" x14ac:dyDescent="0.3">
      <c r="B52" s="38">
        <v>2025</v>
      </c>
      <c r="C52" s="19">
        <f>MOP_Mes_Corriente!FB14 + MOP_Mes_Corriente!FB53 + MOP_Mes_Corriente!FB92</f>
        <v>3058423954</v>
      </c>
      <c r="D52" s="19">
        <f>MOP_Mes_Corriente!FB26 + MOP_Mes_Corriente!FB65 + MOP_Mes_Corriente!FB104</f>
        <v>2814546937</v>
      </c>
      <c r="E52" s="19">
        <f>MOP_Mes_Corriente!FB38 + MOP_Mes_Corriente!FB77 + MOP_Mes_Corriente!FB116</f>
        <v>2769768945</v>
      </c>
      <c r="F52" s="19">
        <f t="shared" si="6"/>
        <v>44777992</v>
      </c>
      <c r="G52" s="20">
        <f t="shared" si="7"/>
        <v>0.984090515098061</v>
      </c>
      <c r="H52" s="20">
        <f t="shared" si="8"/>
        <v>0.20751003017493003</v>
      </c>
      <c r="I52" s="20">
        <f t="shared" si="8"/>
        <v>0.19298492114544641</v>
      </c>
    </row>
    <row r="53" spans="2:9" x14ac:dyDescent="0.3">
      <c r="B53" s="36">
        <v>2026</v>
      </c>
      <c r="C53" s="27">
        <f>MOP_Mes_Corriente!FO14 + MOP_Mes_Corriente!FO53 + MOP_Mes_Corriente!FO92</f>
        <v>2710709303</v>
      </c>
      <c r="D53" s="27">
        <f>MOP_Mes_Corriente!FO26 + MOP_Mes_Corriente!FO65 + MOP_Mes_Corriente!FO104</f>
        <v>2542855698</v>
      </c>
      <c r="E53" s="27">
        <f>MOP_Mes_Corriente!FO38 + MOP_Mes_Corriente!FO77 + MOP_Mes_Corriente!FO116</f>
        <v>1238260857</v>
      </c>
      <c r="F53" s="27">
        <f t="shared" si="6"/>
        <v>1304594841</v>
      </c>
      <c r="G53" s="28">
        <f t="shared" si="7"/>
        <v>0.48695679348769716</v>
      </c>
      <c r="H53" s="28">
        <f t="shared" si="8"/>
        <v>-9.6531074123636124E-2</v>
      </c>
      <c r="I53" s="28">
        <f t="shared" si="8"/>
        <v>-0.55293712884054302</v>
      </c>
    </row>
  </sheetData>
  <mergeCells count="19">
    <mergeCell ref="B7:C8"/>
    <mergeCell ref="D7:E8"/>
    <mergeCell ref="F7:G8"/>
    <mergeCell ref="H7:I8"/>
    <mergeCell ref="J7:L8"/>
    <mergeCell ref="B9:C9"/>
    <mergeCell ref="D9:E9"/>
    <mergeCell ref="F9:G9"/>
    <mergeCell ref="H9:I9"/>
    <mergeCell ref="J9:L9"/>
    <mergeCell ref="D4:E4"/>
    <mergeCell ref="F4:G4"/>
    <mergeCell ref="H4:I4"/>
    <mergeCell ref="J4:L4"/>
    <mergeCell ref="B6:C6"/>
    <mergeCell ref="D6:E6"/>
    <mergeCell ref="F6:G6"/>
    <mergeCell ref="H6:I6"/>
    <mergeCell ref="J6:L6"/>
  </mergeCells>
  <dataValidations count="1">
    <dataValidation type="list" sqref="C4" xr:uid="{DD3344BA-0814-4F15-89E4-14B3BDDD6572}">
      <formula1>"2014,2015,2016,2017,2018,2019,2020,2021,2022,2023,2024,2025,2026"</formula1>
    </dataValidation>
  </dataValidations>
  <pageMargins left="0.75" right="0.75" top="1" bottom="1" header="0.5" footer="0.5"/>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FO161"/>
  <sheetViews>
    <sheetView workbookViewId="0">
      <pane xSplit="2" ySplit="1" topLeftCell="O65" activePane="bottomRight" state="frozen"/>
      <selection pane="topRight"/>
      <selection pane="bottomLeft"/>
      <selection pane="bottomRight"/>
    </sheetView>
  </sheetViews>
  <sheetFormatPr baseColWidth="10" defaultColWidth="9.109375" defaultRowHeight="14.4" outlineLevelCol="1" x14ac:dyDescent="0.3"/>
  <cols>
    <col min="1" max="1" width="4.44140625" style="10" customWidth="1"/>
    <col min="2" max="2" width="34" style="10" customWidth="1"/>
    <col min="3" max="14" width="15.44140625" style="10" hidden="1" customWidth="1" outlineLevel="1"/>
    <col min="15" max="15" width="18" style="10" customWidth="1" collapsed="1"/>
    <col min="16" max="27" width="15.44140625" style="10" hidden="1" customWidth="1" outlineLevel="1"/>
    <col min="28" max="28" width="18" style="10" customWidth="1" collapsed="1"/>
    <col min="29" max="40" width="15.44140625" style="10" hidden="1" customWidth="1" outlineLevel="1"/>
    <col min="41" max="41" width="18" style="10" customWidth="1" collapsed="1"/>
    <col min="42" max="53" width="15.44140625" style="10" hidden="1" customWidth="1" outlineLevel="1"/>
    <col min="54" max="54" width="18" style="10" customWidth="1" collapsed="1"/>
    <col min="55" max="66" width="15.44140625" style="10" hidden="1" customWidth="1" outlineLevel="1"/>
    <col min="67" max="67" width="18" style="10" customWidth="1" collapsed="1"/>
    <col min="68" max="79" width="15.44140625" style="10" hidden="1" customWidth="1" outlineLevel="1"/>
    <col min="80" max="80" width="18" style="10" customWidth="1" collapsed="1"/>
    <col min="81" max="92" width="15.44140625" style="10" hidden="1" customWidth="1" outlineLevel="1"/>
    <col min="93" max="93" width="18" style="10" customWidth="1" collapsed="1"/>
    <col min="94" max="105" width="15.44140625" style="10" hidden="1" customWidth="1" outlineLevel="1"/>
    <col min="106" max="106" width="18" style="10" customWidth="1" collapsed="1"/>
    <col min="107" max="118" width="15.44140625" style="10" hidden="1" customWidth="1" outlineLevel="1"/>
    <col min="119" max="119" width="18" style="10" customWidth="1" collapsed="1"/>
    <col min="120" max="131" width="15.44140625" style="10" hidden="1" customWidth="1" outlineLevel="1"/>
    <col min="132" max="132" width="18" style="10" customWidth="1" collapsed="1"/>
    <col min="133" max="144" width="15.44140625" style="10" hidden="1" customWidth="1" outlineLevel="1"/>
    <col min="145" max="145" width="18" style="10" customWidth="1"/>
    <col min="146" max="157" width="15.44140625" style="10" hidden="1" customWidth="1" outlineLevel="1"/>
    <col min="158" max="158" width="18" style="10" customWidth="1"/>
    <col min="159" max="170" width="15.44140625" style="10" hidden="1" customWidth="1" outlineLevel="1"/>
    <col min="171" max="171" width="18" style="10" customWidth="1"/>
  </cols>
  <sheetData>
    <row r="1" spans="2:171" ht="16.05" customHeight="1" x14ac:dyDescent="0.3">
      <c r="B1" s="1" t="s">
        <v>74</v>
      </c>
    </row>
    <row r="2" spans="2:171" x14ac:dyDescent="0.3">
      <c r="B2" s="61" t="s">
        <v>75</v>
      </c>
      <c r="C2" s="57"/>
      <c r="D2" s="57"/>
      <c r="E2" s="57"/>
      <c r="F2" s="57"/>
      <c r="G2" s="57"/>
      <c r="H2" s="57"/>
      <c r="I2" s="57"/>
      <c r="J2" s="57"/>
      <c r="K2" s="57"/>
      <c r="L2" s="57"/>
      <c r="M2" s="57"/>
      <c r="N2" s="57"/>
      <c r="O2" s="57"/>
      <c r="P2" s="57"/>
      <c r="Q2" s="57"/>
      <c r="R2" s="57"/>
      <c r="S2" s="57"/>
      <c r="T2" s="57"/>
      <c r="U2" s="57"/>
      <c r="V2" s="57"/>
      <c r="W2" s="57"/>
      <c r="X2" s="57"/>
      <c r="Y2" s="57"/>
      <c r="Z2" s="57"/>
      <c r="AA2" s="57"/>
      <c r="AB2" s="57"/>
      <c r="AC2" s="57"/>
      <c r="AD2" s="57"/>
      <c r="AE2" s="57"/>
      <c r="AF2" s="57"/>
      <c r="AG2" s="57"/>
      <c r="AH2" s="57"/>
      <c r="AI2" s="57"/>
      <c r="AJ2" s="57"/>
      <c r="AK2" s="57"/>
      <c r="AL2" s="57"/>
      <c r="AM2" s="57"/>
      <c r="AN2" s="57"/>
      <c r="AO2" s="57"/>
      <c r="AP2" s="57"/>
      <c r="AQ2" s="57"/>
      <c r="AR2" s="57"/>
      <c r="AS2" s="57"/>
      <c r="AT2" s="57"/>
      <c r="AU2" s="57"/>
      <c r="AV2" s="57"/>
      <c r="AW2" s="57"/>
      <c r="AX2" s="57"/>
      <c r="AY2" s="57"/>
      <c r="AZ2" s="57"/>
      <c r="BA2" s="57"/>
      <c r="BB2" s="57"/>
      <c r="BC2" s="57"/>
      <c r="BD2" s="57"/>
      <c r="BE2" s="57"/>
      <c r="BF2" s="57"/>
      <c r="BG2" s="57"/>
      <c r="BH2" s="57"/>
      <c r="BI2" s="57"/>
      <c r="BJ2" s="57"/>
      <c r="BK2" s="57"/>
      <c r="BL2" s="57"/>
      <c r="BM2" s="57"/>
      <c r="BN2" s="57"/>
      <c r="BO2" s="57"/>
      <c r="BP2" s="57"/>
      <c r="BQ2" s="57"/>
      <c r="BR2" s="57"/>
      <c r="BS2" s="57"/>
      <c r="BT2" s="57"/>
      <c r="BU2" s="57"/>
      <c r="BV2" s="57"/>
      <c r="BW2" s="57"/>
      <c r="BX2" s="57"/>
      <c r="BY2" s="57"/>
      <c r="BZ2" s="57"/>
      <c r="CA2" s="57"/>
      <c r="CB2" s="57"/>
      <c r="CC2" s="57"/>
      <c r="CD2" s="57"/>
      <c r="CE2" s="57"/>
      <c r="CF2" s="57"/>
      <c r="CG2" s="57"/>
      <c r="CH2" s="57"/>
      <c r="CI2" s="57"/>
      <c r="CJ2" s="57"/>
      <c r="CK2" s="57"/>
      <c r="CL2" s="57"/>
      <c r="CM2" s="57"/>
      <c r="CN2" s="57"/>
      <c r="CO2" s="57"/>
      <c r="CP2" s="57"/>
      <c r="CQ2" s="57"/>
      <c r="CR2" s="57"/>
      <c r="CS2" s="57"/>
      <c r="CT2" s="57"/>
      <c r="CU2" s="57"/>
      <c r="CV2" s="57"/>
      <c r="CW2" s="57"/>
      <c r="CX2" s="57"/>
      <c r="CY2" s="57"/>
      <c r="CZ2" s="57"/>
      <c r="DA2" s="57"/>
      <c r="DB2" s="57"/>
      <c r="DC2" s="57"/>
      <c r="DD2" s="57"/>
      <c r="DE2" s="57"/>
      <c r="DF2" s="57"/>
      <c r="DG2" s="57"/>
      <c r="DH2" s="57"/>
      <c r="DI2" s="57"/>
      <c r="DJ2" s="57"/>
      <c r="DK2" s="57"/>
      <c r="DL2" s="57"/>
      <c r="DM2" s="57"/>
      <c r="DN2" s="57"/>
      <c r="DO2" s="57"/>
      <c r="DP2" s="57"/>
      <c r="DQ2" s="57"/>
      <c r="DR2" s="57"/>
      <c r="DS2" s="57"/>
      <c r="DT2" s="57"/>
      <c r="DU2" s="57"/>
      <c r="DV2" s="57"/>
      <c r="DW2" s="57"/>
      <c r="DX2" s="57"/>
      <c r="DY2" s="57"/>
      <c r="DZ2" s="57"/>
      <c r="EA2" s="57"/>
      <c r="EB2" s="57"/>
      <c r="EC2" s="57"/>
      <c r="ED2" s="57"/>
      <c r="EE2" s="57"/>
      <c r="EF2" s="57"/>
      <c r="EG2" s="57"/>
      <c r="EH2" s="57"/>
      <c r="EI2" s="57"/>
      <c r="EJ2" s="57"/>
      <c r="EK2" s="57"/>
      <c r="EL2" s="57"/>
      <c r="EM2" s="57"/>
      <c r="EN2" s="57"/>
      <c r="EO2" s="57"/>
      <c r="EP2" s="57"/>
      <c r="EQ2" s="57"/>
      <c r="ER2" s="57"/>
      <c r="ES2" s="57"/>
      <c r="ET2" s="57"/>
      <c r="EU2" s="57"/>
      <c r="EV2" s="57"/>
      <c r="EW2" s="57"/>
      <c r="EX2" s="57"/>
      <c r="EY2" s="57"/>
      <c r="EZ2" s="57"/>
      <c r="FA2" s="57"/>
      <c r="FB2" s="57"/>
      <c r="FC2" s="57"/>
      <c r="FD2" s="57"/>
      <c r="FE2" s="57"/>
      <c r="FF2" s="57"/>
      <c r="FG2" s="57"/>
      <c r="FH2" s="57"/>
      <c r="FI2" s="57"/>
      <c r="FJ2" s="57"/>
      <c r="FK2" s="57"/>
      <c r="FL2" s="57"/>
      <c r="FM2" s="57"/>
      <c r="FN2" s="57"/>
      <c r="FO2" s="57"/>
    </row>
    <row r="3" spans="2:171" ht="25.95" customHeight="1" x14ac:dyDescent="0.3">
      <c r="B3" s="56" t="s">
        <v>26</v>
      </c>
      <c r="C3" s="57"/>
      <c r="D3" s="57"/>
      <c r="E3" s="57"/>
      <c r="F3" s="57"/>
      <c r="G3" s="57"/>
      <c r="H3" s="57"/>
      <c r="I3" s="57"/>
      <c r="J3" s="57"/>
      <c r="K3" s="57"/>
      <c r="L3" s="57"/>
      <c r="M3" s="57"/>
      <c r="N3" s="57"/>
      <c r="O3" s="57"/>
      <c r="P3" s="57"/>
      <c r="Q3" s="57"/>
      <c r="R3" s="57"/>
      <c r="S3" s="57"/>
      <c r="T3" s="57"/>
      <c r="U3" s="57"/>
      <c r="V3" s="57"/>
      <c r="W3" s="57"/>
      <c r="X3" s="57"/>
      <c r="Y3" s="57"/>
      <c r="Z3" s="57"/>
      <c r="AA3" s="57"/>
      <c r="AB3" s="57"/>
      <c r="AC3" s="57"/>
      <c r="AD3" s="57"/>
      <c r="AE3" s="57"/>
      <c r="AF3" s="57"/>
      <c r="AG3" s="57"/>
      <c r="AH3" s="57"/>
      <c r="AI3" s="57"/>
      <c r="AJ3" s="57"/>
      <c r="AK3" s="57"/>
      <c r="AL3" s="57"/>
      <c r="AM3" s="57"/>
      <c r="AN3" s="57"/>
      <c r="AO3" s="57"/>
      <c r="AP3" s="57"/>
      <c r="AQ3" s="57"/>
      <c r="AR3" s="57"/>
      <c r="AS3" s="57"/>
      <c r="AT3" s="57"/>
      <c r="AU3" s="57"/>
      <c r="AV3" s="57"/>
      <c r="AW3" s="57"/>
      <c r="AX3" s="57"/>
      <c r="AY3" s="57"/>
      <c r="AZ3" s="57"/>
      <c r="BA3" s="57"/>
      <c r="BB3" s="57"/>
      <c r="BC3" s="57"/>
      <c r="BD3" s="57"/>
      <c r="BE3" s="57"/>
      <c r="BF3" s="57"/>
      <c r="BG3" s="57"/>
      <c r="BH3" s="57"/>
      <c r="BI3" s="57"/>
      <c r="BJ3" s="57"/>
      <c r="BK3" s="57"/>
      <c r="BL3" s="57"/>
      <c r="BM3" s="57"/>
      <c r="BN3" s="57"/>
      <c r="BO3" s="57"/>
      <c r="BP3" s="57"/>
      <c r="BQ3" s="57"/>
      <c r="BR3" s="57"/>
      <c r="BS3" s="57"/>
      <c r="BT3" s="57"/>
      <c r="BU3" s="57"/>
      <c r="BV3" s="57"/>
      <c r="BW3" s="57"/>
      <c r="BX3" s="57"/>
      <c r="BY3" s="57"/>
      <c r="BZ3" s="57"/>
      <c r="CA3" s="57"/>
      <c r="CB3" s="57"/>
      <c r="CC3" s="57"/>
      <c r="CD3" s="57"/>
      <c r="CE3" s="57"/>
      <c r="CF3" s="57"/>
      <c r="CG3" s="57"/>
      <c r="CH3" s="57"/>
      <c r="CI3" s="57"/>
      <c r="CJ3" s="57"/>
      <c r="CK3" s="57"/>
      <c r="CL3" s="57"/>
      <c r="CM3" s="57"/>
      <c r="CN3" s="57"/>
      <c r="CO3" s="57"/>
      <c r="CP3" s="57"/>
      <c r="CQ3" s="57"/>
      <c r="CR3" s="57"/>
      <c r="CS3" s="57"/>
      <c r="CT3" s="57"/>
      <c r="CU3" s="57"/>
      <c r="CV3" s="57"/>
      <c r="CW3" s="57"/>
      <c r="CX3" s="57"/>
      <c r="CY3" s="57"/>
      <c r="CZ3" s="57"/>
      <c r="DA3" s="57"/>
      <c r="DB3" s="57"/>
      <c r="DC3" s="57"/>
      <c r="DD3" s="57"/>
      <c r="DE3" s="57"/>
      <c r="DF3" s="57"/>
      <c r="DG3" s="57"/>
      <c r="DH3" s="57"/>
      <c r="DI3" s="57"/>
      <c r="DJ3" s="57"/>
      <c r="DK3" s="57"/>
      <c r="DL3" s="57"/>
      <c r="DM3" s="57"/>
      <c r="DN3" s="57"/>
      <c r="DO3" s="57"/>
      <c r="DP3" s="57"/>
      <c r="DQ3" s="57"/>
      <c r="DR3" s="57"/>
      <c r="DS3" s="57"/>
      <c r="DT3" s="57"/>
      <c r="DU3" s="57"/>
      <c r="DV3" s="57"/>
      <c r="DW3" s="57"/>
      <c r="DX3" s="57"/>
      <c r="DY3" s="57"/>
      <c r="DZ3" s="57"/>
      <c r="EA3" s="57"/>
      <c r="EB3" s="57"/>
      <c r="EC3" s="57"/>
      <c r="ED3" s="57"/>
      <c r="EE3" s="57"/>
      <c r="EF3" s="57"/>
      <c r="EG3" s="57"/>
      <c r="EH3" s="57"/>
      <c r="EI3" s="57"/>
      <c r="EJ3" s="57"/>
      <c r="EK3" s="57"/>
      <c r="EL3" s="57"/>
      <c r="EM3" s="57"/>
      <c r="EN3" s="57"/>
      <c r="EO3" s="57"/>
      <c r="EP3" s="57"/>
      <c r="EQ3" s="57"/>
      <c r="ER3" s="57"/>
      <c r="ES3" s="57"/>
      <c r="ET3" s="57"/>
      <c r="EU3" s="57"/>
      <c r="EV3" s="57"/>
      <c r="EW3" s="57"/>
      <c r="EX3" s="57"/>
      <c r="EY3" s="57"/>
      <c r="EZ3" s="57"/>
      <c r="FA3" s="57"/>
      <c r="FB3" s="57"/>
      <c r="FC3" s="57"/>
      <c r="FD3" s="57"/>
      <c r="FE3" s="57"/>
      <c r="FF3" s="57"/>
      <c r="FG3" s="57"/>
      <c r="FH3" s="57"/>
      <c r="FI3" s="57"/>
      <c r="FJ3" s="57"/>
      <c r="FK3" s="57"/>
      <c r="FL3" s="57"/>
      <c r="FM3" s="57"/>
      <c r="FN3" s="57"/>
      <c r="FO3" s="57"/>
    </row>
    <row r="5" spans="2:171" ht="16.05" customHeight="1" x14ac:dyDescent="0.3">
      <c r="B5" s="60" t="s">
        <v>76</v>
      </c>
      <c r="C5" s="57"/>
      <c r="D5" s="57"/>
      <c r="E5" s="57"/>
      <c r="F5" s="57"/>
      <c r="G5" s="57"/>
      <c r="H5" s="57"/>
      <c r="I5" s="57"/>
      <c r="J5" s="57"/>
      <c r="K5" s="57"/>
      <c r="L5" s="57"/>
      <c r="M5" s="57"/>
      <c r="N5" s="57"/>
      <c r="O5" s="57"/>
      <c r="P5" s="57"/>
      <c r="Q5" s="57"/>
      <c r="R5" s="57"/>
      <c r="S5" s="57"/>
      <c r="T5" s="57"/>
      <c r="U5" s="57"/>
      <c r="V5" s="57"/>
      <c r="W5" s="57"/>
      <c r="X5" s="57"/>
      <c r="Y5" s="57"/>
      <c r="Z5" s="57"/>
      <c r="AA5" s="57"/>
      <c r="AB5" s="57"/>
      <c r="AC5" s="57"/>
      <c r="AD5" s="57"/>
      <c r="AE5" s="57"/>
      <c r="AF5" s="57"/>
      <c r="AG5" s="57"/>
      <c r="AH5" s="57"/>
      <c r="AI5" s="57"/>
      <c r="AJ5" s="57"/>
      <c r="AK5" s="57"/>
      <c r="AL5" s="57"/>
      <c r="AM5" s="57"/>
      <c r="AN5" s="57"/>
      <c r="AO5" s="57"/>
      <c r="AP5" s="57"/>
      <c r="AQ5" s="57"/>
      <c r="AR5" s="57"/>
      <c r="AS5" s="57"/>
      <c r="AT5" s="57"/>
      <c r="AU5" s="57"/>
      <c r="AV5" s="57"/>
      <c r="AW5" s="57"/>
      <c r="AX5" s="57"/>
      <c r="AY5" s="57"/>
      <c r="AZ5" s="57"/>
      <c r="BA5" s="57"/>
      <c r="BB5" s="57"/>
      <c r="BC5" s="57"/>
      <c r="BD5" s="57"/>
      <c r="BE5" s="57"/>
      <c r="BF5" s="57"/>
      <c r="BG5" s="57"/>
      <c r="BH5" s="57"/>
      <c r="BI5" s="57"/>
      <c r="BJ5" s="57"/>
      <c r="BK5" s="57"/>
      <c r="BL5" s="57"/>
      <c r="BM5" s="57"/>
      <c r="BN5" s="57"/>
      <c r="BO5" s="57"/>
      <c r="BP5" s="57"/>
      <c r="BQ5" s="57"/>
      <c r="BR5" s="57"/>
      <c r="BS5" s="57"/>
      <c r="BT5" s="57"/>
      <c r="BU5" s="57"/>
      <c r="BV5" s="57"/>
      <c r="BW5" s="57"/>
      <c r="BX5" s="57"/>
      <c r="BY5" s="57"/>
      <c r="BZ5" s="57"/>
      <c r="CA5" s="57"/>
      <c r="CB5" s="57"/>
      <c r="CC5" s="57"/>
      <c r="CD5" s="57"/>
      <c r="CE5" s="57"/>
      <c r="CF5" s="57"/>
      <c r="CG5" s="57"/>
      <c r="CH5" s="57"/>
      <c r="CI5" s="57"/>
      <c r="CJ5" s="57"/>
      <c r="CK5" s="57"/>
      <c r="CL5" s="57"/>
      <c r="CM5" s="57"/>
      <c r="CN5" s="57"/>
      <c r="CO5" s="57"/>
      <c r="CP5" s="57"/>
      <c r="CQ5" s="57"/>
      <c r="CR5" s="57"/>
      <c r="CS5" s="57"/>
      <c r="CT5" s="57"/>
      <c r="CU5" s="57"/>
      <c r="CV5" s="57"/>
      <c r="CW5" s="57"/>
      <c r="CX5" s="57"/>
      <c r="CY5" s="57"/>
      <c r="CZ5" s="57"/>
      <c r="DA5" s="57"/>
      <c r="DB5" s="57"/>
      <c r="DC5" s="57"/>
      <c r="DD5" s="57"/>
      <c r="DE5" s="57"/>
      <c r="DF5" s="57"/>
      <c r="DG5" s="57"/>
      <c r="DH5" s="57"/>
      <c r="DI5" s="57"/>
      <c r="DJ5" s="57"/>
      <c r="DK5" s="57"/>
      <c r="DL5" s="57"/>
      <c r="DM5" s="57"/>
      <c r="DN5" s="57"/>
      <c r="DO5" s="57"/>
      <c r="DP5" s="57"/>
      <c r="DQ5" s="57"/>
      <c r="DR5" s="57"/>
      <c r="DS5" s="57"/>
      <c r="DT5" s="57"/>
      <c r="DU5" s="57"/>
      <c r="DV5" s="57"/>
      <c r="DW5" s="57"/>
      <c r="DX5" s="57"/>
      <c r="DY5" s="57"/>
      <c r="DZ5" s="57"/>
      <c r="EA5" s="57"/>
      <c r="EB5" s="57"/>
      <c r="EC5" s="57"/>
      <c r="ED5" s="57"/>
      <c r="EE5" s="57"/>
      <c r="EF5" s="57"/>
      <c r="EG5" s="57"/>
      <c r="EH5" s="57"/>
      <c r="EI5" s="57"/>
      <c r="EJ5" s="57"/>
      <c r="EK5" s="57"/>
      <c r="EL5" s="57"/>
      <c r="EM5" s="57"/>
      <c r="EN5" s="57"/>
      <c r="EO5" s="57"/>
      <c r="EP5" s="57"/>
      <c r="EQ5" s="57"/>
      <c r="ER5" s="57"/>
      <c r="ES5" s="57"/>
      <c r="ET5" s="57"/>
      <c r="EU5" s="57"/>
      <c r="EV5" s="57"/>
      <c r="EW5" s="57"/>
      <c r="EX5" s="57"/>
      <c r="EY5" s="57"/>
      <c r="EZ5" s="57"/>
      <c r="FA5" s="57"/>
      <c r="FB5" s="57"/>
      <c r="FC5" s="57"/>
      <c r="FD5" s="57"/>
      <c r="FE5" s="57"/>
      <c r="FF5" s="57"/>
      <c r="FG5" s="57"/>
      <c r="FH5" s="57"/>
      <c r="FI5" s="57"/>
      <c r="FJ5" s="57"/>
      <c r="FK5" s="57"/>
      <c r="FL5" s="57"/>
      <c r="FM5" s="57"/>
      <c r="FN5" s="57"/>
      <c r="FO5" s="57"/>
    </row>
    <row r="6" spans="2:171" ht="22.05" customHeight="1" x14ac:dyDescent="0.3">
      <c r="B6" s="3"/>
      <c r="C6" s="58" t="s">
        <v>77</v>
      </c>
      <c r="D6" s="59"/>
      <c r="E6" s="59"/>
      <c r="F6" s="59"/>
      <c r="G6" s="59"/>
      <c r="H6" s="59"/>
      <c r="I6" s="59"/>
      <c r="J6" s="59"/>
      <c r="K6" s="59"/>
      <c r="L6" s="59"/>
      <c r="M6" s="59"/>
      <c r="N6" s="59"/>
      <c r="O6" s="59"/>
      <c r="P6" s="58" t="s">
        <v>78</v>
      </c>
      <c r="Q6" s="59"/>
      <c r="R6" s="59"/>
      <c r="S6" s="59"/>
      <c r="T6" s="59"/>
      <c r="U6" s="59"/>
      <c r="V6" s="59"/>
      <c r="W6" s="59"/>
      <c r="X6" s="59"/>
      <c r="Y6" s="59"/>
      <c r="Z6" s="59"/>
      <c r="AA6" s="59"/>
      <c r="AB6" s="59"/>
      <c r="AC6" s="58" t="s">
        <v>79</v>
      </c>
      <c r="AD6" s="59"/>
      <c r="AE6" s="59"/>
      <c r="AF6" s="59"/>
      <c r="AG6" s="59"/>
      <c r="AH6" s="59"/>
      <c r="AI6" s="59"/>
      <c r="AJ6" s="59"/>
      <c r="AK6" s="59"/>
      <c r="AL6" s="59"/>
      <c r="AM6" s="59"/>
      <c r="AN6" s="59"/>
      <c r="AO6" s="59"/>
      <c r="AP6" s="58" t="s">
        <v>80</v>
      </c>
      <c r="AQ6" s="59"/>
      <c r="AR6" s="59"/>
      <c r="AS6" s="59"/>
      <c r="AT6" s="59"/>
      <c r="AU6" s="59"/>
      <c r="AV6" s="59"/>
      <c r="AW6" s="59"/>
      <c r="AX6" s="59"/>
      <c r="AY6" s="59"/>
      <c r="AZ6" s="59"/>
      <c r="BA6" s="59"/>
      <c r="BB6" s="59"/>
      <c r="BC6" s="58" t="s">
        <v>81</v>
      </c>
      <c r="BD6" s="59"/>
      <c r="BE6" s="59"/>
      <c r="BF6" s="59"/>
      <c r="BG6" s="59"/>
      <c r="BH6" s="59"/>
      <c r="BI6" s="59"/>
      <c r="BJ6" s="59"/>
      <c r="BK6" s="59"/>
      <c r="BL6" s="59"/>
      <c r="BM6" s="59"/>
      <c r="BN6" s="59"/>
      <c r="BO6" s="59"/>
      <c r="BP6" s="58" t="s">
        <v>82</v>
      </c>
      <c r="BQ6" s="59"/>
      <c r="BR6" s="59"/>
      <c r="BS6" s="59"/>
      <c r="BT6" s="59"/>
      <c r="BU6" s="59"/>
      <c r="BV6" s="59"/>
      <c r="BW6" s="59"/>
      <c r="BX6" s="59"/>
      <c r="BY6" s="59"/>
      <c r="BZ6" s="59"/>
      <c r="CA6" s="59"/>
      <c r="CB6" s="59"/>
      <c r="CC6" s="58" t="s">
        <v>83</v>
      </c>
      <c r="CD6" s="59"/>
      <c r="CE6" s="59"/>
      <c r="CF6" s="59"/>
      <c r="CG6" s="59"/>
      <c r="CH6" s="59"/>
      <c r="CI6" s="59"/>
      <c r="CJ6" s="59"/>
      <c r="CK6" s="59"/>
      <c r="CL6" s="59"/>
      <c r="CM6" s="59"/>
      <c r="CN6" s="59"/>
      <c r="CO6" s="59"/>
      <c r="CP6" s="58" t="s">
        <v>84</v>
      </c>
      <c r="CQ6" s="59"/>
      <c r="CR6" s="59"/>
      <c r="CS6" s="59"/>
      <c r="CT6" s="59"/>
      <c r="CU6" s="59"/>
      <c r="CV6" s="59"/>
      <c r="CW6" s="59"/>
      <c r="CX6" s="59"/>
      <c r="CY6" s="59"/>
      <c r="CZ6" s="59"/>
      <c r="DA6" s="59"/>
      <c r="DB6" s="59"/>
      <c r="DC6" s="58" t="s">
        <v>85</v>
      </c>
      <c r="DD6" s="59"/>
      <c r="DE6" s="59"/>
      <c r="DF6" s="59"/>
      <c r="DG6" s="59"/>
      <c r="DH6" s="59"/>
      <c r="DI6" s="59"/>
      <c r="DJ6" s="59"/>
      <c r="DK6" s="59"/>
      <c r="DL6" s="59"/>
      <c r="DM6" s="59"/>
      <c r="DN6" s="59"/>
      <c r="DO6" s="59"/>
      <c r="DP6" s="58" t="s">
        <v>86</v>
      </c>
      <c r="DQ6" s="59"/>
      <c r="DR6" s="59"/>
      <c r="DS6" s="59"/>
      <c r="DT6" s="59"/>
      <c r="DU6" s="59"/>
      <c r="DV6" s="59"/>
      <c r="DW6" s="59"/>
      <c r="DX6" s="59"/>
      <c r="DY6" s="59"/>
      <c r="DZ6" s="59"/>
      <c r="EA6" s="59"/>
      <c r="EB6" s="59"/>
      <c r="EC6" s="58" t="s">
        <v>87</v>
      </c>
      <c r="ED6" s="59"/>
      <c r="EE6" s="59"/>
      <c r="EF6" s="59"/>
      <c r="EG6" s="59"/>
      <c r="EH6" s="59"/>
      <c r="EI6" s="59"/>
      <c r="EJ6" s="59"/>
      <c r="EK6" s="59"/>
      <c r="EL6" s="59"/>
      <c r="EM6" s="59"/>
      <c r="EN6" s="59"/>
      <c r="EO6" s="59"/>
      <c r="EP6" s="58" t="s">
        <v>88</v>
      </c>
      <c r="EQ6" s="59"/>
      <c r="ER6" s="59"/>
      <c r="ES6" s="59"/>
      <c r="ET6" s="59"/>
      <c r="EU6" s="59"/>
      <c r="EV6" s="59"/>
      <c r="EW6" s="59"/>
      <c r="EX6" s="59"/>
      <c r="EY6" s="59"/>
      <c r="EZ6" s="59"/>
      <c r="FA6" s="59"/>
      <c r="FB6" s="59"/>
      <c r="FC6" s="58" t="s">
        <v>89</v>
      </c>
      <c r="FD6" s="59"/>
      <c r="FE6" s="59"/>
      <c r="FF6" s="59"/>
      <c r="FG6" s="59"/>
      <c r="FH6" s="59"/>
      <c r="FI6" s="59"/>
      <c r="FJ6" s="59"/>
      <c r="FK6" s="59"/>
      <c r="FL6" s="59"/>
      <c r="FM6" s="59"/>
      <c r="FN6" s="59"/>
      <c r="FO6" s="59"/>
    </row>
    <row r="7" spans="2:171" ht="28.05" customHeight="1" x14ac:dyDescent="0.3">
      <c r="B7" s="4" t="s">
        <v>90</v>
      </c>
      <c r="C7" s="5" t="s">
        <v>55</v>
      </c>
      <c r="D7" s="5" t="s">
        <v>56</v>
      </c>
      <c r="E7" s="5" t="s">
        <v>57</v>
      </c>
      <c r="F7" s="5" t="s">
        <v>58</v>
      </c>
      <c r="G7" s="5" t="s">
        <v>59</v>
      </c>
      <c r="H7" s="5" t="s">
        <v>60</v>
      </c>
      <c r="I7" s="5" t="s">
        <v>61</v>
      </c>
      <c r="J7" s="5" t="s">
        <v>62</v>
      </c>
      <c r="K7" s="5" t="s">
        <v>63</v>
      </c>
      <c r="L7" s="5" t="s">
        <v>64</v>
      </c>
      <c r="M7" s="5" t="s">
        <v>65</v>
      </c>
      <c r="N7" s="5" t="s">
        <v>66</v>
      </c>
      <c r="O7" s="5" t="s">
        <v>91</v>
      </c>
      <c r="P7" s="5" t="s">
        <v>55</v>
      </c>
      <c r="Q7" s="5" t="s">
        <v>56</v>
      </c>
      <c r="R7" s="5" t="s">
        <v>57</v>
      </c>
      <c r="S7" s="5" t="s">
        <v>58</v>
      </c>
      <c r="T7" s="5" t="s">
        <v>59</v>
      </c>
      <c r="U7" s="5" t="s">
        <v>60</v>
      </c>
      <c r="V7" s="5" t="s">
        <v>61</v>
      </c>
      <c r="W7" s="5" t="s">
        <v>62</v>
      </c>
      <c r="X7" s="5" t="s">
        <v>63</v>
      </c>
      <c r="Y7" s="5" t="s">
        <v>64</v>
      </c>
      <c r="Z7" s="5" t="s">
        <v>65</v>
      </c>
      <c r="AA7" s="5" t="s">
        <v>66</v>
      </c>
      <c r="AB7" s="5" t="s">
        <v>92</v>
      </c>
      <c r="AC7" s="5" t="s">
        <v>55</v>
      </c>
      <c r="AD7" s="5" t="s">
        <v>56</v>
      </c>
      <c r="AE7" s="5" t="s">
        <v>57</v>
      </c>
      <c r="AF7" s="5" t="s">
        <v>58</v>
      </c>
      <c r="AG7" s="5" t="s">
        <v>59</v>
      </c>
      <c r="AH7" s="5" t="s">
        <v>60</v>
      </c>
      <c r="AI7" s="5" t="s">
        <v>61</v>
      </c>
      <c r="AJ7" s="5" t="s">
        <v>62</v>
      </c>
      <c r="AK7" s="5" t="s">
        <v>63</v>
      </c>
      <c r="AL7" s="5" t="s">
        <v>64</v>
      </c>
      <c r="AM7" s="5" t="s">
        <v>65</v>
      </c>
      <c r="AN7" s="5" t="s">
        <v>66</v>
      </c>
      <c r="AO7" s="5" t="s">
        <v>93</v>
      </c>
      <c r="AP7" s="5" t="s">
        <v>55</v>
      </c>
      <c r="AQ7" s="5" t="s">
        <v>56</v>
      </c>
      <c r="AR7" s="5" t="s">
        <v>57</v>
      </c>
      <c r="AS7" s="5" t="s">
        <v>58</v>
      </c>
      <c r="AT7" s="5" t="s">
        <v>59</v>
      </c>
      <c r="AU7" s="5" t="s">
        <v>60</v>
      </c>
      <c r="AV7" s="5" t="s">
        <v>61</v>
      </c>
      <c r="AW7" s="5" t="s">
        <v>62</v>
      </c>
      <c r="AX7" s="5" t="s">
        <v>63</v>
      </c>
      <c r="AY7" s="5" t="s">
        <v>64</v>
      </c>
      <c r="AZ7" s="5" t="s">
        <v>65</v>
      </c>
      <c r="BA7" s="5" t="s">
        <v>66</v>
      </c>
      <c r="BB7" s="5" t="s">
        <v>94</v>
      </c>
      <c r="BC7" s="5" t="s">
        <v>55</v>
      </c>
      <c r="BD7" s="5" t="s">
        <v>56</v>
      </c>
      <c r="BE7" s="5" t="s">
        <v>57</v>
      </c>
      <c r="BF7" s="5" t="s">
        <v>58</v>
      </c>
      <c r="BG7" s="5" t="s">
        <v>59</v>
      </c>
      <c r="BH7" s="5" t="s">
        <v>60</v>
      </c>
      <c r="BI7" s="5" t="s">
        <v>61</v>
      </c>
      <c r="BJ7" s="5" t="s">
        <v>62</v>
      </c>
      <c r="BK7" s="5" t="s">
        <v>63</v>
      </c>
      <c r="BL7" s="5" t="s">
        <v>64</v>
      </c>
      <c r="BM7" s="5" t="s">
        <v>65</v>
      </c>
      <c r="BN7" s="5" t="s">
        <v>66</v>
      </c>
      <c r="BO7" s="5" t="s">
        <v>95</v>
      </c>
      <c r="BP7" s="5" t="s">
        <v>55</v>
      </c>
      <c r="BQ7" s="5" t="s">
        <v>56</v>
      </c>
      <c r="BR7" s="5" t="s">
        <v>57</v>
      </c>
      <c r="BS7" s="5" t="s">
        <v>58</v>
      </c>
      <c r="BT7" s="5" t="s">
        <v>59</v>
      </c>
      <c r="BU7" s="5" t="s">
        <v>60</v>
      </c>
      <c r="BV7" s="5" t="s">
        <v>61</v>
      </c>
      <c r="BW7" s="5" t="s">
        <v>62</v>
      </c>
      <c r="BX7" s="5" t="s">
        <v>63</v>
      </c>
      <c r="BY7" s="5" t="s">
        <v>64</v>
      </c>
      <c r="BZ7" s="5" t="s">
        <v>65</v>
      </c>
      <c r="CA7" s="5" t="s">
        <v>66</v>
      </c>
      <c r="CB7" s="5" t="s">
        <v>96</v>
      </c>
      <c r="CC7" s="5" t="s">
        <v>55</v>
      </c>
      <c r="CD7" s="5" t="s">
        <v>56</v>
      </c>
      <c r="CE7" s="5" t="s">
        <v>57</v>
      </c>
      <c r="CF7" s="5" t="s">
        <v>58</v>
      </c>
      <c r="CG7" s="5" t="s">
        <v>59</v>
      </c>
      <c r="CH7" s="5" t="s">
        <v>60</v>
      </c>
      <c r="CI7" s="5" t="s">
        <v>61</v>
      </c>
      <c r="CJ7" s="5" t="s">
        <v>62</v>
      </c>
      <c r="CK7" s="5" t="s">
        <v>63</v>
      </c>
      <c r="CL7" s="5" t="s">
        <v>64</v>
      </c>
      <c r="CM7" s="5" t="s">
        <v>65</v>
      </c>
      <c r="CN7" s="5" t="s">
        <v>66</v>
      </c>
      <c r="CO7" s="5" t="s">
        <v>97</v>
      </c>
      <c r="CP7" s="5" t="s">
        <v>55</v>
      </c>
      <c r="CQ7" s="5" t="s">
        <v>56</v>
      </c>
      <c r="CR7" s="5" t="s">
        <v>57</v>
      </c>
      <c r="CS7" s="5" t="s">
        <v>58</v>
      </c>
      <c r="CT7" s="5" t="s">
        <v>59</v>
      </c>
      <c r="CU7" s="5" t="s">
        <v>60</v>
      </c>
      <c r="CV7" s="5" t="s">
        <v>61</v>
      </c>
      <c r="CW7" s="5" t="s">
        <v>62</v>
      </c>
      <c r="CX7" s="5" t="s">
        <v>63</v>
      </c>
      <c r="CY7" s="5" t="s">
        <v>64</v>
      </c>
      <c r="CZ7" s="5" t="s">
        <v>65</v>
      </c>
      <c r="DA7" s="5" t="s">
        <v>66</v>
      </c>
      <c r="DB7" s="5" t="s">
        <v>98</v>
      </c>
      <c r="DC7" s="5" t="s">
        <v>55</v>
      </c>
      <c r="DD7" s="5" t="s">
        <v>56</v>
      </c>
      <c r="DE7" s="5" t="s">
        <v>57</v>
      </c>
      <c r="DF7" s="5" t="s">
        <v>58</v>
      </c>
      <c r="DG7" s="5" t="s">
        <v>59</v>
      </c>
      <c r="DH7" s="5" t="s">
        <v>60</v>
      </c>
      <c r="DI7" s="5" t="s">
        <v>61</v>
      </c>
      <c r="DJ7" s="5" t="s">
        <v>62</v>
      </c>
      <c r="DK7" s="5" t="s">
        <v>63</v>
      </c>
      <c r="DL7" s="5" t="s">
        <v>64</v>
      </c>
      <c r="DM7" s="5" t="s">
        <v>65</v>
      </c>
      <c r="DN7" s="5" t="s">
        <v>66</v>
      </c>
      <c r="DO7" s="5" t="s">
        <v>99</v>
      </c>
      <c r="DP7" s="5" t="s">
        <v>55</v>
      </c>
      <c r="DQ7" s="5" t="s">
        <v>56</v>
      </c>
      <c r="DR7" s="5" t="s">
        <v>57</v>
      </c>
      <c r="DS7" s="5" t="s">
        <v>58</v>
      </c>
      <c r="DT7" s="5" t="s">
        <v>59</v>
      </c>
      <c r="DU7" s="5" t="s">
        <v>60</v>
      </c>
      <c r="DV7" s="5" t="s">
        <v>61</v>
      </c>
      <c r="DW7" s="5" t="s">
        <v>62</v>
      </c>
      <c r="DX7" s="5" t="s">
        <v>63</v>
      </c>
      <c r="DY7" s="5" t="s">
        <v>64</v>
      </c>
      <c r="DZ7" s="5" t="s">
        <v>65</v>
      </c>
      <c r="EA7" s="5" t="s">
        <v>66</v>
      </c>
      <c r="EB7" s="5" t="s">
        <v>100</v>
      </c>
      <c r="EC7" s="5" t="s">
        <v>55</v>
      </c>
      <c r="ED7" s="5" t="s">
        <v>56</v>
      </c>
      <c r="EE7" s="5" t="s">
        <v>57</v>
      </c>
      <c r="EF7" s="5" t="s">
        <v>58</v>
      </c>
      <c r="EG7" s="5" t="s">
        <v>59</v>
      </c>
      <c r="EH7" s="5" t="s">
        <v>60</v>
      </c>
      <c r="EI7" s="5" t="s">
        <v>61</v>
      </c>
      <c r="EJ7" s="5" t="s">
        <v>62</v>
      </c>
      <c r="EK7" s="5" t="s">
        <v>63</v>
      </c>
      <c r="EL7" s="5" t="s">
        <v>64</v>
      </c>
      <c r="EM7" s="5" t="s">
        <v>65</v>
      </c>
      <c r="EN7" s="5" t="s">
        <v>66</v>
      </c>
      <c r="EO7" s="5" t="s">
        <v>101</v>
      </c>
      <c r="EP7" s="5" t="s">
        <v>55</v>
      </c>
      <c r="EQ7" s="5" t="s">
        <v>56</v>
      </c>
      <c r="ER7" s="5" t="s">
        <v>57</v>
      </c>
      <c r="ES7" s="5" t="s">
        <v>58</v>
      </c>
      <c r="ET7" s="5" t="s">
        <v>59</v>
      </c>
      <c r="EU7" s="5" t="s">
        <v>60</v>
      </c>
      <c r="EV7" s="5" t="s">
        <v>61</v>
      </c>
      <c r="EW7" s="5" t="s">
        <v>62</v>
      </c>
      <c r="EX7" s="5" t="s">
        <v>63</v>
      </c>
      <c r="EY7" s="5" t="s">
        <v>64</v>
      </c>
      <c r="EZ7" s="5" t="s">
        <v>65</v>
      </c>
      <c r="FA7" s="5" t="s">
        <v>66</v>
      </c>
      <c r="FB7" s="5" t="s">
        <v>102</v>
      </c>
      <c r="FC7" s="5" t="s">
        <v>55</v>
      </c>
      <c r="FD7" s="5" t="s">
        <v>56</v>
      </c>
      <c r="FE7" s="5" t="s">
        <v>57</v>
      </c>
      <c r="FF7" s="5" t="s">
        <v>58</v>
      </c>
      <c r="FG7" s="5" t="s">
        <v>59</v>
      </c>
      <c r="FH7" s="5" t="s">
        <v>60</v>
      </c>
      <c r="FI7" s="5" t="s">
        <v>61</v>
      </c>
      <c r="FJ7" s="5" t="s">
        <v>62</v>
      </c>
      <c r="FK7" s="5" t="s">
        <v>63</v>
      </c>
      <c r="FL7" s="5" t="s">
        <v>64</v>
      </c>
      <c r="FM7" s="5" t="s">
        <v>65</v>
      </c>
      <c r="FN7" s="5" t="s">
        <v>66</v>
      </c>
      <c r="FO7" s="5" t="s">
        <v>103</v>
      </c>
    </row>
    <row r="8" spans="2:171" ht="28.05" customHeight="1" x14ac:dyDescent="0.3">
      <c r="B8" s="6" t="s">
        <v>46</v>
      </c>
      <c r="C8" s="7">
        <v>806907228</v>
      </c>
      <c r="D8" s="7">
        <v>806907228</v>
      </c>
      <c r="E8" s="7">
        <v>806907228</v>
      </c>
      <c r="F8" s="7">
        <v>806907228</v>
      </c>
      <c r="G8" s="7">
        <v>806907228</v>
      </c>
      <c r="H8" s="7">
        <v>806907228</v>
      </c>
      <c r="I8" s="7">
        <v>806907228</v>
      </c>
      <c r="J8" s="7">
        <v>806907228</v>
      </c>
      <c r="K8" s="7">
        <v>806907228</v>
      </c>
      <c r="L8" s="7">
        <v>806907228</v>
      </c>
      <c r="M8" s="7">
        <v>806907228</v>
      </c>
      <c r="N8" s="7">
        <v>806907228</v>
      </c>
      <c r="O8" s="7">
        <f t="shared" ref="O8:O13" si="0">N8</f>
        <v>806907228</v>
      </c>
      <c r="P8" s="7">
        <v>957407656</v>
      </c>
      <c r="Q8" s="7">
        <v>957407656</v>
      </c>
      <c r="R8" s="7">
        <v>957407656</v>
      </c>
      <c r="S8" s="7">
        <v>957407656</v>
      </c>
      <c r="T8" s="7">
        <v>957407656</v>
      </c>
      <c r="U8" s="7">
        <v>957407656</v>
      </c>
      <c r="V8" s="7">
        <v>957407656</v>
      </c>
      <c r="W8" s="7">
        <v>957407656</v>
      </c>
      <c r="X8" s="7">
        <v>957407656</v>
      </c>
      <c r="Y8" s="7">
        <v>957407656</v>
      </c>
      <c r="Z8" s="7">
        <v>957407656</v>
      </c>
      <c r="AA8" s="7">
        <v>957407656</v>
      </c>
      <c r="AB8" s="7">
        <f t="shared" ref="AB8:AB13" si="1">AA8</f>
        <v>957407656</v>
      </c>
      <c r="AC8" s="7">
        <v>937156766</v>
      </c>
      <c r="AD8" s="7">
        <v>937156766</v>
      </c>
      <c r="AE8" s="7">
        <v>937156766</v>
      </c>
      <c r="AF8" s="7">
        <v>937156766</v>
      </c>
      <c r="AG8" s="7">
        <v>937156766</v>
      </c>
      <c r="AH8" s="7">
        <v>937156766</v>
      </c>
      <c r="AI8" s="7">
        <v>937156766</v>
      </c>
      <c r="AJ8" s="7">
        <v>937156766</v>
      </c>
      <c r="AK8" s="7">
        <v>937156766</v>
      </c>
      <c r="AL8" s="7">
        <v>937156766</v>
      </c>
      <c r="AM8" s="7">
        <v>937156766</v>
      </c>
      <c r="AN8" s="7">
        <v>937156766</v>
      </c>
      <c r="AO8" s="7">
        <f t="shared" ref="AO8:AO13" si="2">AN8</f>
        <v>937156766</v>
      </c>
      <c r="AP8" s="7">
        <v>982538421</v>
      </c>
      <c r="AQ8" s="7">
        <v>982538421</v>
      </c>
      <c r="AR8" s="7">
        <v>982538421</v>
      </c>
      <c r="AS8" s="7">
        <v>982538421</v>
      </c>
      <c r="AT8" s="7">
        <v>982538421</v>
      </c>
      <c r="AU8" s="7">
        <v>982538421</v>
      </c>
      <c r="AV8" s="7">
        <v>982538421</v>
      </c>
      <c r="AW8" s="7">
        <v>982538421</v>
      </c>
      <c r="AX8" s="7">
        <v>982538421</v>
      </c>
      <c r="AY8" s="7">
        <v>982538421</v>
      </c>
      <c r="AZ8" s="7">
        <v>982538421</v>
      </c>
      <c r="BA8" s="7">
        <v>982538421</v>
      </c>
      <c r="BB8" s="7">
        <f t="shared" ref="BB8:BB13" si="3">BA8</f>
        <v>982538421</v>
      </c>
      <c r="BC8" s="7">
        <v>998447263</v>
      </c>
      <c r="BD8" s="7">
        <v>998447263</v>
      </c>
      <c r="BE8" s="7">
        <v>998447263</v>
      </c>
      <c r="BF8" s="7">
        <v>998447263</v>
      </c>
      <c r="BG8" s="7">
        <v>998447263</v>
      </c>
      <c r="BH8" s="7">
        <v>998447263</v>
      </c>
      <c r="BI8" s="7">
        <v>998447263</v>
      </c>
      <c r="BJ8" s="7">
        <v>998447263</v>
      </c>
      <c r="BK8" s="7">
        <v>998447263</v>
      </c>
      <c r="BL8" s="7">
        <v>998447263</v>
      </c>
      <c r="BM8" s="7">
        <v>998447263</v>
      </c>
      <c r="BN8" s="7">
        <v>998447263</v>
      </c>
      <c r="BO8" s="7">
        <f t="shared" ref="BO8:BO13" si="4">BN8</f>
        <v>998447263</v>
      </c>
      <c r="BP8" s="7">
        <v>1056398949</v>
      </c>
      <c r="BQ8" s="7">
        <v>1056398949</v>
      </c>
      <c r="BR8" s="7">
        <v>1056398949</v>
      </c>
      <c r="BS8" s="7">
        <v>1056398949</v>
      </c>
      <c r="BT8" s="7">
        <v>1056398949</v>
      </c>
      <c r="BU8" s="7">
        <v>1056398949</v>
      </c>
      <c r="BV8" s="7">
        <v>1056398949</v>
      </c>
      <c r="BW8" s="7">
        <v>1056398949</v>
      </c>
      <c r="BX8" s="7">
        <v>1056398949</v>
      </c>
      <c r="BY8" s="7">
        <v>1056398949</v>
      </c>
      <c r="BZ8" s="7">
        <v>1056398949</v>
      </c>
      <c r="CA8" s="7">
        <v>1056398949</v>
      </c>
      <c r="CB8" s="7">
        <f t="shared" ref="CB8:CB13" si="5">CA8</f>
        <v>1056398949</v>
      </c>
      <c r="CC8" s="7">
        <v>1148358839</v>
      </c>
      <c r="CD8" s="7">
        <v>1148358839</v>
      </c>
      <c r="CE8" s="7">
        <v>1148358839</v>
      </c>
      <c r="CF8" s="7">
        <v>1148358839</v>
      </c>
      <c r="CG8" s="7">
        <v>1148358839</v>
      </c>
      <c r="CH8" s="7">
        <v>1148358839</v>
      </c>
      <c r="CI8" s="7">
        <v>1148358839</v>
      </c>
      <c r="CJ8" s="7">
        <v>1148358839</v>
      </c>
      <c r="CK8" s="7">
        <v>1148358839</v>
      </c>
      <c r="CL8" s="7">
        <v>1148358839</v>
      </c>
      <c r="CM8" s="7">
        <v>1148358839</v>
      </c>
      <c r="CN8" s="7">
        <v>1148358839</v>
      </c>
      <c r="CO8" s="7">
        <f t="shared" ref="CO8:CO13" si="6">CN8</f>
        <v>1148358839</v>
      </c>
      <c r="CP8" s="7">
        <f t="shared" ref="CP8:DA8" si="7">1224421462+380805877</f>
        <v>1605227339</v>
      </c>
      <c r="CQ8" s="7">
        <f t="shared" si="7"/>
        <v>1605227339</v>
      </c>
      <c r="CR8" s="7">
        <f t="shared" si="7"/>
        <v>1605227339</v>
      </c>
      <c r="CS8" s="7">
        <f t="shared" si="7"/>
        <v>1605227339</v>
      </c>
      <c r="CT8" s="7">
        <f t="shared" si="7"/>
        <v>1605227339</v>
      </c>
      <c r="CU8" s="7">
        <f t="shared" si="7"/>
        <v>1605227339</v>
      </c>
      <c r="CV8" s="7">
        <f t="shared" si="7"/>
        <v>1605227339</v>
      </c>
      <c r="CW8" s="7">
        <f t="shared" si="7"/>
        <v>1605227339</v>
      </c>
      <c r="CX8" s="7">
        <f t="shared" si="7"/>
        <v>1605227339</v>
      </c>
      <c r="CY8" s="7">
        <f t="shared" si="7"/>
        <v>1605227339</v>
      </c>
      <c r="CZ8" s="7">
        <f t="shared" si="7"/>
        <v>1605227339</v>
      </c>
      <c r="DA8" s="7">
        <f t="shared" si="7"/>
        <v>1605227339</v>
      </c>
      <c r="DB8" s="7">
        <f t="shared" ref="DB8:DB13" si="8">DA8</f>
        <v>1605227339</v>
      </c>
      <c r="DC8" s="7">
        <f t="shared" ref="DC8:DN8" si="9">1220635546+581829225</f>
        <v>1802464771</v>
      </c>
      <c r="DD8" s="7">
        <f t="shared" si="9"/>
        <v>1802464771</v>
      </c>
      <c r="DE8" s="7">
        <f t="shared" si="9"/>
        <v>1802464771</v>
      </c>
      <c r="DF8" s="7">
        <f t="shared" si="9"/>
        <v>1802464771</v>
      </c>
      <c r="DG8" s="7">
        <f t="shared" si="9"/>
        <v>1802464771</v>
      </c>
      <c r="DH8" s="7">
        <f t="shared" si="9"/>
        <v>1802464771</v>
      </c>
      <c r="DI8" s="7">
        <f t="shared" si="9"/>
        <v>1802464771</v>
      </c>
      <c r="DJ8" s="7">
        <f t="shared" si="9"/>
        <v>1802464771</v>
      </c>
      <c r="DK8" s="7">
        <f t="shared" si="9"/>
        <v>1802464771</v>
      </c>
      <c r="DL8" s="7">
        <f t="shared" si="9"/>
        <v>1802464771</v>
      </c>
      <c r="DM8" s="7">
        <f t="shared" si="9"/>
        <v>1802464771</v>
      </c>
      <c r="DN8" s="7">
        <f t="shared" si="9"/>
        <v>1802464771</v>
      </c>
      <c r="DO8" s="7">
        <f t="shared" ref="DO8:DO13" si="10">DN8</f>
        <v>1802464771</v>
      </c>
      <c r="DP8" s="7">
        <v>1913855137</v>
      </c>
      <c r="DQ8" s="7">
        <v>1913855137</v>
      </c>
      <c r="DR8" s="7">
        <v>1913855137</v>
      </c>
      <c r="DS8" s="7">
        <v>1913855137</v>
      </c>
      <c r="DT8" s="7">
        <v>1913855137</v>
      </c>
      <c r="DU8" s="7">
        <v>1913855137</v>
      </c>
      <c r="DV8" s="7">
        <v>1913855137</v>
      </c>
      <c r="DW8" s="7">
        <v>1913855137</v>
      </c>
      <c r="DX8" s="7">
        <v>1913855137</v>
      </c>
      <c r="DY8" s="7">
        <v>1913855137</v>
      </c>
      <c r="DZ8" s="7">
        <v>1913855137</v>
      </c>
      <c r="EA8" s="7">
        <v>1913855137</v>
      </c>
      <c r="EB8" s="7">
        <f t="shared" ref="EB8:EB13" si="11">EA8</f>
        <v>1913855137</v>
      </c>
      <c r="EC8" s="7">
        <v>2012684680</v>
      </c>
      <c r="ED8" s="7">
        <v>2012684680</v>
      </c>
      <c r="EE8" s="7">
        <v>2012684680</v>
      </c>
      <c r="EF8" s="7">
        <v>2012684680</v>
      </c>
      <c r="EG8" s="7">
        <v>2012684680</v>
      </c>
      <c r="EH8" s="7">
        <v>2012684680</v>
      </c>
      <c r="EI8" s="7">
        <v>2012684680</v>
      </c>
      <c r="EJ8" s="7">
        <v>2012684680</v>
      </c>
      <c r="EK8" s="7">
        <v>2012684680</v>
      </c>
      <c r="EL8" s="7">
        <v>2012684680</v>
      </c>
      <c r="EM8" s="7">
        <v>2012684680</v>
      </c>
      <c r="EN8" s="7">
        <v>2012684680</v>
      </c>
      <c r="EO8" s="7">
        <f t="shared" ref="EO8:EO13" si="12">EN8</f>
        <v>2012684680</v>
      </c>
      <c r="EP8" s="7">
        <v>2083103023</v>
      </c>
      <c r="EQ8" s="7">
        <v>2083103023</v>
      </c>
      <c r="ER8" s="7">
        <v>2083103023</v>
      </c>
      <c r="ES8" s="7">
        <v>2083103023</v>
      </c>
      <c r="ET8" s="7">
        <v>2083103023</v>
      </c>
      <c r="EU8" s="7">
        <v>2083103023</v>
      </c>
      <c r="EV8" s="7">
        <v>2083103023</v>
      </c>
      <c r="EW8" s="7">
        <v>2083103023</v>
      </c>
      <c r="EX8" s="7">
        <v>2083103023</v>
      </c>
      <c r="EY8" s="7">
        <v>2083103023</v>
      </c>
      <c r="EZ8" s="7">
        <v>2083103023</v>
      </c>
      <c r="FA8" s="7">
        <v>2083103023</v>
      </c>
      <c r="FB8" s="7">
        <f t="shared" ref="FB8:FB13" si="13">FA8</f>
        <v>2083103023</v>
      </c>
      <c r="FC8" s="7">
        <v>1951485600</v>
      </c>
      <c r="FD8" s="7">
        <v>1951485600</v>
      </c>
      <c r="FE8" s="7">
        <v>1951485600</v>
      </c>
      <c r="FF8" s="7">
        <v>1951485600</v>
      </c>
      <c r="FG8" s="7">
        <v>1951485600</v>
      </c>
      <c r="FH8" s="7">
        <v>1951485600</v>
      </c>
      <c r="FI8" s="7">
        <v>1951485600</v>
      </c>
      <c r="FO8" s="7">
        <f t="shared" ref="FO8:FO13" si="14">FI8</f>
        <v>1951485600</v>
      </c>
    </row>
    <row r="9" spans="2:171" ht="28.05" customHeight="1" x14ac:dyDescent="0.3">
      <c r="B9" s="6" t="s">
        <v>47</v>
      </c>
      <c r="C9" s="7">
        <v>101236706</v>
      </c>
      <c r="D9" s="7">
        <v>101236706</v>
      </c>
      <c r="E9" s="7">
        <v>101236706</v>
      </c>
      <c r="F9" s="7">
        <v>101236706</v>
      </c>
      <c r="G9" s="7">
        <v>101236706</v>
      </c>
      <c r="H9" s="7">
        <v>101236706</v>
      </c>
      <c r="I9" s="7">
        <v>101236706</v>
      </c>
      <c r="J9" s="7">
        <v>101236706</v>
      </c>
      <c r="K9" s="7">
        <v>101236706</v>
      </c>
      <c r="L9" s="7">
        <v>101236706</v>
      </c>
      <c r="M9" s="7">
        <v>101236706</v>
      </c>
      <c r="N9" s="7">
        <v>101236706</v>
      </c>
      <c r="O9" s="7">
        <f t="shared" si="0"/>
        <v>101236706</v>
      </c>
      <c r="P9" s="7">
        <v>117398169</v>
      </c>
      <c r="Q9" s="7">
        <v>117398169</v>
      </c>
      <c r="R9" s="7">
        <v>117398169</v>
      </c>
      <c r="S9" s="7">
        <v>117398169</v>
      </c>
      <c r="T9" s="7">
        <v>117398169</v>
      </c>
      <c r="U9" s="7">
        <v>117398169</v>
      </c>
      <c r="V9" s="7">
        <v>117398169</v>
      </c>
      <c r="W9" s="7">
        <v>117398169</v>
      </c>
      <c r="X9" s="7">
        <v>117398169</v>
      </c>
      <c r="Y9" s="7">
        <v>117398169</v>
      </c>
      <c r="Z9" s="7">
        <v>117398169</v>
      </c>
      <c r="AA9" s="7">
        <v>117398169</v>
      </c>
      <c r="AB9" s="7">
        <f t="shared" si="1"/>
        <v>117398169</v>
      </c>
      <c r="AC9" s="7">
        <v>127292924</v>
      </c>
      <c r="AD9" s="7">
        <v>127292924</v>
      </c>
      <c r="AE9" s="7">
        <v>127292924</v>
      </c>
      <c r="AF9" s="7">
        <v>127292924</v>
      </c>
      <c r="AG9" s="7">
        <v>127292924</v>
      </c>
      <c r="AH9" s="7">
        <v>127292924</v>
      </c>
      <c r="AI9" s="7">
        <v>127292924</v>
      </c>
      <c r="AJ9" s="7">
        <v>127292924</v>
      </c>
      <c r="AK9" s="7">
        <v>127292924</v>
      </c>
      <c r="AL9" s="7">
        <v>127292924</v>
      </c>
      <c r="AM9" s="7">
        <v>127292924</v>
      </c>
      <c r="AN9" s="7">
        <v>127292924</v>
      </c>
      <c r="AO9" s="7">
        <f t="shared" si="2"/>
        <v>127292924</v>
      </c>
      <c r="AP9" s="7">
        <v>121635713</v>
      </c>
      <c r="AQ9" s="7">
        <v>121635713</v>
      </c>
      <c r="AR9" s="7">
        <v>121635713</v>
      </c>
      <c r="AS9" s="7">
        <v>121635713</v>
      </c>
      <c r="AT9" s="7">
        <v>121635713</v>
      </c>
      <c r="AU9" s="7">
        <v>121635713</v>
      </c>
      <c r="AV9" s="7">
        <v>121635713</v>
      </c>
      <c r="AW9" s="7">
        <v>121635713</v>
      </c>
      <c r="AX9" s="7">
        <v>121635713</v>
      </c>
      <c r="AY9" s="7">
        <v>121635713</v>
      </c>
      <c r="AZ9" s="7">
        <v>121635713</v>
      </c>
      <c r="BA9" s="7">
        <v>121635713</v>
      </c>
      <c r="BB9" s="7">
        <f t="shared" si="3"/>
        <v>121635713</v>
      </c>
      <c r="BC9" s="7">
        <v>119785354</v>
      </c>
      <c r="BD9" s="7">
        <v>119785354</v>
      </c>
      <c r="BE9" s="7">
        <v>119785354</v>
      </c>
      <c r="BF9" s="7">
        <v>119785354</v>
      </c>
      <c r="BG9" s="7">
        <v>119785354</v>
      </c>
      <c r="BH9" s="7">
        <v>119785354</v>
      </c>
      <c r="BI9" s="7">
        <v>119785354</v>
      </c>
      <c r="BJ9" s="7">
        <v>119785354</v>
      </c>
      <c r="BK9" s="7">
        <v>119785354</v>
      </c>
      <c r="BL9" s="7">
        <v>119785354</v>
      </c>
      <c r="BM9" s="7">
        <v>119785354</v>
      </c>
      <c r="BN9" s="7">
        <v>119785354</v>
      </c>
      <c r="BO9" s="7">
        <f t="shared" si="4"/>
        <v>119785354</v>
      </c>
      <c r="BP9" s="7">
        <v>129182602</v>
      </c>
      <c r="BQ9" s="7">
        <v>129182602</v>
      </c>
      <c r="BR9" s="7">
        <v>129182602</v>
      </c>
      <c r="BS9" s="7">
        <v>129182602</v>
      </c>
      <c r="BT9" s="7">
        <v>129182602</v>
      </c>
      <c r="BU9" s="7">
        <v>129182602</v>
      </c>
      <c r="BV9" s="7">
        <v>129182602</v>
      </c>
      <c r="BW9" s="7">
        <v>129182602</v>
      </c>
      <c r="BX9" s="7">
        <v>129182602</v>
      </c>
      <c r="BY9" s="7">
        <v>129182602</v>
      </c>
      <c r="BZ9" s="7">
        <v>129182602</v>
      </c>
      <c r="CA9" s="7">
        <v>129182602</v>
      </c>
      <c r="CB9" s="7">
        <f t="shared" si="5"/>
        <v>129182602</v>
      </c>
      <c r="CC9" s="7">
        <v>137671350</v>
      </c>
      <c r="CD9" s="7">
        <v>137671350</v>
      </c>
      <c r="CE9" s="7">
        <v>137671350</v>
      </c>
      <c r="CF9" s="7">
        <v>137671350</v>
      </c>
      <c r="CG9" s="7">
        <v>137671350</v>
      </c>
      <c r="CH9" s="7">
        <v>137671350</v>
      </c>
      <c r="CI9" s="7">
        <v>137671350</v>
      </c>
      <c r="CJ9" s="7">
        <v>137671350</v>
      </c>
      <c r="CK9" s="7">
        <v>137671350</v>
      </c>
      <c r="CL9" s="7">
        <v>137671350</v>
      </c>
      <c r="CM9" s="7">
        <v>137671350</v>
      </c>
      <c r="CN9" s="7">
        <v>137671350</v>
      </c>
      <c r="CO9" s="7">
        <f t="shared" si="6"/>
        <v>137671350</v>
      </c>
      <c r="CP9" s="7">
        <f t="shared" ref="CP9:DA9" si="15">140801596+100700947</f>
        <v>241502543</v>
      </c>
      <c r="CQ9" s="7">
        <f t="shared" si="15"/>
        <v>241502543</v>
      </c>
      <c r="CR9" s="7">
        <f t="shared" si="15"/>
        <v>241502543</v>
      </c>
      <c r="CS9" s="7">
        <f t="shared" si="15"/>
        <v>241502543</v>
      </c>
      <c r="CT9" s="7">
        <f t="shared" si="15"/>
        <v>241502543</v>
      </c>
      <c r="CU9" s="7">
        <f t="shared" si="15"/>
        <v>241502543</v>
      </c>
      <c r="CV9" s="7">
        <f t="shared" si="15"/>
        <v>241502543</v>
      </c>
      <c r="CW9" s="7">
        <f t="shared" si="15"/>
        <v>241502543</v>
      </c>
      <c r="CX9" s="7">
        <f t="shared" si="15"/>
        <v>241502543</v>
      </c>
      <c r="CY9" s="7">
        <f t="shared" si="15"/>
        <v>241502543</v>
      </c>
      <c r="CZ9" s="7">
        <f t="shared" si="15"/>
        <v>241502543</v>
      </c>
      <c r="DA9" s="7">
        <f t="shared" si="15"/>
        <v>241502543</v>
      </c>
      <c r="DB9" s="7">
        <f t="shared" si="8"/>
        <v>241502543</v>
      </c>
      <c r="DC9" s="7">
        <f t="shared" ref="DC9:DN9" si="16">147022684+130812721</f>
        <v>277835405</v>
      </c>
      <c r="DD9" s="7">
        <f t="shared" si="16"/>
        <v>277835405</v>
      </c>
      <c r="DE9" s="7">
        <f t="shared" si="16"/>
        <v>277835405</v>
      </c>
      <c r="DF9" s="7">
        <f t="shared" si="16"/>
        <v>277835405</v>
      </c>
      <c r="DG9" s="7">
        <f t="shared" si="16"/>
        <v>277835405</v>
      </c>
      <c r="DH9" s="7">
        <f t="shared" si="16"/>
        <v>277835405</v>
      </c>
      <c r="DI9" s="7">
        <f t="shared" si="16"/>
        <v>277835405</v>
      </c>
      <c r="DJ9" s="7">
        <f t="shared" si="16"/>
        <v>277835405</v>
      </c>
      <c r="DK9" s="7">
        <f t="shared" si="16"/>
        <v>277835405</v>
      </c>
      <c r="DL9" s="7">
        <f t="shared" si="16"/>
        <v>277835405</v>
      </c>
      <c r="DM9" s="7">
        <f t="shared" si="16"/>
        <v>277835405</v>
      </c>
      <c r="DN9" s="7">
        <f t="shared" si="16"/>
        <v>277835405</v>
      </c>
      <c r="DO9" s="7">
        <f t="shared" si="10"/>
        <v>277835405</v>
      </c>
      <c r="DP9" s="7">
        <v>293591805</v>
      </c>
      <c r="DQ9" s="7">
        <v>293591805</v>
      </c>
      <c r="DR9" s="7">
        <v>293591805</v>
      </c>
      <c r="DS9" s="7">
        <v>293591805</v>
      </c>
      <c r="DT9" s="7">
        <v>293591805</v>
      </c>
      <c r="DU9" s="7">
        <v>293591805</v>
      </c>
      <c r="DV9" s="7">
        <v>293591805</v>
      </c>
      <c r="DW9" s="7">
        <v>293591805</v>
      </c>
      <c r="DX9" s="7">
        <v>293591805</v>
      </c>
      <c r="DY9" s="7">
        <v>293591805</v>
      </c>
      <c r="DZ9" s="7">
        <v>293591805</v>
      </c>
      <c r="EA9" s="7">
        <v>293591805</v>
      </c>
      <c r="EB9" s="7">
        <f t="shared" si="11"/>
        <v>293591805</v>
      </c>
      <c r="EC9" s="7">
        <v>295701947</v>
      </c>
      <c r="ED9" s="7">
        <v>295701947</v>
      </c>
      <c r="EE9" s="7">
        <v>295701947</v>
      </c>
      <c r="EF9" s="7">
        <v>295701947</v>
      </c>
      <c r="EG9" s="7">
        <v>295701947</v>
      </c>
      <c r="EH9" s="7">
        <v>295701947</v>
      </c>
      <c r="EI9" s="7">
        <v>295701947</v>
      </c>
      <c r="EJ9" s="7">
        <v>295701947</v>
      </c>
      <c r="EK9" s="7">
        <v>295701947</v>
      </c>
      <c r="EL9" s="7">
        <v>295701947</v>
      </c>
      <c r="EM9" s="7">
        <v>295701947</v>
      </c>
      <c r="EN9" s="7">
        <v>295701947</v>
      </c>
      <c r="EO9" s="7">
        <f t="shared" si="12"/>
        <v>295701947</v>
      </c>
      <c r="EP9" s="7">
        <v>308121429</v>
      </c>
      <c r="EQ9" s="7">
        <v>308121429</v>
      </c>
      <c r="ER9" s="7">
        <v>308121429</v>
      </c>
      <c r="ES9" s="7">
        <v>308121429</v>
      </c>
      <c r="ET9" s="7">
        <v>308121429</v>
      </c>
      <c r="EU9" s="7">
        <v>308121429</v>
      </c>
      <c r="EV9" s="7">
        <v>308121429</v>
      </c>
      <c r="EW9" s="7">
        <v>308121429</v>
      </c>
      <c r="EX9" s="7">
        <v>308121429</v>
      </c>
      <c r="EY9" s="7">
        <v>308121429</v>
      </c>
      <c r="EZ9" s="7">
        <v>308121429</v>
      </c>
      <c r="FA9" s="7">
        <v>308121429</v>
      </c>
      <c r="FB9" s="7">
        <f t="shared" si="13"/>
        <v>308121429</v>
      </c>
      <c r="FC9" s="7">
        <v>195906100</v>
      </c>
      <c r="FD9" s="7">
        <v>195906100</v>
      </c>
      <c r="FE9" s="7">
        <v>195906100</v>
      </c>
      <c r="FF9" s="7">
        <v>195906100</v>
      </c>
      <c r="FG9" s="7">
        <v>195906100</v>
      </c>
      <c r="FH9" s="7">
        <v>195906100</v>
      </c>
      <c r="FI9" s="7">
        <v>195906100</v>
      </c>
      <c r="FO9" s="7">
        <f t="shared" si="14"/>
        <v>195906100</v>
      </c>
    </row>
    <row r="10" spans="2:171" ht="28.05" customHeight="1" x14ac:dyDescent="0.3">
      <c r="B10" s="6" t="s">
        <v>48</v>
      </c>
      <c r="C10" s="7">
        <v>49407947</v>
      </c>
      <c r="D10" s="7">
        <v>49407947</v>
      </c>
      <c r="E10" s="7">
        <v>49407947</v>
      </c>
      <c r="F10" s="7">
        <v>49407947</v>
      </c>
      <c r="G10" s="7">
        <v>49407947</v>
      </c>
      <c r="H10" s="7">
        <v>49407947</v>
      </c>
      <c r="I10" s="7">
        <v>49407947</v>
      </c>
      <c r="J10" s="7">
        <v>49407947</v>
      </c>
      <c r="K10" s="7">
        <v>49407947</v>
      </c>
      <c r="L10" s="7">
        <v>49407947</v>
      </c>
      <c r="M10" s="7">
        <v>49407947</v>
      </c>
      <c r="N10" s="7">
        <v>49407947</v>
      </c>
      <c r="O10" s="7">
        <f t="shared" si="0"/>
        <v>49407947</v>
      </c>
      <c r="P10" s="7">
        <v>68884752</v>
      </c>
      <c r="Q10" s="7">
        <v>68884752</v>
      </c>
      <c r="R10" s="7">
        <v>68884752</v>
      </c>
      <c r="S10" s="7">
        <v>68884752</v>
      </c>
      <c r="T10" s="7">
        <v>68884752</v>
      </c>
      <c r="U10" s="7">
        <v>68884752</v>
      </c>
      <c r="V10" s="7">
        <v>68884752</v>
      </c>
      <c r="W10" s="7">
        <v>68884752</v>
      </c>
      <c r="X10" s="7">
        <v>68884752</v>
      </c>
      <c r="Y10" s="7">
        <v>68884752</v>
      </c>
      <c r="Z10" s="7">
        <v>68884752</v>
      </c>
      <c r="AA10" s="7">
        <v>68884752</v>
      </c>
      <c r="AB10" s="7">
        <f t="shared" si="1"/>
        <v>68884752</v>
      </c>
      <c r="AC10" s="7">
        <v>71502372</v>
      </c>
      <c r="AD10" s="7">
        <v>71502372</v>
      </c>
      <c r="AE10" s="7">
        <v>71502372</v>
      </c>
      <c r="AF10" s="7">
        <v>71502372</v>
      </c>
      <c r="AG10" s="7">
        <v>71502372</v>
      </c>
      <c r="AH10" s="7">
        <v>71502372</v>
      </c>
      <c r="AI10" s="7">
        <v>71502372</v>
      </c>
      <c r="AJ10" s="7">
        <v>71502372</v>
      </c>
      <c r="AK10" s="7">
        <v>71502372</v>
      </c>
      <c r="AL10" s="7">
        <v>71502372</v>
      </c>
      <c r="AM10" s="7">
        <v>71502372</v>
      </c>
      <c r="AN10" s="7">
        <v>71502372</v>
      </c>
      <c r="AO10" s="7">
        <f t="shared" si="2"/>
        <v>71502372</v>
      </c>
      <c r="AP10" s="7">
        <v>89991483</v>
      </c>
      <c r="AQ10" s="7">
        <v>89991483</v>
      </c>
      <c r="AR10" s="7">
        <v>89991483</v>
      </c>
      <c r="AS10" s="7">
        <v>89991483</v>
      </c>
      <c r="AT10" s="7">
        <v>89991483</v>
      </c>
      <c r="AU10" s="7">
        <v>89991483</v>
      </c>
      <c r="AV10" s="7">
        <v>89991483</v>
      </c>
      <c r="AW10" s="7">
        <v>89991483</v>
      </c>
      <c r="AX10" s="7">
        <v>89991483</v>
      </c>
      <c r="AY10" s="7">
        <v>89991483</v>
      </c>
      <c r="AZ10" s="7">
        <v>89991483</v>
      </c>
      <c r="BA10" s="7">
        <v>89991483</v>
      </c>
      <c r="BB10" s="7">
        <f t="shared" si="3"/>
        <v>89991483</v>
      </c>
      <c r="BC10" s="7">
        <v>102433801</v>
      </c>
      <c r="BD10" s="7">
        <v>102433801</v>
      </c>
      <c r="BE10" s="7">
        <v>102433801</v>
      </c>
      <c r="BF10" s="7">
        <v>102433801</v>
      </c>
      <c r="BG10" s="7">
        <v>102433801</v>
      </c>
      <c r="BH10" s="7">
        <v>102433801</v>
      </c>
      <c r="BI10" s="7">
        <v>102433801</v>
      </c>
      <c r="BJ10" s="7">
        <v>102433801</v>
      </c>
      <c r="BK10" s="7">
        <v>102433801</v>
      </c>
      <c r="BL10" s="7">
        <v>102433801</v>
      </c>
      <c r="BM10" s="7">
        <v>102433801</v>
      </c>
      <c r="BN10" s="7">
        <v>102433801</v>
      </c>
      <c r="BO10" s="7">
        <f t="shared" si="4"/>
        <v>102433801</v>
      </c>
      <c r="BP10" s="7">
        <v>114691671</v>
      </c>
      <c r="BQ10" s="7">
        <v>114691671</v>
      </c>
      <c r="BR10" s="7">
        <v>114691671</v>
      </c>
      <c r="BS10" s="7">
        <v>114691671</v>
      </c>
      <c r="BT10" s="7">
        <v>114691671</v>
      </c>
      <c r="BU10" s="7">
        <v>114691671</v>
      </c>
      <c r="BV10" s="7">
        <v>114691671</v>
      </c>
      <c r="BW10" s="7">
        <v>114691671</v>
      </c>
      <c r="BX10" s="7">
        <v>114691671</v>
      </c>
      <c r="BY10" s="7">
        <v>114691671</v>
      </c>
      <c r="BZ10" s="7">
        <v>114691671</v>
      </c>
      <c r="CA10" s="7">
        <v>114691671</v>
      </c>
      <c r="CB10" s="7">
        <f t="shared" si="5"/>
        <v>114691671</v>
      </c>
      <c r="CC10" s="7">
        <v>135338654</v>
      </c>
      <c r="CD10" s="7">
        <v>135338654</v>
      </c>
      <c r="CE10" s="7">
        <v>135338654</v>
      </c>
      <c r="CF10" s="7">
        <v>135338654</v>
      </c>
      <c r="CG10" s="7">
        <v>135338654</v>
      </c>
      <c r="CH10" s="7">
        <v>135338654</v>
      </c>
      <c r="CI10" s="7">
        <v>135338654</v>
      </c>
      <c r="CJ10" s="7">
        <v>135338654</v>
      </c>
      <c r="CK10" s="7">
        <v>135338654</v>
      </c>
      <c r="CL10" s="7">
        <v>135338654</v>
      </c>
      <c r="CM10" s="7">
        <v>135338654</v>
      </c>
      <c r="CN10" s="7">
        <v>135338654</v>
      </c>
      <c r="CO10" s="7">
        <f t="shared" si="6"/>
        <v>135338654</v>
      </c>
      <c r="CP10" s="7">
        <f t="shared" ref="CP10:DA10" si="17">142048072+104543895</f>
        <v>246591967</v>
      </c>
      <c r="CQ10" s="7">
        <f t="shared" si="17"/>
        <v>246591967</v>
      </c>
      <c r="CR10" s="7">
        <f t="shared" si="17"/>
        <v>246591967</v>
      </c>
      <c r="CS10" s="7">
        <f t="shared" si="17"/>
        <v>246591967</v>
      </c>
      <c r="CT10" s="7">
        <f t="shared" si="17"/>
        <v>246591967</v>
      </c>
      <c r="CU10" s="7">
        <f t="shared" si="17"/>
        <v>246591967</v>
      </c>
      <c r="CV10" s="7">
        <f t="shared" si="17"/>
        <v>246591967</v>
      </c>
      <c r="CW10" s="7">
        <f t="shared" si="17"/>
        <v>246591967</v>
      </c>
      <c r="CX10" s="7">
        <f t="shared" si="17"/>
        <v>246591967</v>
      </c>
      <c r="CY10" s="7">
        <f t="shared" si="17"/>
        <v>246591967</v>
      </c>
      <c r="CZ10" s="7">
        <f t="shared" si="17"/>
        <v>246591967</v>
      </c>
      <c r="DA10" s="7">
        <f t="shared" si="17"/>
        <v>246591967</v>
      </c>
      <c r="DB10" s="7">
        <f t="shared" si="8"/>
        <v>246591967</v>
      </c>
      <c r="DC10" s="7">
        <f t="shared" ref="DC10:DN10" si="18">148440561+129907392</f>
        <v>278347953</v>
      </c>
      <c r="DD10" s="7">
        <f t="shared" si="18"/>
        <v>278347953</v>
      </c>
      <c r="DE10" s="7">
        <f t="shared" si="18"/>
        <v>278347953</v>
      </c>
      <c r="DF10" s="7">
        <f t="shared" si="18"/>
        <v>278347953</v>
      </c>
      <c r="DG10" s="7">
        <f t="shared" si="18"/>
        <v>278347953</v>
      </c>
      <c r="DH10" s="7">
        <f t="shared" si="18"/>
        <v>278347953</v>
      </c>
      <c r="DI10" s="7">
        <f t="shared" si="18"/>
        <v>278347953</v>
      </c>
      <c r="DJ10" s="7">
        <f t="shared" si="18"/>
        <v>278347953</v>
      </c>
      <c r="DK10" s="7">
        <f t="shared" si="18"/>
        <v>278347953</v>
      </c>
      <c r="DL10" s="7">
        <f t="shared" si="18"/>
        <v>278347953</v>
      </c>
      <c r="DM10" s="7">
        <f t="shared" si="18"/>
        <v>278347953</v>
      </c>
      <c r="DN10" s="7">
        <f t="shared" si="18"/>
        <v>278347953</v>
      </c>
      <c r="DO10" s="7">
        <f t="shared" si="10"/>
        <v>278347953</v>
      </c>
      <c r="DP10" s="7">
        <v>295780655</v>
      </c>
      <c r="DQ10" s="7">
        <v>295780655</v>
      </c>
      <c r="DR10" s="7">
        <v>295780655</v>
      </c>
      <c r="DS10" s="7">
        <v>295780655</v>
      </c>
      <c r="DT10" s="7">
        <v>295780655</v>
      </c>
      <c r="DU10" s="7">
        <v>295780655</v>
      </c>
      <c r="DV10" s="7">
        <v>295780655</v>
      </c>
      <c r="DW10" s="7">
        <v>295780655</v>
      </c>
      <c r="DX10" s="7">
        <v>295780655</v>
      </c>
      <c r="DY10" s="7">
        <v>295780655</v>
      </c>
      <c r="DZ10" s="7">
        <v>295780655</v>
      </c>
      <c r="EA10" s="7">
        <v>295780655</v>
      </c>
      <c r="EB10" s="7">
        <f t="shared" si="11"/>
        <v>295780655</v>
      </c>
      <c r="EC10" s="7">
        <v>315696642</v>
      </c>
      <c r="ED10" s="7">
        <v>315696642</v>
      </c>
      <c r="EE10" s="7">
        <v>315696642</v>
      </c>
      <c r="EF10" s="7">
        <v>315696642</v>
      </c>
      <c r="EG10" s="7">
        <v>315696642</v>
      </c>
      <c r="EH10" s="7">
        <v>315696642</v>
      </c>
      <c r="EI10" s="7">
        <v>315696642</v>
      </c>
      <c r="EJ10" s="7">
        <v>315696642</v>
      </c>
      <c r="EK10" s="7">
        <v>315696642</v>
      </c>
      <c r="EL10" s="7">
        <v>315696642</v>
      </c>
      <c r="EM10" s="7">
        <v>315696642</v>
      </c>
      <c r="EN10" s="7">
        <v>315696642</v>
      </c>
      <c r="EO10" s="7">
        <f t="shared" si="12"/>
        <v>315696642</v>
      </c>
      <c r="EP10" s="7">
        <v>329603442</v>
      </c>
      <c r="EQ10" s="7">
        <v>329603442</v>
      </c>
      <c r="ER10" s="7">
        <v>329603442</v>
      </c>
      <c r="ES10" s="7">
        <v>329603442</v>
      </c>
      <c r="ET10" s="7">
        <v>329603442</v>
      </c>
      <c r="EU10" s="7">
        <v>329603442</v>
      </c>
      <c r="EV10" s="7">
        <v>329603442</v>
      </c>
      <c r="EW10" s="7">
        <v>329603442</v>
      </c>
      <c r="EX10" s="7">
        <v>329603442</v>
      </c>
      <c r="EY10" s="7">
        <v>329603442</v>
      </c>
      <c r="EZ10" s="7">
        <v>329603442</v>
      </c>
      <c r="FA10" s="7">
        <v>329603442</v>
      </c>
      <c r="FB10" s="7">
        <f t="shared" si="13"/>
        <v>329603442</v>
      </c>
      <c r="FC10" s="7">
        <v>290113797</v>
      </c>
      <c r="FD10" s="7">
        <v>290113797</v>
      </c>
      <c r="FE10" s="7">
        <v>290113797</v>
      </c>
      <c r="FF10" s="7">
        <v>290113797</v>
      </c>
      <c r="FG10" s="7">
        <v>290113797</v>
      </c>
      <c r="FH10" s="7">
        <v>290113797</v>
      </c>
      <c r="FI10" s="7">
        <v>290113797</v>
      </c>
      <c r="FO10" s="7">
        <f t="shared" si="14"/>
        <v>290113797</v>
      </c>
    </row>
    <row r="11" spans="2:171" ht="28.05" customHeight="1" x14ac:dyDescent="0.3">
      <c r="B11" s="6" t="s">
        <v>49</v>
      </c>
      <c r="C11" s="7">
        <v>55038550</v>
      </c>
      <c r="D11" s="7">
        <v>55038550</v>
      </c>
      <c r="E11" s="7">
        <v>55038550</v>
      </c>
      <c r="F11" s="7">
        <v>55038550</v>
      </c>
      <c r="G11" s="7">
        <v>55038550</v>
      </c>
      <c r="H11" s="7">
        <v>55038550</v>
      </c>
      <c r="I11" s="7">
        <v>55038550</v>
      </c>
      <c r="J11" s="7">
        <v>55038550</v>
      </c>
      <c r="K11" s="7">
        <v>55038550</v>
      </c>
      <c r="L11" s="7">
        <v>55038550</v>
      </c>
      <c r="M11" s="7">
        <v>55038550</v>
      </c>
      <c r="N11" s="7">
        <v>55038550</v>
      </c>
      <c r="O11" s="7">
        <f t="shared" si="0"/>
        <v>55038550</v>
      </c>
      <c r="P11" s="7">
        <v>63737311</v>
      </c>
      <c r="Q11" s="7">
        <v>63737311</v>
      </c>
      <c r="R11" s="7">
        <v>63737311</v>
      </c>
      <c r="S11" s="7">
        <v>63737311</v>
      </c>
      <c r="T11" s="7">
        <v>63737311</v>
      </c>
      <c r="U11" s="7">
        <v>63737311</v>
      </c>
      <c r="V11" s="7">
        <v>63737311</v>
      </c>
      <c r="W11" s="7">
        <v>63737311</v>
      </c>
      <c r="X11" s="7">
        <v>63737311</v>
      </c>
      <c r="Y11" s="7">
        <v>63737311</v>
      </c>
      <c r="Z11" s="7">
        <v>63737311</v>
      </c>
      <c r="AA11" s="7">
        <v>63737311</v>
      </c>
      <c r="AB11" s="7">
        <f t="shared" si="1"/>
        <v>63737311</v>
      </c>
      <c r="AC11" s="7">
        <v>66005341</v>
      </c>
      <c r="AD11" s="7">
        <v>66005341</v>
      </c>
      <c r="AE11" s="7">
        <v>66005341</v>
      </c>
      <c r="AF11" s="7">
        <v>66005341</v>
      </c>
      <c r="AG11" s="7">
        <v>66005341</v>
      </c>
      <c r="AH11" s="7">
        <v>66005341</v>
      </c>
      <c r="AI11" s="7">
        <v>66005341</v>
      </c>
      <c r="AJ11" s="7">
        <v>66005341</v>
      </c>
      <c r="AK11" s="7">
        <v>66005341</v>
      </c>
      <c r="AL11" s="7">
        <v>66005341</v>
      </c>
      <c r="AM11" s="7">
        <v>66005341</v>
      </c>
      <c r="AN11" s="7">
        <v>66005341</v>
      </c>
      <c r="AO11" s="7">
        <f t="shared" si="2"/>
        <v>66005341</v>
      </c>
      <c r="AP11" s="7">
        <v>68152361</v>
      </c>
      <c r="AQ11" s="7">
        <v>68152361</v>
      </c>
      <c r="AR11" s="7">
        <v>68152361</v>
      </c>
      <c r="AS11" s="7">
        <v>68152361</v>
      </c>
      <c r="AT11" s="7">
        <v>68152361</v>
      </c>
      <c r="AU11" s="7">
        <v>68152361</v>
      </c>
      <c r="AV11" s="7">
        <v>68152361</v>
      </c>
      <c r="AW11" s="7">
        <v>68152361</v>
      </c>
      <c r="AX11" s="7">
        <v>68152361</v>
      </c>
      <c r="AY11" s="7">
        <v>68152361</v>
      </c>
      <c r="AZ11" s="7">
        <v>68152361</v>
      </c>
      <c r="BA11" s="7">
        <v>68152361</v>
      </c>
      <c r="BB11" s="7">
        <f t="shared" si="3"/>
        <v>68152361</v>
      </c>
      <c r="BC11" s="7">
        <v>69097793</v>
      </c>
      <c r="BD11" s="7">
        <v>69097793</v>
      </c>
      <c r="BE11" s="7">
        <v>69097793</v>
      </c>
      <c r="BF11" s="7">
        <v>69097793</v>
      </c>
      <c r="BG11" s="7">
        <v>69097793</v>
      </c>
      <c r="BH11" s="7">
        <v>69097793</v>
      </c>
      <c r="BI11" s="7">
        <v>69097793</v>
      </c>
      <c r="BJ11" s="7">
        <v>69097793</v>
      </c>
      <c r="BK11" s="7">
        <v>69097793</v>
      </c>
      <c r="BL11" s="7">
        <v>69097793</v>
      </c>
      <c r="BM11" s="7">
        <v>69097793</v>
      </c>
      <c r="BN11" s="7">
        <v>69097793</v>
      </c>
      <c r="BO11" s="7">
        <f t="shared" si="4"/>
        <v>69097793</v>
      </c>
      <c r="BP11" s="7">
        <v>69888575</v>
      </c>
      <c r="BQ11" s="7">
        <v>69888575</v>
      </c>
      <c r="BR11" s="7">
        <v>69888575</v>
      </c>
      <c r="BS11" s="7">
        <v>69888575</v>
      </c>
      <c r="BT11" s="7">
        <v>69888575</v>
      </c>
      <c r="BU11" s="7">
        <v>69888575</v>
      </c>
      <c r="BV11" s="7">
        <v>69888575</v>
      </c>
      <c r="BW11" s="7">
        <v>69888575</v>
      </c>
      <c r="BX11" s="7">
        <v>69888575</v>
      </c>
      <c r="BY11" s="7">
        <v>69888575</v>
      </c>
      <c r="BZ11" s="7">
        <v>69888575</v>
      </c>
      <c r="CA11" s="7">
        <v>69888575</v>
      </c>
      <c r="CB11" s="7">
        <f t="shared" si="5"/>
        <v>69888575</v>
      </c>
      <c r="CC11" s="7">
        <v>71705676</v>
      </c>
      <c r="CD11" s="7">
        <v>71705676</v>
      </c>
      <c r="CE11" s="7">
        <v>71705676</v>
      </c>
      <c r="CF11" s="7">
        <v>71705676</v>
      </c>
      <c r="CG11" s="7">
        <v>71705676</v>
      </c>
      <c r="CH11" s="7">
        <v>71705676</v>
      </c>
      <c r="CI11" s="7">
        <v>71705676</v>
      </c>
      <c r="CJ11" s="7">
        <v>71705676</v>
      </c>
      <c r="CK11" s="7">
        <v>71705676</v>
      </c>
      <c r="CL11" s="7">
        <v>71705676</v>
      </c>
      <c r="CM11" s="7">
        <v>71705676</v>
      </c>
      <c r="CN11" s="7">
        <v>71705676</v>
      </c>
      <c r="CO11" s="7">
        <f t="shared" si="6"/>
        <v>71705676</v>
      </c>
      <c r="CP11" s="7">
        <f t="shared" ref="CP11:DA11" si="19">73670723+10507533</f>
        <v>84178256</v>
      </c>
      <c r="CQ11" s="7">
        <f t="shared" si="19"/>
        <v>84178256</v>
      </c>
      <c r="CR11" s="7">
        <f t="shared" si="19"/>
        <v>84178256</v>
      </c>
      <c r="CS11" s="7">
        <f t="shared" si="19"/>
        <v>84178256</v>
      </c>
      <c r="CT11" s="7">
        <f t="shared" si="19"/>
        <v>84178256</v>
      </c>
      <c r="CU11" s="7">
        <f t="shared" si="19"/>
        <v>84178256</v>
      </c>
      <c r="CV11" s="7">
        <f t="shared" si="19"/>
        <v>84178256</v>
      </c>
      <c r="CW11" s="7">
        <f t="shared" si="19"/>
        <v>84178256</v>
      </c>
      <c r="CX11" s="7">
        <f t="shared" si="19"/>
        <v>84178256</v>
      </c>
      <c r="CY11" s="7">
        <f t="shared" si="19"/>
        <v>84178256</v>
      </c>
      <c r="CZ11" s="7">
        <f t="shared" si="19"/>
        <v>84178256</v>
      </c>
      <c r="DA11" s="7">
        <f t="shared" si="19"/>
        <v>84178256</v>
      </c>
      <c r="DB11" s="7">
        <f t="shared" si="8"/>
        <v>84178256</v>
      </c>
      <c r="DC11" s="7">
        <f t="shared" ref="DC11:DN11" si="20">76882481+23172423</f>
        <v>100054904</v>
      </c>
      <c r="DD11" s="7">
        <f t="shared" si="20"/>
        <v>100054904</v>
      </c>
      <c r="DE11" s="7">
        <f t="shared" si="20"/>
        <v>100054904</v>
      </c>
      <c r="DF11" s="7">
        <f t="shared" si="20"/>
        <v>100054904</v>
      </c>
      <c r="DG11" s="7">
        <f t="shared" si="20"/>
        <v>100054904</v>
      </c>
      <c r="DH11" s="7">
        <f t="shared" si="20"/>
        <v>100054904</v>
      </c>
      <c r="DI11" s="7">
        <f t="shared" si="20"/>
        <v>100054904</v>
      </c>
      <c r="DJ11" s="7">
        <f t="shared" si="20"/>
        <v>100054904</v>
      </c>
      <c r="DK11" s="7">
        <f t="shared" si="20"/>
        <v>100054904</v>
      </c>
      <c r="DL11" s="7">
        <f t="shared" si="20"/>
        <v>100054904</v>
      </c>
      <c r="DM11" s="7">
        <f t="shared" si="20"/>
        <v>100054904</v>
      </c>
      <c r="DN11" s="7">
        <f t="shared" si="20"/>
        <v>100054904</v>
      </c>
      <c r="DO11" s="7">
        <f t="shared" si="10"/>
        <v>100054904</v>
      </c>
      <c r="DP11" s="7">
        <v>115171552</v>
      </c>
      <c r="DQ11" s="7">
        <v>115171552</v>
      </c>
      <c r="DR11" s="7">
        <v>115171552</v>
      </c>
      <c r="DS11" s="7">
        <v>115171552</v>
      </c>
      <c r="DT11" s="7">
        <v>115171552</v>
      </c>
      <c r="DU11" s="7">
        <v>115171552</v>
      </c>
      <c r="DV11" s="7">
        <v>115171552</v>
      </c>
      <c r="DW11" s="7">
        <v>115171552</v>
      </c>
      <c r="DX11" s="7">
        <v>115171552</v>
      </c>
      <c r="DY11" s="7">
        <v>115171552</v>
      </c>
      <c r="DZ11" s="7">
        <v>115171552</v>
      </c>
      <c r="EA11" s="7">
        <v>115171552</v>
      </c>
      <c r="EB11" s="7">
        <f t="shared" si="11"/>
        <v>115171552</v>
      </c>
      <c r="EC11" s="7">
        <v>127117895</v>
      </c>
      <c r="ED11" s="7">
        <v>127117895</v>
      </c>
      <c r="EE11" s="7">
        <v>127117895</v>
      </c>
      <c r="EF11" s="7">
        <v>127117895</v>
      </c>
      <c r="EG11" s="7">
        <v>127117895</v>
      </c>
      <c r="EH11" s="7">
        <v>127117895</v>
      </c>
      <c r="EI11" s="7">
        <v>127117895</v>
      </c>
      <c r="EJ11" s="7">
        <v>127117895</v>
      </c>
      <c r="EK11" s="7">
        <v>127117895</v>
      </c>
      <c r="EL11" s="7">
        <v>127117895</v>
      </c>
      <c r="EM11" s="7">
        <v>127117895</v>
      </c>
      <c r="EN11" s="7">
        <v>127117895</v>
      </c>
      <c r="EO11" s="7">
        <f t="shared" si="12"/>
        <v>127117895</v>
      </c>
      <c r="EP11" s="7">
        <v>125417585</v>
      </c>
      <c r="EQ11" s="7">
        <v>125417585</v>
      </c>
      <c r="ER11" s="7">
        <v>125417585</v>
      </c>
      <c r="ES11" s="7">
        <v>125417585</v>
      </c>
      <c r="ET11" s="7">
        <v>125417585</v>
      </c>
      <c r="EU11" s="7">
        <v>125417585</v>
      </c>
      <c r="EV11" s="7">
        <v>125417585</v>
      </c>
      <c r="EW11" s="7">
        <v>125417585</v>
      </c>
      <c r="EX11" s="7">
        <v>125417585</v>
      </c>
      <c r="EY11" s="7">
        <v>125417585</v>
      </c>
      <c r="EZ11" s="7">
        <v>125417585</v>
      </c>
      <c r="FA11" s="7">
        <v>125417585</v>
      </c>
      <c r="FB11" s="7">
        <f t="shared" si="13"/>
        <v>125417585</v>
      </c>
      <c r="FC11" s="7">
        <v>109909690</v>
      </c>
      <c r="FD11" s="7">
        <v>109909690</v>
      </c>
      <c r="FE11" s="7">
        <v>109909690</v>
      </c>
      <c r="FF11" s="7">
        <v>109909690</v>
      </c>
      <c r="FG11" s="7">
        <v>109909690</v>
      </c>
      <c r="FH11" s="7">
        <v>109909690</v>
      </c>
      <c r="FI11" s="7">
        <v>109909690</v>
      </c>
      <c r="FO11" s="7">
        <f t="shared" si="14"/>
        <v>109909690</v>
      </c>
    </row>
    <row r="12" spans="2:171" ht="28.05" customHeight="1" x14ac:dyDescent="0.3">
      <c r="B12" s="6" t="s">
        <v>50</v>
      </c>
      <c r="C12" s="7">
        <v>41285665</v>
      </c>
      <c r="D12" s="7">
        <v>41285665</v>
      </c>
      <c r="E12" s="7">
        <v>41285665</v>
      </c>
      <c r="F12" s="7">
        <v>41285665</v>
      </c>
      <c r="G12" s="7">
        <v>41285665</v>
      </c>
      <c r="H12" s="7">
        <v>41285665</v>
      </c>
      <c r="I12" s="7">
        <v>41285665</v>
      </c>
      <c r="J12" s="7">
        <v>41285665</v>
      </c>
      <c r="K12" s="7">
        <v>41285665</v>
      </c>
      <c r="L12" s="7">
        <v>41285665</v>
      </c>
      <c r="M12" s="7">
        <v>41285665</v>
      </c>
      <c r="N12" s="7">
        <v>41285665</v>
      </c>
      <c r="O12" s="7">
        <f t="shared" si="0"/>
        <v>41285665</v>
      </c>
      <c r="P12" s="7">
        <v>41009608</v>
      </c>
      <c r="Q12" s="7">
        <v>41009608</v>
      </c>
      <c r="R12" s="7">
        <v>41009608</v>
      </c>
      <c r="S12" s="7">
        <v>41009608</v>
      </c>
      <c r="T12" s="7">
        <v>41009608</v>
      </c>
      <c r="U12" s="7">
        <v>41009608</v>
      </c>
      <c r="V12" s="7">
        <v>41009608</v>
      </c>
      <c r="W12" s="7">
        <v>41009608</v>
      </c>
      <c r="X12" s="7">
        <v>41009608</v>
      </c>
      <c r="Y12" s="7">
        <v>41009608</v>
      </c>
      <c r="Z12" s="7">
        <v>41009608</v>
      </c>
      <c r="AA12" s="7">
        <v>41009608</v>
      </c>
      <c r="AB12" s="7">
        <f t="shared" si="1"/>
        <v>41009608</v>
      </c>
      <c r="AC12" s="7">
        <v>43953347</v>
      </c>
      <c r="AD12" s="7">
        <v>43953347</v>
      </c>
      <c r="AE12" s="7">
        <v>43953347</v>
      </c>
      <c r="AF12" s="7">
        <v>43953347</v>
      </c>
      <c r="AG12" s="7">
        <v>43953347</v>
      </c>
      <c r="AH12" s="7">
        <v>43953347</v>
      </c>
      <c r="AI12" s="7">
        <v>43953347</v>
      </c>
      <c r="AJ12" s="7">
        <v>43953347</v>
      </c>
      <c r="AK12" s="7">
        <v>43953347</v>
      </c>
      <c r="AL12" s="7">
        <v>43953347</v>
      </c>
      <c r="AM12" s="7">
        <v>43953347</v>
      </c>
      <c r="AN12" s="7">
        <v>43953347</v>
      </c>
      <c r="AO12" s="7">
        <f t="shared" si="2"/>
        <v>43953347</v>
      </c>
      <c r="AP12" s="7">
        <v>45271947</v>
      </c>
      <c r="AQ12" s="7">
        <v>45271947</v>
      </c>
      <c r="AR12" s="7">
        <v>45271947</v>
      </c>
      <c r="AS12" s="7">
        <v>45271947</v>
      </c>
      <c r="AT12" s="7">
        <v>45271947</v>
      </c>
      <c r="AU12" s="7">
        <v>45271947</v>
      </c>
      <c r="AV12" s="7">
        <v>45271947</v>
      </c>
      <c r="AW12" s="7">
        <v>45271947</v>
      </c>
      <c r="AX12" s="7">
        <v>45271947</v>
      </c>
      <c r="AY12" s="7">
        <v>45271947</v>
      </c>
      <c r="AZ12" s="7">
        <v>45271947</v>
      </c>
      <c r="BA12" s="7">
        <v>45271947</v>
      </c>
      <c r="BB12" s="7">
        <f t="shared" si="3"/>
        <v>45271947</v>
      </c>
      <c r="BC12" s="7">
        <v>35602336</v>
      </c>
      <c r="BD12" s="7">
        <v>35602336</v>
      </c>
      <c r="BE12" s="7">
        <v>35602336</v>
      </c>
      <c r="BF12" s="7">
        <v>35602336</v>
      </c>
      <c r="BG12" s="7">
        <v>35602336</v>
      </c>
      <c r="BH12" s="7">
        <v>35602336</v>
      </c>
      <c r="BI12" s="7">
        <v>35602336</v>
      </c>
      <c r="BJ12" s="7">
        <v>35602336</v>
      </c>
      <c r="BK12" s="7">
        <v>35602336</v>
      </c>
      <c r="BL12" s="7">
        <v>35602336</v>
      </c>
      <c r="BM12" s="7">
        <v>35602336</v>
      </c>
      <c r="BN12" s="7">
        <v>35602336</v>
      </c>
      <c r="BO12" s="7">
        <f t="shared" si="4"/>
        <v>35602336</v>
      </c>
      <c r="BP12" s="7">
        <v>53068499</v>
      </c>
      <c r="BQ12" s="7">
        <v>53068499</v>
      </c>
      <c r="BR12" s="7">
        <v>53068499</v>
      </c>
      <c r="BS12" s="7">
        <v>53068499</v>
      </c>
      <c r="BT12" s="7">
        <v>53068499</v>
      </c>
      <c r="BU12" s="7">
        <v>53068499</v>
      </c>
      <c r="BV12" s="7">
        <v>53068499</v>
      </c>
      <c r="BW12" s="7">
        <v>53068499</v>
      </c>
      <c r="BX12" s="7">
        <v>53068499</v>
      </c>
      <c r="BY12" s="7">
        <v>53068499</v>
      </c>
      <c r="BZ12" s="7">
        <v>53068499</v>
      </c>
      <c r="CA12" s="7">
        <v>53068499</v>
      </c>
      <c r="CB12" s="7">
        <f t="shared" si="5"/>
        <v>53068499</v>
      </c>
      <c r="CC12" s="7">
        <v>58584599</v>
      </c>
      <c r="CD12" s="7">
        <v>58584599</v>
      </c>
      <c r="CE12" s="7">
        <v>58584599</v>
      </c>
      <c r="CF12" s="7">
        <v>58584599</v>
      </c>
      <c r="CG12" s="7">
        <v>58584599</v>
      </c>
      <c r="CH12" s="7">
        <v>58584599</v>
      </c>
      <c r="CI12" s="7">
        <v>58584599</v>
      </c>
      <c r="CJ12" s="7">
        <v>58584599</v>
      </c>
      <c r="CK12" s="7">
        <v>58584599</v>
      </c>
      <c r="CL12" s="7">
        <v>58584599</v>
      </c>
      <c r="CM12" s="7">
        <v>58584599</v>
      </c>
      <c r="CN12" s="7">
        <v>58584599</v>
      </c>
      <c r="CO12" s="7">
        <f t="shared" si="6"/>
        <v>58584599</v>
      </c>
      <c r="CP12" s="7">
        <f t="shared" ref="CP12:DA12" si="21">60144148+46830346</f>
        <v>106974494</v>
      </c>
      <c r="CQ12" s="7">
        <f t="shared" si="21"/>
        <v>106974494</v>
      </c>
      <c r="CR12" s="7">
        <f t="shared" si="21"/>
        <v>106974494</v>
      </c>
      <c r="CS12" s="7">
        <f t="shared" si="21"/>
        <v>106974494</v>
      </c>
      <c r="CT12" s="7">
        <f t="shared" si="21"/>
        <v>106974494</v>
      </c>
      <c r="CU12" s="7">
        <f t="shared" si="21"/>
        <v>106974494</v>
      </c>
      <c r="CV12" s="7">
        <f t="shared" si="21"/>
        <v>106974494</v>
      </c>
      <c r="CW12" s="7">
        <f t="shared" si="21"/>
        <v>106974494</v>
      </c>
      <c r="CX12" s="7">
        <f t="shared" si="21"/>
        <v>106974494</v>
      </c>
      <c r="CY12" s="7">
        <f t="shared" si="21"/>
        <v>106974494</v>
      </c>
      <c r="CZ12" s="7">
        <f t="shared" si="21"/>
        <v>106974494</v>
      </c>
      <c r="DA12" s="7">
        <f t="shared" si="21"/>
        <v>106974494</v>
      </c>
      <c r="DB12" s="7">
        <f t="shared" si="8"/>
        <v>106974494</v>
      </c>
      <c r="DC12" s="7">
        <f t="shared" ref="DC12:DN12" si="22">62797413+55033938</f>
        <v>117831351</v>
      </c>
      <c r="DD12" s="7">
        <f t="shared" si="22"/>
        <v>117831351</v>
      </c>
      <c r="DE12" s="7">
        <f t="shared" si="22"/>
        <v>117831351</v>
      </c>
      <c r="DF12" s="7">
        <f t="shared" si="22"/>
        <v>117831351</v>
      </c>
      <c r="DG12" s="7">
        <f t="shared" si="22"/>
        <v>117831351</v>
      </c>
      <c r="DH12" s="7">
        <f t="shared" si="22"/>
        <v>117831351</v>
      </c>
      <c r="DI12" s="7">
        <f t="shared" si="22"/>
        <v>117831351</v>
      </c>
      <c r="DJ12" s="7">
        <f t="shared" si="22"/>
        <v>117831351</v>
      </c>
      <c r="DK12" s="7">
        <f t="shared" si="22"/>
        <v>117831351</v>
      </c>
      <c r="DL12" s="7">
        <f t="shared" si="22"/>
        <v>117831351</v>
      </c>
      <c r="DM12" s="7">
        <f t="shared" si="22"/>
        <v>117831351</v>
      </c>
      <c r="DN12" s="7">
        <f t="shared" si="22"/>
        <v>117831351</v>
      </c>
      <c r="DO12" s="7">
        <f t="shared" si="10"/>
        <v>117831351</v>
      </c>
      <c r="DP12" s="7">
        <v>135318267</v>
      </c>
      <c r="DQ12" s="7">
        <v>135318267</v>
      </c>
      <c r="DR12" s="7">
        <v>135318267</v>
      </c>
      <c r="DS12" s="7">
        <v>135318267</v>
      </c>
      <c r="DT12" s="7">
        <v>135318267</v>
      </c>
      <c r="DU12" s="7">
        <v>135318267</v>
      </c>
      <c r="DV12" s="7">
        <v>135318267</v>
      </c>
      <c r="DW12" s="7">
        <v>135318267</v>
      </c>
      <c r="DX12" s="7">
        <v>135318267</v>
      </c>
      <c r="DY12" s="7">
        <v>135318267</v>
      </c>
      <c r="DZ12" s="7">
        <v>135318267</v>
      </c>
      <c r="EA12" s="7">
        <v>135318267</v>
      </c>
      <c r="EB12" s="7">
        <f t="shared" si="11"/>
        <v>135318267</v>
      </c>
      <c r="EC12" s="7">
        <v>137741639</v>
      </c>
      <c r="ED12" s="7">
        <v>137741639</v>
      </c>
      <c r="EE12" s="7">
        <v>137741639</v>
      </c>
      <c r="EF12" s="7">
        <v>137741639</v>
      </c>
      <c r="EG12" s="7">
        <v>137741639</v>
      </c>
      <c r="EH12" s="7">
        <v>137741639</v>
      </c>
      <c r="EI12" s="7">
        <v>137741639</v>
      </c>
      <c r="EJ12" s="7">
        <v>137741639</v>
      </c>
      <c r="EK12" s="7">
        <v>137741639</v>
      </c>
      <c r="EL12" s="7">
        <v>137741639</v>
      </c>
      <c r="EM12" s="7">
        <v>137741639</v>
      </c>
      <c r="EN12" s="7">
        <v>137741639</v>
      </c>
      <c r="EO12" s="7">
        <f t="shared" si="12"/>
        <v>137741639</v>
      </c>
      <c r="EP12" s="7">
        <v>141825431</v>
      </c>
      <c r="EQ12" s="7">
        <v>141825431</v>
      </c>
      <c r="ER12" s="7">
        <v>141825431</v>
      </c>
      <c r="ES12" s="7">
        <v>141825431</v>
      </c>
      <c r="ET12" s="7">
        <v>141825431</v>
      </c>
      <c r="EU12" s="7">
        <v>141825431</v>
      </c>
      <c r="EV12" s="7">
        <v>141825431</v>
      </c>
      <c r="EW12" s="7">
        <v>141825431</v>
      </c>
      <c r="EX12" s="7">
        <v>141825431</v>
      </c>
      <c r="EY12" s="7">
        <v>141825431</v>
      </c>
      <c r="EZ12" s="7">
        <v>141825431</v>
      </c>
      <c r="FA12" s="7">
        <v>141825431</v>
      </c>
      <c r="FB12" s="7">
        <f t="shared" si="13"/>
        <v>141825431</v>
      </c>
      <c r="FC12" s="7">
        <v>127610750</v>
      </c>
      <c r="FD12" s="7">
        <v>127610750</v>
      </c>
      <c r="FE12" s="7">
        <v>127610750</v>
      </c>
      <c r="FF12" s="7">
        <v>127610750</v>
      </c>
      <c r="FG12" s="7">
        <v>127610750</v>
      </c>
      <c r="FH12" s="7">
        <v>127610750</v>
      </c>
      <c r="FI12" s="7">
        <v>127610750</v>
      </c>
      <c r="FO12" s="7">
        <f t="shared" si="14"/>
        <v>127610750</v>
      </c>
    </row>
    <row r="13" spans="2:171" ht="28.05" customHeight="1" x14ac:dyDescent="0.3">
      <c r="B13" s="6" t="s">
        <v>51</v>
      </c>
      <c r="C13" s="7">
        <v>26272563</v>
      </c>
      <c r="D13" s="7">
        <v>26272563</v>
      </c>
      <c r="E13" s="7">
        <v>26272563</v>
      </c>
      <c r="F13" s="7">
        <v>26272563</v>
      </c>
      <c r="G13" s="7">
        <v>26272563</v>
      </c>
      <c r="H13" s="7">
        <v>26272563</v>
      </c>
      <c r="I13" s="7">
        <v>26272563</v>
      </c>
      <c r="J13" s="7">
        <v>26272563</v>
      </c>
      <c r="K13" s="7">
        <v>26272563</v>
      </c>
      <c r="L13" s="7">
        <v>26272563</v>
      </c>
      <c r="M13" s="7">
        <v>26272563</v>
      </c>
      <c r="N13" s="7">
        <v>26272563</v>
      </c>
      <c r="O13" s="7">
        <f t="shared" si="0"/>
        <v>26272563</v>
      </c>
      <c r="P13" s="7">
        <v>28203580</v>
      </c>
      <c r="Q13" s="7">
        <v>28203580</v>
      </c>
      <c r="R13" s="7">
        <v>28203580</v>
      </c>
      <c r="S13" s="7">
        <v>28203580</v>
      </c>
      <c r="T13" s="7">
        <v>28203580</v>
      </c>
      <c r="U13" s="7">
        <v>28203580</v>
      </c>
      <c r="V13" s="7">
        <v>28203580</v>
      </c>
      <c r="W13" s="7">
        <v>28203580</v>
      </c>
      <c r="X13" s="7">
        <v>28203580</v>
      </c>
      <c r="Y13" s="7">
        <v>28203580</v>
      </c>
      <c r="Z13" s="7">
        <v>28203580</v>
      </c>
      <c r="AA13" s="7">
        <v>28203580</v>
      </c>
      <c r="AB13" s="7">
        <f t="shared" si="1"/>
        <v>28203580</v>
      </c>
      <c r="AC13" s="7">
        <v>25719874</v>
      </c>
      <c r="AD13" s="7">
        <v>25719874</v>
      </c>
      <c r="AE13" s="7">
        <v>25719874</v>
      </c>
      <c r="AF13" s="7">
        <v>25719874</v>
      </c>
      <c r="AG13" s="7">
        <v>25719874</v>
      </c>
      <c r="AH13" s="7">
        <v>25719874</v>
      </c>
      <c r="AI13" s="7">
        <v>25719874</v>
      </c>
      <c r="AJ13" s="7">
        <v>25719874</v>
      </c>
      <c r="AK13" s="7">
        <v>25719874</v>
      </c>
      <c r="AL13" s="7">
        <v>25719874</v>
      </c>
      <c r="AM13" s="7">
        <v>25719874</v>
      </c>
      <c r="AN13" s="7">
        <v>25719874</v>
      </c>
      <c r="AO13" s="7">
        <f t="shared" si="2"/>
        <v>25719874</v>
      </c>
      <c r="AP13" s="7">
        <v>28283754</v>
      </c>
      <c r="AQ13" s="7">
        <v>28283754</v>
      </c>
      <c r="AR13" s="7">
        <v>28283754</v>
      </c>
      <c r="AS13" s="7">
        <v>28283754</v>
      </c>
      <c r="AT13" s="7">
        <v>28283754</v>
      </c>
      <c r="AU13" s="7">
        <v>28283754</v>
      </c>
      <c r="AV13" s="7">
        <v>28283754</v>
      </c>
      <c r="AW13" s="7">
        <v>28283754</v>
      </c>
      <c r="AX13" s="7">
        <v>28283754</v>
      </c>
      <c r="AY13" s="7">
        <v>28283754</v>
      </c>
      <c r="AZ13" s="7">
        <v>28283754</v>
      </c>
      <c r="BA13" s="7">
        <v>28283754</v>
      </c>
      <c r="BB13" s="7">
        <f t="shared" si="3"/>
        <v>28283754</v>
      </c>
      <c r="BC13" s="7">
        <v>30504194</v>
      </c>
      <c r="BD13" s="7">
        <v>30504194</v>
      </c>
      <c r="BE13" s="7">
        <v>30504194</v>
      </c>
      <c r="BF13" s="7">
        <v>30504194</v>
      </c>
      <c r="BG13" s="7">
        <v>30504194</v>
      </c>
      <c r="BH13" s="7">
        <v>30504194</v>
      </c>
      <c r="BI13" s="7">
        <v>30504194</v>
      </c>
      <c r="BJ13" s="7">
        <v>30504194</v>
      </c>
      <c r="BK13" s="7">
        <v>30504194</v>
      </c>
      <c r="BL13" s="7">
        <v>30504194</v>
      </c>
      <c r="BM13" s="7">
        <v>30504194</v>
      </c>
      <c r="BN13" s="7">
        <v>30504194</v>
      </c>
      <c r="BO13" s="7">
        <f t="shared" si="4"/>
        <v>30504194</v>
      </c>
      <c r="BP13" s="7">
        <v>25853361</v>
      </c>
      <c r="BQ13" s="7">
        <v>25853361</v>
      </c>
      <c r="BR13" s="7">
        <v>25853361</v>
      </c>
      <c r="BS13" s="7">
        <v>25853361</v>
      </c>
      <c r="BT13" s="7">
        <v>25853361</v>
      </c>
      <c r="BU13" s="7">
        <v>25853361</v>
      </c>
      <c r="BV13" s="7">
        <v>25853361</v>
      </c>
      <c r="BW13" s="7">
        <v>25853361</v>
      </c>
      <c r="BX13" s="7">
        <v>25853361</v>
      </c>
      <c r="BY13" s="7">
        <v>25853361</v>
      </c>
      <c r="BZ13" s="7">
        <v>25853361</v>
      </c>
      <c r="CA13" s="7">
        <v>25853361</v>
      </c>
      <c r="CB13" s="7">
        <f t="shared" si="5"/>
        <v>25853361</v>
      </c>
      <c r="CC13" s="7">
        <v>22096777</v>
      </c>
      <c r="CD13" s="7">
        <v>22096777</v>
      </c>
      <c r="CE13" s="7">
        <v>22096777</v>
      </c>
      <c r="CF13" s="7">
        <v>22096777</v>
      </c>
      <c r="CG13" s="7">
        <v>22096777</v>
      </c>
      <c r="CH13" s="7">
        <v>22096777</v>
      </c>
      <c r="CI13" s="7">
        <v>22096777</v>
      </c>
      <c r="CJ13" s="7">
        <v>22096777</v>
      </c>
      <c r="CK13" s="7">
        <v>22096777</v>
      </c>
      <c r="CL13" s="7">
        <v>22096777</v>
      </c>
      <c r="CM13" s="7">
        <v>22096777</v>
      </c>
      <c r="CN13" s="7">
        <v>22096777</v>
      </c>
      <c r="CO13" s="7">
        <f t="shared" si="6"/>
        <v>22096777</v>
      </c>
      <c r="CP13" s="7">
        <f t="shared" ref="CP13:DA13" si="23">11904427+25061381</f>
        <v>36965808</v>
      </c>
      <c r="CQ13" s="7">
        <f t="shared" si="23"/>
        <v>36965808</v>
      </c>
      <c r="CR13" s="7">
        <f t="shared" si="23"/>
        <v>36965808</v>
      </c>
      <c r="CS13" s="7">
        <f t="shared" si="23"/>
        <v>36965808</v>
      </c>
      <c r="CT13" s="7">
        <f t="shared" si="23"/>
        <v>36965808</v>
      </c>
      <c r="CU13" s="7">
        <f t="shared" si="23"/>
        <v>36965808</v>
      </c>
      <c r="CV13" s="7">
        <f t="shared" si="23"/>
        <v>36965808</v>
      </c>
      <c r="CW13" s="7">
        <f t="shared" si="23"/>
        <v>36965808</v>
      </c>
      <c r="CX13" s="7">
        <f t="shared" si="23"/>
        <v>36965808</v>
      </c>
      <c r="CY13" s="7">
        <f t="shared" si="23"/>
        <v>36965808</v>
      </c>
      <c r="CZ13" s="7">
        <f t="shared" si="23"/>
        <v>36965808</v>
      </c>
      <c r="DA13" s="7">
        <f t="shared" si="23"/>
        <v>36965808</v>
      </c>
      <c r="DB13" s="7">
        <f t="shared" si="8"/>
        <v>36965808</v>
      </c>
      <c r="DC13" s="7">
        <f t="shared" ref="DC13:DN13" si="24">8974172+32064677</f>
        <v>41038849</v>
      </c>
      <c r="DD13" s="7">
        <f t="shared" si="24"/>
        <v>41038849</v>
      </c>
      <c r="DE13" s="7">
        <f t="shared" si="24"/>
        <v>41038849</v>
      </c>
      <c r="DF13" s="7">
        <f t="shared" si="24"/>
        <v>41038849</v>
      </c>
      <c r="DG13" s="7">
        <f t="shared" si="24"/>
        <v>41038849</v>
      </c>
      <c r="DH13" s="7">
        <f t="shared" si="24"/>
        <v>41038849</v>
      </c>
      <c r="DI13" s="7">
        <f t="shared" si="24"/>
        <v>41038849</v>
      </c>
      <c r="DJ13" s="7">
        <f t="shared" si="24"/>
        <v>41038849</v>
      </c>
      <c r="DK13" s="7">
        <f t="shared" si="24"/>
        <v>41038849</v>
      </c>
      <c r="DL13" s="7">
        <f t="shared" si="24"/>
        <v>41038849</v>
      </c>
      <c r="DM13" s="7">
        <f t="shared" si="24"/>
        <v>41038849</v>
      </c>
      <c r="DN13" s="7">
        <f t="shared" si="24"/>
        <v>41038849</v>
      </c>
      <c r="DO13" s="7">
        <f t="shared" si="10"/>
        <v>41038849</v>
      </c>
      <c r="DP13" s="7">
        <v>37590026</v>
      </c>
      <c r="DQ13" s="7">
        <v>37590026</v>
      </c>
      <c r="DR13" s="7">
        <v>37590026</v>
      </c>
      <c r="DS13" s="7">
        <v>37590026</v>
      </c>
      <c r="DT13" s="7">
        <v>37590026</v>
      </c>
      <c r="DU13" s="7">
        <v>37590026</v>
      </c>
      <c r="DV13" s="7">
        <v>37590026</v>
      </c>
      <c r="DW13" s="7">
        <v>37590026</v>
      </c>
      <c r="DX13" s="7">
        <v>37590026</v>
      </c>
      <c r="DY13" s="7">
        <v>37590026</v>
      </c>
      <c r="DZ13" s="7">
        <v>37590026</v>
      </c>
      <c r="EA13" s="7">
        <v>37590026</v>
      </c>
      <c r="EB13" s="7">
        <f t="shared" si="11"/>
        <v>37590026</v>
      </c>
      <c r="EC13" s="7">
        <v>44570138</v>
      </c>
      <c r="ED13" s="7">
        <v>44570138</v>
      </c>
      <c r="EE13" s="7">
        <v>44570138</v>
      </c>
      <c r="EF13" s="7">
        <v>44570138</v>
      </c>
      <c r="EG13" s="7">
        <v>44570138</v>
      </c>
      <c r="EH13" s="7">
        <v>44570138</v>
      </c>
      <c r="EI13" s="7">
        <v>44570138</v>
      </c>
      <c r="EJ13" s="7">
        <v>44570138</v>
      </c>
      <c r="EK13" s="7">
        <v>44570138</v>
      </c>
      <c r="EL13" s="7">
        <v>44570138</v>
      </c>
      <c r="EM13" s="7">
        <v>44570138</v>
      </c>
      <c r="EN13" s="7">
        <v>44570138</v>
      </c>
      <c r="EO13" s="7">
        <f t="shared" si="12"/>
        <v>44570138</v>
      </c>
      <c r="EP13" s="7">
        <v>57109595</v>
      </c>
      <c r="EQ13" s="7">
        <v>57109595</v>
      </c>
      <c r="ER13" s="7">
        <v>57109595</v>
      </c>
      <c r="ES13" s="7">
        <v>57109595</v>
      </c>
      <c r="ET13" s="7">
        <v>57109595</v>
      </c>
      <c r="EU13" s="7">
        <v>57109595</v>
      </c>
      <c r="EV13" s="7">
        <v>57109595</v>
      </c>
      <c r="EW13" s="7">
        <v>57109595</v>
      </c>
      <c r="EX13" s="7">
        <v>57109595</v>
      </c>
      <c r="EY13" s="7">
        <v>57109595</v>
      </c>
      <c r="EZ13" s="7">
        <v>57109595</v>
      </c>
      <c r="FA13" s="7">
        <v>57109595</v>
      </c>
      <c r="FB13" s="7">
        <f t="shared" si="13"/>
        <v>57109595</v>
      </c>
      <c r="FC13" s="7">
        <v>30479549</v>
      </c>
      <c r="FD13" s="7">
        <v>30479549</v>
      </c>
      <c r="FE13" s="7">
        <v>30479549</v>
      </c>
      <c r="FF13" s="7">
        <v>30479549</v>
      </c>
      <c r="FG13" s="7">
        <v>30479549</v>
      </c>
      <c r="FH13" s="7">
        <v>30479549</v>
      </c>
      <c r="FI13" s="7">
        <v>30479549</v>
      </c>
      <c r="FO13" s="7">
        <f t="shared" si="14"/>
        <v>30479549</v>
      </c>
    </row>
    <row r="14" spans="2:171" ht="22.05" customHeight="1" x14ac:dyDescent="0.3">
      <c r="B14" s="4" t="s">
        <v>104</v>
      </c>
      <c r="C14" s="8">
        <f t="shared" ref="C14:AH14" si="25">SUM(C8:C13)</f>
        <v>1080148659</v>
      </c>
      <c r="D14" s="8">
        <f t="shared" si="25"/>
        <v>1080148659</v>
      </c>
      <c r="E14" s="8">
        <f t="shared" si="25"/>
        <v>1080148659</v>
      </c>
      <c r="F14" s="8">
        <f t="shared" si="25"/>
        <v>1080148659</v>
      </c>
      <c r="G14" s="8">
        <f t="shared" si="25"/>
        <v>1080148659</v>
      </c>
      <c r="H14" s="8">
        <f t="shared" si="25"/>
        <v>1080148659</v>
      </c>
      <c r="I14" s="8">
        <f t="shared" si="25"/>
        <v>1080148659</v>
      </c>
      <c r="J14" s="8">
        <f t="shared" si="25"/>
        <v>1080148659</v>
      </c>
      <c r="K14" s="8">
        <f t="shared" si="25"/>
        <v>1080148659</v>
      </c>
      <c r="L14" s="8">
        <f t="shared" si="25"/>
        <v>1080148659</v>
      </c>
      <c r="M14" s="8">
        <f t="shared" si="25"/>
        <v>1080148659</v>
      </c>
      <c r="N14" s="8">
        <f t="shared" si="25"/>
        <v>1080148659</v>
      </c>
      <c r="O14" s="8">
        <f t="shared" si="25"/>
        <v>1080148659</v>
      </c>
      <c r="P14" s="8">
        <f t="shared" si="25"/>
        <v>1276641076</v>
      </c>
      <c r="Q14" s="8">
        <f t="shared" si="25"/>
        <v>1276641076</v>
      </c>
      <c r="R14" s="8">
        <f t="shared" si="25"/>
        <v>1276641076</v>
      </c>
      <c r="S14" s="8">
        <f t="shared" si="25"/>
        <v>1276641076</v>
      </c>
      <c r="T14" s="8">
        <f t="shared" si="25"/>
        <v>1276641076</v>
      </c>
      <c r="U14" s="8">
        <f t="shared" si="25"/>
        <v>1276641076</v>
      </c>
      <c r="V14" s="8">
        <f t="shared" si="25"/>
        <v>1276641076</v>
      </c>
      <c r="W14" s="8">
        <f t="shared" si="25"/>
        <v>1276641076</v>
      </c>
      <c r="X14" s="8">
        <f t="shared" si="25"/>
        <v>1276641076</v>
      </c>
      <c r="Y14" s="8">
        <f t="shared" si="25"/>
        <v>1276641076</v>
      </c>
      <c r="Z14" s="8">
        <f t="shared" si="25"/>
        <v>1276641076</v>
      </c>
      <c r="AA14" s="8">
        <f t="shared" si="25"/>
        <v>1276641076</v>
      </c>
      <c r="AB14" s="8">
        <f t="shared" si="25"/>
        <v>1276641076</v>
      </c>
      <c r="AC14" s="8">
        <f t="shared" si="25"/>
        <v>1271630624</v>
      </c>
      <c r="AD14" s="8">
        <f t="shared" si="25"/>
        <v>1271630624</v>
      </c>
      <c r="AE14" s="8">
        <f t="shared" si="25"/>
        <v>1271630624</v>
      </c>
      <c r="AF14" s="8">
        <f t="shared" si="25"/>
        <v>1271630624</v>
      </c>
      <c r="AG14" s="8">
        <f t="shared" si="25"/>
        <v>1271630624</v>
      </c>
      <c r="AH14" s="8">
        <f t="shared" si="25"/>
        <v>1271630624</v>
      </c>
      <c r="AI14" s="8">
        <f t="shared" ref="AI14:BN14" si="26">SUM(AI8:AI13)</f>
        <v>1271630624</v>
      </c>
      <c r="AJ14" s="8">
        <f t="shared" si="26"/>
        <v>1271630624</v>
      </c>
      <c r="AK14" s="8">
        <f t="shared" si="26"/>
        <v>1271630624</v>
      </c>
      <c r="AL14" s="8">
        <f t="shared" si="26"/>
        <v>1271630624</v>
      </c>
      <c r="AM14" s="8">
        <f t="shared" si="26"/>
        <v>1271630624</v>
      </c>
      <c r="AN14" s="8">
        <f t="shared" si="26"/>
        <v>1271630624</v>
      </c>
      <c r="AO14" s="8">
        <f t="shared" si="26"/>
        <v>1271630624</v>
      </c>
      <c r="AP14" s="8">
        <f t="shared" si="26"/>
        <v>1335873679</v>
      </c>
      <c r="AQ14" s="8">
        <f t="shared" si="26"/>
        <v>1335873679</v>
      </c>
      <c r="AR14" s="8">
        <f t="shared" si="26"/>
        <v>1335873679</v>
      </c>
      <c r="AS14" s="8">
        <f t="shared" si="26"/>
        <v>1335873679</v>
      </c>
      <c r="AT14" s="8">
        <f t="shared" si="26"/>
        <v>1335873679</v>
      </c>
      <c r="AU14" s="8">
        <f t="shared" si="26"/>
        <v>1335873679</v>
      </c>
      <c r="AV14" s="8">
        <f t="shared" si="26"/>
        <v>1335873679</v>
      </c>
      <c r="AW14" s="8">
        <f t="shared" si="26"/>
        <v>1335873679</v>
      </c>
      <c r="AX14" s="8">
        <f t="shared" si="26"/>
        <v>1335873679</v>
      </c>
      <c r="AY14" s="8">
        <f t="shared" si="26"/>
        <v>1335873679</v>
      </c>
      <c r="AZ14" s="8">
        <f t="shared" si="26"/>
        <v>1335873679</v>
      </c>
      <c r="BA14" s="8">
        <f t="shared" si="26"/>
        <v>1335873679</v>
      </c>
      <c r="BB14" s="8">
        <f t="shared" si="26"/>
        <v>1335873679</v>
      </c>
      <c r="BC14" s="8">
        <f t="shared" si="26"/>
        <v>1355870741</v>
      </c>
      <c r="BD14" s="8">
        <f t="shared" si="26"/>
        <v>1355870741</v>
      </c>
      <c r="BE14" s="8">
        <f t="shared" si="26"/>
        <v>1355870741</v>
      </c>
      <c r="BF14" s="8">
        <f t="shared" si="26"/>
        <v>1355870741</v>
      </c>
      <c r="BG14" s="8">
        <f t="shared" si="26"/>
        <v>1355870741</v>
      </c>
      <c r="BH14" s="8">
        <f t="shared" si="26"/>
        <v>1355870741</v>
      </c>
      <c r="BI14" s="8">
        <f t="shared" si="26"/>
        <v>1355870741</v>
      </c>
      <c r="BJ14" s="8">
        <f t="shared" si="26"/>
        <v>1355870741</v>
      </c>
      <c r="BK14" s="8">
        <f t="shared" si="26"/>
        <v>1355870741</v>
      </c>
      <c r="BL14" s="8">
        <f t="shared" si="26"/>
        <v>1355870741</v>
      </c>
      <c r="BM14" s="8">
        <f t="shared" si="26"/>
        <v>1355870741</v>
      </c>
      <c r="BN14" s="8">
        <f t="shared" si="26"/>
        <v>1355870741</v>
      </c>
      <c r="BO14" s="8">
        <f t="shared" ref="BO14:CT14" si="27">SUM(BO8:BO13)</f>
        <v>1355870741</v>
      </c>
      <c r="BP14" s="8">
        <f t="shared" si="27"/>
        <v>1449083657</v>
      </c>
      <c r="BQ14" s="8">
        <f t="shared" si="27"/>
        <v>1449083657</v>
      </c>
      <c r="BR14" s="8">
        <f t="shared" si="27"/>
        <v>1449083657</v>
      </c>
      <c r="BS14" s="8">
        <f t="shared" si="27"/>
        <v>1449083657</v>
      </c>
      <c r="BT14" s="8">
        <f t="shared" si="27"/>
        <v>1449083657</v>
      </c>
      <c r="BU14" s="8">
        <f t="shared" si="27"/>
        <v>1449083657</v>
      </c>
      <c r="BV14" s="8">
        <f t="shared" si="27"/>
        <v>1449083657</v>
      </c>
      <c r="BW14" s="8">
        <f t="shared" si="27"/>
        <v>1449083657</v>
      </c>
      <c r="BX14" s="8">
        <f t="shared" si="27"/>
        <v>1449083657</v>
      </c>
      <c r="BY14" s="8">
        <f t="shared" si="27"/>
        <v>1449083657</v>
      </c>
      <c r="BZ14" s="8">
        <f t="shared" si="27"/>
        <v>1449083657</v>
      </c>
      <c r="CA14" s="8">
        <f t="shared" si="27"/>
        <v>1449083657</v>
      </c>
      <c r="CB14" s="8">
        <f t="shared" si="27"/>
        <v>1449083657</v>
      </c>
      <c r="CC14" s="8">
        <f t="shared" si="27"/>
        <v>1573755895</v>
      </c>
      <c r="CD14" s="8">
        <f t="shared" si="27"/>
        <v>1573755895</v>
      </c>
      <c r="CE14" s="8">
        <f t="shared" si="27"/>
        <v>1573755895</v>
      </c>
      <c r="CF14" s="8">
        <f t="shared" si="27"/>
        <v>1573755895</v>
      </c>
      <c r="CG14" s="8">
        <f t="shared" si="27"/>
        <v>1573755895</v>
      </c>
      <c r="CH14" s="8">
        <f t="shared" si="27"/>
        <v>1573755895</v>
      </c>
      <c r="CI14" s="8">
        <f t="shared" si="27"/>
        <v>1573755895</v>
      </c>
      <c r="CJ14" s="8">
        <f t="shared" si="27"/>
        <v>1573755895</v>
      </c>
      <c r="CK14" s="8">
        <f t="shared" si="27"/>
        <v>1573755895</v>
      </c>
      <c r="CL14" s="8">
        <f t="shared" si="27"/>
        <v>1573755895</v>
      </c>
      <c r="CM14" s="8">
        <f t="shared" si="27"/>
        <v>1573755895</v>
      </c>
      <c r="CN14" s="8">
        <f t="shared" si="27"/>
        <v>1573755895</v>
      </c>
      <c r="CO14" s="8">
        <f t="shared" si="27"/>
        <v>1573755895</v>
      </c>
      <c r="CP14" s="8">
        <f t="shared" si="27"/>
        <v>2321440407</v>
      </c>
      <c r="CQ14" s="8">
        <f t="shared" si="27"/>
        <v>2321440407</v>
      </c>
      <c r="CR14" s="8">
        <f t="shared" si="27"/>
        <v>2321440407</v>
      </c>
      <c r="CS14" s="8">
        <f t="shared" si="27"/>
        <v>2321440407</v>
      </c>
      <c r="CT14" s="8">
        <f t="shared" si="27"/>
        <v>2321440407</v>
      </c>
      <c r="CU14" s="8">
        <f t="shared" ref="CU14:DZ14" si="28">SUM(CU8:CU13)</f>
        <v>2321440407</v>
      </c>
      <c r="CV14" s="8">
        <f t="shared" si="28"/>
        <v>2321440407</v>
      </c>
      <c r="CW14" s="8">
        <f t="shared" si="28"/>
        <v>2321440407</v>
      </c>
      <c r="CX14" s="8">
        <f t="shared" si="28"/>
        <v>2321440407</v>
      </c>
      <c r="CY14" s="8">
        <f t="shared" si="28"/>
        <v>2321440407</v>
      </c>
      <c r="CZ14" s="8">
        <f t="shared" si="28"/>
        <v>2321440407</v>
      </c>
      <c r="DA14" s="8">
        <f t="shared" si="28"/>
        <v>2321440407</v>
      </c>
      <c r="DB14" s="8">
        <f t="shared" si="28"/>
        <v>2321440407</v>
      </c>
      <c r="DC14" s="8">
        <f t="shared" si="28"/>
        <v>2617573233</v>
      </c>
      <c r="DD14" s="8">
        <f t="shared" si="28"/>
        <v>2617573233</v>
      </c>
      <c r="DE14" s="8">
        <f t="shared" si="28"/>
        <v>2617573233</v>
      </c>
      <c r="DF14" s="8">
        <f t="shared" si="28"/>
        <v>2617573233</v>
      </c>
      <c r="DG14" s="8">
        <f t="shared" si="28"/>
        <v>2617573233</v>
      </c>
      <c r="DH14" s="8">
        <f t="shared" si="28"/>
        <v>2617573233</v>
      </c>
      <c r="DI14" s="8">
        <f t="shared" si="28"/>
        <v>2617573233</v>
      </c>
      <c r="DJ14" s="8">
        <f t="shared" si="28"/>
        <v>2617573233</v>
      </c>
      <c r="DK14" s="8">
        <f t="shared" si="28"/>
        <v>2617573233</v>
      </c>
      <c r="DL14" s="8">
        <f t="shared" si="28"/>
        <v>2617573233</v>
      </c>
      <c r="DM14" s="8">
        <f t="shared" si="28"/>
        <v>2617573233</v>
      </c>
      <c r="DN14" s="8">
        <f t="shared" si="28"/>
        <v>2617573233</v>
      </c>
      <c r="DO14" s="8">
        <f t="shared" si="28"/>
        <v>2617573233</v>
      </c>
      <c r="DP14" s="8">
        <f t="shared" si="28"/>
        <v>2791307442</v>
      </c>
      <c r="DQ14" s="8">
        <f t="shared" si="28"/>
        <v>2791307442</v>
      </c>
      <c r="DR14" s="8">
        <f t="shared" si="28"/>
        <v>2791307442</v>
      </c>
      <c r="DS14" s="8">
        <f t="shared" si="28"/>
        <v>2791307442</v>
      </c>
      <c r="DT14" s="8">
        <f t="shared" si="28"/>
        <v>2791307442</v>
      </c>
      <c r="DU14" s="8">
        <f t="shared" si="28"/>
        <v>2791307442</v>
      </c>
      <c r="DV14" s="8">
        <f t="shared" si="28"/>
        <v>2791307442</v>
      </c>
      <c r="DW14" s="8">
        <f t="shared" si="28"/>
        <v>2791307442</v>
      </c>
      <c r="DX14" s="8">
        <f t="shared" si="28"/>
        <v>2791307442</v>
      </c>
      <c r="DY14" s="8">
        <f t="shared" si="28"/>
        <v>2791307442</v>
      </c>
      <c r="DZ14" s="8">
        <f t="shared" si="28"/>
        <v>2791307442</v>
      </c>
      <c r="EA14" s="8">
        <f t="shared" ref="EA14:FF14" si="29">SUM(EA8:EA13)</f>
        <v>2791307442</v>
      </c>
      <c r="EB14" s="8">
        <f t="shared" si="29"/>
        <v>2791307442</v>
      </c>
      <c r="EC14" s="8">
        <f t="shared" si="29"/>
        <v>2933512941</v>
      </c>
      <c r="ED14" s="8">
        <f t="shared" si="29"/>
        <v>2933512941</v>
      </c>
      <c r="EE14" s="8">
        <f t="shared" si="29"/>
        <v>2933512941</v>
      </c>
      <c r="EF14" s="8">
        <f t="shared" si="29"/>
        <v>2933512941</v>
      </c>
      <c r="EG14" s="8">
        <f t="shared" si="29"/>
        <v>2933512941</v>
      </c>
      <c r="EH14" s="8">
        <f t="shared" si="29"/>
        <v>2933512941</v>
      </c>
      <c r="EI14" s="8">
        <f t="shared" si="29"/>
        <v>2933512941</v>
      </c>
      <c r="EJ14" s="8">
        <f t="shared" si="29"/>
        <v>2933512941</v>
      </c>
      <c r="EK14" s="8">
        <f t="shared" si="29"/>
        <v>2933512941</v>
      </c>
      <c r="EL14" s="8">
        <f t="shared" si="29"/>
        <v>2933512941</v>
      </c>
      <c r="EM14" s="8">
        <f t="shared" si="29"/>
        <v>2933512941</v>
      </c>
      <c r="EN14" s="8">
        <f t="shared" si="29"/>
        <v>2933512941</v>
      </c>
      <c r="EO14" s="8">
        <f t="shared" si="29"/>
        <v>2933512941</v>
      </c>
      <c r="EP14" s="8">
        <f t="shared" si="29"/>
        <v>3045180505</v>
      </c>
      <c r="EQ14" s="8">
        <f t="shared" si="29"/>
        <v>3045180505</v>
      </c>
      <c r="ER14" s="8">
        <f t="shared" si="29"/>
        <v>3045180505</v>
      </c>
      <c r="ES14" s="8">
        <f t="shared" si="29"/>
        <v>3045180505</v>
      </c>
      <c r="ET14" s="8">
        <f t="shared" si="29"/>
        <v>3045180505</v>
      </c>
      <c r="EU14" s="8">
        <f t="shared" si="29"/>
        <v>3045180505</v>
      </c>
      <c r="EV14" s="8">
        <f t="shared" si="29"/>
        <v>3045180505</v>
      </c>
      <c r="EW14" s="8">
        <f t="shared" si="29"/>
        <v>3045180505</v>
      </c>
      <c r="EX14" s="8">
        <f t="shared" si="29"/>
        <v>3045180505</v>
      </c>
      <c r="EY14" s="8">
        <f t="shared" si="29"/>
        <v>3045180505</v>
      </c>
      <c r="EZ14" s="8">
        <f t="shared" si="29"/>
        <v>3045180505</v>
      </c>
      <c r="FA14" s="8">
        <f t="shared" si="29"/>
        <v>3045180505</v>
      </c>
      <c r="FB14" s="8">
        <f t="shared" si="29"/>
        <v>3045180505</v>
      </c>
      <c r="FC14" s="8">
        <f t="shared" si="29"/>
        <v>2705505486</v>
      </c>
      <c r="FD14" s="8">
        <f t="shared" si="29"/>
        <v>2705505486</v>
      </c>
      <c r="FE14" s="8">
        <f t="shared" si="29"/>
        <v>2705505486</v>
      </c>
      <c r="FF14" s="8">
        <f t="shared" si="29"/>
        <v>2705505486</v>
      </c>
      <c r="FG14" s="8">
        <f t="shared" ref="FG14:GL14" si="30">SUM(FG8:FG13)</f>
        <v>2705505486</v>
      </c>
      <c r="FH14" s="8">
        <f t="shared" si="30"/>
        <v>2705505486</v>
      </c>
      <c r="FI14" s="8">
        <f t="shared" si="30"/>
        <v>2705505486</v>
      </c>
      <c r="FJ14" s="8">
        <f t="shared" si="30"/>
        <v>0</v>
      </c>
      <c r="FK14" s="8">
        <f t="shared" si="30"/>
        <v>0</v>
      </c>
      <c r="FL14" s="8">
        <f t="shared" si="30"/>
        <v>0</v>
      </c>
      <c r="FM14" s="8">
        <f t="shared" si="30"/>
        <v>0</v>
      </c>
      <c r="FN14" s="8">
        <f t="shared" si="30"/>
        <v>0</v>
      </c>
      <c r="FO14" s="8">
        <f t="shared" si="30"/>
        <v>2705505486</v>
      </c>
    </row>
    <row r="15" spans="2:171" x14ac:dyDescent="0.3">
      <c r="B15" s="2" t="s">
        <v>105</v>
      </c>
    </row>
    <row r="17" spans="2:171" ht="16.05" customHeight="1" x14ac:dyDescent="0.3">
      <c r="B17" s="60" t="s">
        <v>106</v>
      </c>
      <c r="C17" s="57"/>
      <c r="D17" s="57"/>
      <c r="E17" s="57"/>
      <c r="F17" s="57"/>
      <c r="G17" s="57"/>
      <c r="H17" s="57"/>
      <c r="I17" s="57"/>
      <c r="J17" s="57"/>
      <c r="K17" s="57"/>
      <c r="L17" s="57"/>
      <c r="M17" s="57"/>
      <c r="N17" s="57"/>
      <c r="O17" s="57"/>
      <c r="P17" s="57"/>
      <c r="Q17" s="57"/>
      <c r="R17" s="57"/>
      <c r="S17" s="57"/>
      <c r="T17" s="57"/>
      <c r="U17" s="57"/>
      <c r="V17" s="57"/>
      <c r="W17" s="57"/>
      <c r="X17" s="57"/>
      <c r="Y17" s="57"/>
      <c r="Z17" s="57"/>
      <c r="AA17" s="57"/>
      <c r="AB17" s="57"/>
      <c r="AC17" s="57"/>
      <c r="AD17" s="57"/>
      <c r="AE17" s="57"/>
      <c r="AF17" s="57"/>
      <c r="AG17" s="57"/>
      <c r="AH17" s="57"/>
      <c r="AI17" s="57"/>
      <c r="AJ17" s="57"/>
      <c r="AK17" s="57"/>
      <c r="AL17" s="57"/>
      <c r="AM17" s="57"/>
      <c r="AN17" s="57"/>
      <c r="AO17" s="57"/>
      <c r="AP17" s="57"/>
      <c r="AQ17" s="57"/>
      <c r="AR17" s="57"/>
      <c r="AS17" s="57"/>
      <c r="AT17" s="57"/>
      <c r="AU17" s="57"/>
      <c r="AV17" s="57"/>
      <c r="AW17" s="57"/>
      <c r="AX17" s="57"/>
      <c r="AY17" s="57"/>
      <c r="AZ17" s="57"/>
      <c r="BA17" s="57"/>
      <c r="BB17" s="57"/>
      <c r="BC17" s="57"/>
      <c r="BD17" s="57"/>
      <c r="BE17" s="57"/>
      <c r="BF17" s="57"/>
      <c r="BG17" s="57"/>
      <c r="BH17" s="57"/>
      <c r="BI17" s="57"/>
      <c r="BJ17" s="57"/>
      <c r="BK17" s="57"/>
      <c r="BL17" s="57"/>
      <c r="BM17" s="57"/>
      <c r="BN17" s="57"/>
      <c r="BO17" s="57"/>
      <c r="BP17" s="57"/>
      <c r="BQ17" s="57"/>
      <c r="BR17" s="57"/>
      <c r="BS17" s="57"/>
      <c r="BT17" s="57"/>
      <c r="BU17" s="57"/>
      <c r="BV17" s="57"/>
      <c r="BW17" s="57"/>
      <c r="BX17" s="57"/>
      <c r="BY17" s="57"/>
      <c r="BZ17" s="57"/>
      <c r="CA17" s="57"/>
      <c r="CB17" s="57"/>
      <c r="CC17" s="57"/>
      <c r="CD17" s="57"/>
      <c r="CE17" s="57"/>
      <c r="CF17" s="57"/>
      <c r="CG17" s="57"/>
      <c r="CH17" s="57"/>
      <c r="CI17" s="57"/>
      <c r="CJ17" s="57"/>
      <c r="CK17" s="57"/>
      <c r="CL17" s="57"/>
      <c r="CM17" s="57"/>
      <c r="CN17" s="57"/>
      <c r="CO17" s="57"/>
      <c r="CP17" s="57"/>
      <c r="CQ17" s="57"/>
      <c r="CR17" s="57"/>
      <c r="CS17" s="57"/>
      <c r="CT17" s="57"/>
      <c r="CU17" s="57"/>
      <c r="CV17" s="57"/>
      <c r="CW17" s="57"/>
      <c r="CX17" s="57"/>
      <c r="CY17" s="57"/>
      <c r="CZ17" s="57"/>
      <c r="DA17" s="57"/>
      <c r="DB17" s="57"/>
      <c r="DC17" s="57"/>
      <c r="DD17" s="57"/>
      <c r="DE17" s="57"/>
      <c r="DF17" s="57"/>
      <c r="DG17" s="57"/>
      <c r="DH17" s="57"/>
      <c r="DI17" s="57"/>
      <c r="DJ17" s="57"/>
      <c r="DK17" s="57"/>
      <c r="DL17" s="57"/>
      <c r="DM17" s="57"/>
      <c r="DN17" s="57"/>
      <c r="DO17" s="57"/>
      <c r="DP17" s="57"/>
      <c r="DQ17" s="57"/>
      <c r="DR17" s="57"/>
      <c r="DS17" s="57"/>
      <c r="DT17" s="57"/>
      <c r="DU17" s="57"/>
      <c r="DV17" s="57"/>
      <c r="DW17" s="57"/>
      <c r="DX17" s="57"/>
      <c r="DY17" s="57"/>
      <c r="DZ17" s="57"/>
      <c r="EA17" s="57"/>
      <c r="EB17" s="57"/>
      <c r="EC17" s="57"/>
      <c r="ED17" s="57"/>
      <c r="EE17" s="57"/>
      <c r="EF17" s="57"/>
      <c r="EG17" s="57"/>
      <c r="EH17" s="57"/>
      <c r="EI17" s="57"/>
      <c r="EJ17" s="57"/>
      <c r="EK17" s="57"/>
      <c r="EL17" s="57"/>
      <c r="EM17" s="57"/>
      <c r="EN17" s="57"/>
      <c r="EO17" s="57"/>
      <c r="EP17" s="57"/>
      <c r="EQ17" s="57"/>
      <c r="ER17" s="57"/>
      <c r="ES17" s="57"/>
      <c r="ET17" s="57"/>
      <c r="EU17" s="57"/>
      <c r="EV17" s="57"/>
      <c r="EW17" s="57"/>
      <c r="EX17" s="57"/>
      <c r="EY17" s="57"/>
      <c r="EZ17" s="57"/>
      <c r="FA17" s="57"/>
      <c r="FB17" s="57"/>
      <c r="FC17" s="57"/>
      <c r="FD17" s="57"/>
      <c r="FE17" s="57"/>
      <c r="FF17" s="57"/>
      <c r="FG17" s="57"/>
      <c r="FH17" s="57"/>
      <c r="FI17" s="57"/>
      <c r="FJ17" s="57"/>
      <c r="FK17" s="57"/>
      <c r="FL17" s="57"/>
      <c r="FM17" s="57"/>
      <c r="FN17" s="57"/>
      <c r="FO17" s="57"/>
    </row>
    <row r="18" spans="2:171" ht="22.05" customHeight="1" x14ac:dyDescent="0.3">
      <c r="B18" s="3"/>
      <c r="C18" s="58" t="s">
        <v>77</v>
      </c>
      <c r="D18" s="59"/>
      <c r="E18" s="59"/>
      <c r="F18" s="59"/>
      <c r="G18" s="59"/>
      <c r="H18" s="59"/>
      <c r="I18" s="59"/>
      <c r="J18" s="59"/>
      <c r="K18" s="59"/>
      <c r="L18" s="59"/>
      <c r="M18" s="59"/>
      <c r="N18" s="59"/>
      <c r="O18" s="59"/>
      <c r="P18" s="58" t="s">
        <v>78</v>
      </c>
      <c r="Q18" s="59"/>
      <c r="R18" s="59"/>
      <c r="S18" s="59"/>
      <c r="T18" s="59"/>
      <c r="U18" s="59"/>
      <c r="V18" s="59"/>
      <c r="W18" s="59"/>
      <c r="X18" s="59"/>
      <c r="Y18" s="59"/>
      <c r="Z18" s="59"/>
      <c r="AA18" s="59"/>
      <c r="AB18" s="59"/>
      <c r="AC18" s="58" t="s">
        <v>79</v>
      </c>
      <c r="AD18" s="59"/>
      <c r="AE18" s="59"/>
      <c r="AF18" s="59"/>
      <c r="AG18" s="59"/>
      <c r="AH18" s="59"/>
      <c r="AI18" s="59"/>
      <c r="AJ18" s="59"/>
      <c r="AK18" s="59"/>
      <c r="AL18" s="59"/>
      <c r="AM18" s="59"/>
      <c r="AN18" s="59"/>
      <c r="AO18" s="59"/>
      <c r="AP18" s="58" t="s">
        <v>80</v>
      </c>
      <c r="AQ18" s="59"/>
      <c r="AR18" s="59"/>
      <c r="AS18" s="59"/>
      <c r="AT18" s="59"/>
      <c r="AU18" s="59"/>
      <c r="AV18" s="59"/>
      <c r="AW18" s="59"/>
      <c r="AX18" s="59"/>
      <c r="AY18" s="59"/>
      <c r="AZ18" s="59"/>
      <c r="BA18" s="59"/>
      <c r="BB18" s="59"/>
      <c r="BC18" s="58" t="s">
        <v>81</v>
      </c>
      <c r="BD18" s="59"/>
      <c r="BE18" s="59"/>
      <c r="BF18" s="59"/>
      <c r="BG18" s="59"/>
      <c r="BH18" s="59"/>
      <c r="BI18" s="59"/>
      <c r="BJ18" s="59"/>
      <c r="BK18" s="59"/>
      <c r="BL18" s="59"/>
      <c r="BM18" s="59"/>
      <c r="BN18" s="59"/>
      <c r="BO18" s="59"/>
      <c r="BP18" s="58" t="s">
        <v>82</v>
      </c>
      <c r="BQ18" s="59"/>
      <c r="BR18" s="59"/>
      <c r="BS18" s="59"/>
      <c r="BT18" s="59"/>
      <c r="BU18" s="59"/>
      <c r="BV18" s="59"/>
      <c r="BW18" s="59"/>
      <c r="BX18" s="59"/>
      <c r="BY18" s="59"/>
      <c r="BZ18" s="59"/>
      <c r="CA18" s="59"/>
      <c r="CB18" s="59"/>
      <c r="CC18" s="58" t="s">
        <v>83</v>
      </c>
      <c r="CD18" s="59"/>
      <c r="CE18" s="59"/>
      <c r="CF18" s="59"/>
      <c r="CG18" s="59"/>
      <c r="CH18" s="59"/>
      <c r="CI18" s="59"/>
      <c r="CJ18" s="59"/>
      <c r="CK18" s="59"/>
      <c r="CL18" s="59"/>
      <c r="CM18" s="59"/>
      <c r="CN18" s="59"/>
      <c r="CO18" s="59"/>
      <c r="CP18" s="58" t="s">
        <v>84</v>
      </c>
      <c r="CQ18" s="59"/>
      <c r="CR18" s="59"/>
      <c r="CS18" s="59"/>
      <c r="CT18" s="59"/>
      <c r="CU18" s="59"/>
      <c r="CV18" s="59"/>
      <c r="CW18" s="59"/>
      <c r="CX18" s="59"/>
      <c r="CY18" s="59"/>
      <c r="CZ18" s="59"/>
      <c r="DA18" s="59"/>
      <c r="DB18" s="59"/>
      <c r="DC18" s="58" t="s">
        <v>85</v>
      </c>
      <c r="DD18" s="59"/>
      <c r="DE18" s="59"/>
      <c r="DF18" s="59"/>
      <c r="DG18" s="59"/>
      <c r="DH18" s="59"/>
      <c r="DI18" s="59"/>
      <c r="DJ18" s="59"/>
      <c r="DK18" s="59"/>
      <c r="DL18" s="59"/>
      <c r="DM18" s="59"/>
      <c r="DN18" s="59"/>
      <c r="DO18" s="59"/>
      <c r="DP18" s="58" t="s">
        <v>86</v>
      </c>
      <c r="DQ18" s="59"/>
      <c r="DR18" s="59"/>
      <c r="DS18" s="59"/>
      <c r="DT18" s="59"/>
      <c r="DU18" s="59"/>
      <c r="DV18" s="59"/>
      <c r="DW18" s="59"/>
      <c r="DX18" s="59"/>
      <c r="DY18" s="59"/>
      <c r="DZ18" s="59"/>
      <c r="EA18" s="59"/>
      <c r="EB18" s="59"/>
      <c r="EC18" s="58" t="s">
        <v>87</v>
      </c>
      <c r="ED18" s="59"/>
      <c r="EE18" s="59"/>
      <c r="EF18" s="59"/>
      <c r="EG18" s="59"/>
      <c r="EH18" s="59"/>
      <c r="EI18" s="59"/>
      <c r="EJ18" s="59"/>
      <c r="EK18" s="59"/>
      <c r="EL18" s="59"/>
      <c r="EM18" s="59"/>
      <c r="EN18" s="59"/>
      <c r="EO18" s="59"/>
      <c r="EP18" s="58" t="s">
        <v>88</v>
      </c>
      <c r="EQ18" s="59"/>
      <c r="ER18" s="59"/>
      <c r="ES18" s="59"/>
      <c r="ET18" s="59"/>
      <c r="EU18" s="59"/>
      <c r="EV18" s="59"/>
      <c r="EW18" s="59"/>
      <c r="EX18" s="59"/>
      <c r="EY18" s="59"/>
      <c r="EZ18" s="59"/>
      <c r="FA18" s="59"/>
      <c r="FB18" s="59"/>
      <c r="FC18" s="58" t="s">
        <v>89</v>
      </c>
      <c r="FD18" s="59"/>
      <c r="FE18" s="59"/>
      <c r="FF18" s="59"/>
      <c r="FG18" s="59"/>
      <c r="FH18" s="59"/>
      <c r="FI18" s="59"/>
      <c r="FJ18" s="59"/>
      <c r="FK18" s="59"/>
      <c r="FL18" s="59"/>
      <c r="FM18" s="59"/>
      <c r="FN18" s="59"/>
      <c r="FO18" s="59"/>
    </row>
    <row r="19" spans="2:171" ht="28.05" customHeight="1" x14ac:dyDescent="0.3">
      <c r="B19" s="4" t="s">
        <v>90</v>
      </c>
      <c r="C19" s="5" t="s">
        <v>55</v>
      </c>
      <c r="D19" s="5" t="s">
        <v>56</v>
      </c>
      <c r="E19" s="5" t="s">
        <v>57</v>
      </c>
      <c r="F19" s="5" t="s">
        <v>58</v>
      </c>
      <c r="G19" s="5" t="s">
        <v>59</v>
      </c>
      <c r="H19" s="5" t="s">
        <v>60</v>
      </c>
      <c r="I19" s="5" t="s">
        <v>61</v>
      </c>
      <c r="J19" s="5" t="s">
        <v>62</v>
      </c>
      <c r="K19" s="5" t="s">
        <v>63</v>
      </c>
      <c r="L19" s="5" t="s">
        <v>64</v>
      </c>
      <c r="M19" s="5" t="s">
        <v>65</v>
      </c>
      <c r="N19" s="5" t="s">
        <v>66</v>
      </c>
      <c r="O19" s="5" t="s">
        <v>91</v>
      </c>
      <c r="P19" s="5" t="s">
        <v>55</v>
      </c>
      <c r="Q19" s="5" t="s">
        <v>56</v>
      </c>
      <c r="R19" s="5" t="s">
        <v>57</v>
      </c>
      <c r="S19" s="5" t="s">
        <v>58</v>
      </c>
      <c r="T19" s="5" t="s">
        <v>59</v>
      </c>
      <c r="U19" s="5" t="s">
        <v>60</v>
      </c>
      <c r="V19" s="5" t="s">
        <v>61</v>
      </c>
      <c r="W19" s="5" t="s">
        <v>62</v>
      </c>
      <c r="X19" s="5" t="s">
        <v>63</v>
      </c>
      <c r="Y19" s="5" t="s">
        <v>64</v>
      </c>
      <c r="Z19" s="5" t="s">
        <v>65</v>
      </c>
      <c r="AA19" s="5" t="s">
        <v>66</v>
      </c>
      <c r="AB19" s="5" t="s">
        <v>92</v>
      </c>
      <c r="AC19" s="5" t="s">
        <v>55</v>
      </c>
      <c r="AD19" s="5" t="s">
        <v>56</v>
      </c>
      <c r="AE19" s="5" t="s">
        <v>57</v>
      </c>
      <c r="AF19" s="5" t="s">
        <v>58</v>
      </c>
      <c r="AG19" s="5" t="s">
        <v>59</v>
      </c>
      <c r="AH19" s="5" t="s">
        <v>60</v>
      </c>
      <c r="AI19" s="5" t="s">
        <v>61</v>
      </c>
      <c r="AJ19" s="5" t="s">
        <v>62</v>
      </c>
      <c r="AK19" s="5" t="s">
        <v>63</v>
      </c>
      <c r="AL19" s="5" t="s">
        <v>64</v>
      </c>
      <c r="AM19" s="5" t="s">
        <v>65</v>
      </c>
      <c r="AN19" s="5" t="s">
        <v>66</v>
      </c>
      <c r="AO19" s="5" t="s">
        <v>93</v>
      </c>
      <c r="AP19" s="5" t="s">
        <v>55</v>
      </c>
      <c r="AQ19" s="5" t="s">
        <v>56</v>
      </c>
      <c r="AR19" s="5" t="s">
        <v>57</v>
      </c>
      <c r="AS19" s="5" t="s">
        <v>58</v>
      </c>
      <c r="AT19" s="5" t="s">
        <v>59</v>
      </c>
      <c r="AU19" s="5" t="s">
        <v>60</v>
      </c>
      <c r="AV19" s="5" t="s">
        <v>61</v>
      </c>
      <c r="AW19" s="5" t="s">
        <v>62</v>
      </c>
      <c r="AX19" s="5" t="s">
        <v>63</v>
      </c>
      <c r="AY19" s="5" t="s">
        <v>64</v>
      </c>
      <c r="AZ19" s="5" t="s">
        <v>65</v>
      </c>
      <c r="BA19" s="5" t="s">
        <v>66</v>
      </c>
      <c r="BB19" s="5" t="s">
        <v>94</v>
      </c>
      <c r="BC19" s="5" t="s">
        <v>55</v>
      </c>
      <c r="BD19" s="5" t="s">
        <v>56</v>
      </c>
      <c r="BE19" s="5" t="s">
        <v>57</v>
      </c>
      <c r="BF19" s="5" t="s">
        <v>58</v>
      </c>
      <c r="BG19" s="5" t="s">
        <v>59</v>
      </c>
      <c r="BH19" s="5" t="s">
        <v>60</v>
      </c>
      <c r="BI19" s="5" t="s">
        <v>61</v>
      </c>
      <c r="BJ19" s="5" t="s">
        <v>62</v>
      </c>
      <c r="BK19" s="5" t="s">
        <v>63</v>
      </c>
      <c r="BL19" s="5" t="s">
        <v>64</v>
      </c>
      <c r="BM19" s="5" t="s">
        <v>65</v>
      </c>
      <c r="BN19" s="5" t="s">
        <v>66</v>
      </c>
      <c r="BO19" s="5" t="s">
        <v>95</v>
      </c>
      <c r="BP19" s="5" t="s">
        <v>55</v>
      </c>
      <c r="BQ19" s="5" t="s">
        <v>56</v>
      </c>
      <c r="BR19" s="5" t="s">
        <v>57</v>
      </c>
      <c r="BS19" s="5" t="s">
        <v>58</v>
      </c>
      <c r="BT19" s="5" t="s">
        <v>59</v>
      </c>
      <c r="BU19" s="5" t="s">
        <v>60</v>
      </c>
      <c r="BV19" s="5" t="s">
        <v>61</v>
      </c>
      <c r="BW19" s="5" t="s">
        <v>62</v>
      </c>
      <c r="BX19" s="5" t="s">
        <v>63</v>
      </c>
      <c r="BY19" s="5" t="s">
        <v>64</v>
      </c>
      <c r="BZ19" s="5" t="s">
        <v>65</v>
      </c>
      <c r="CA19" s="5" t="s">
        <v>66</v>
      </c>
      <c r="CB19" s="5" t="s">
        <v>96</v>
      </c>
      <c r="CC19" s="5" t="s">
        <v>55</v>
      </c>
      <c r="CD19" s="5" t="s">
        <v>56</v>
      </c>
      <c r="CE19" s="5" t="s">
        <v>57</v>
      </c>
      <c r="CF19" s="5" t="s">
        <v>58</v>
      </c>
      <c r="CG19" s="5" t="s">
        <v>59</v>
      </c>
      <c r="CH19" s="5" t="s">
        <v>60</v>
      </c>
      <c r="CI19" s="5" t="s">
        <v>61</v>
      </c>
      <c r="CJ19" s="5" t="s">
        <v>62</v>
      </c>
      <c r="CK19" s="5" t="s">
        <v>63</v>
      </c>
      <c r="CL19" s="5" t="s">
        <v>64</v>
      </c>
      <c r="CM19" s="5" t="s">
        <v>65</v>
      </c>
      <c r="CN19" s="5" t="s">
        <v>66</v>
      </c>
      <c r="CO19" s="5" t="s">
        <v>97</v>
      </c>
      <c r="CP19" s="5" t="s">
        <v>55</v>
      </c>
      <c r="CQ19" s="5" t="s">
        <v>56</v>
      </c>
      <c r="CR19" s="5" t="s">
        <v>57</v>
      </c>
      <c r="CS19" s="5" t="s">
        <v>58</v>
      </c>
      <c r="CT19" s="5" t="s">
        <v>59</v>
      </c>
      <c r="CU19" s="5" t="s">
        <v>60</v>
      </c>
      <c r="CV19" s="5" t="s">
        <v>61</v>
      </c>
      <c r="CW19" s="5" t="s">
        <v>62</v>
      </c>
      <c r="CX19" s="5" t="s">
        <v>63</v>
      </c>
      <c r="CY19" s="5" t="s">
        <v>64</v>
      </c>
      <c r="CZ19" s="5" t="s">
        <v>65</v>
      </c>
      <c r="DA19" s="5" t="s">
        <v>66</v>
      </c>
      <c r="DB19" s="5" t="s">
        <v>98</v>
      </c>
      <c r="DC19" s="5" t="s">
        <v>55</v>
      </c>
      <c r="DD19" s="5" t="s">
        <v>56</v>
      </c>
      <c r="DE19" s="5" t="s">
        <v>57</v>
      </c>
      <c r="DF19" s="5" t="s">
        <v>58</v>
      </c>
      <c r="DG19" s="5" t="s">
        <v>59</v>
      </c>
      <c r="DH19" s="5" t="s">
        <v>60</v>
      </c>
      <c r="DI19" s="5" t="s">
        <v>61</v>
      </c>
      <c r="DJ19" s="5" t="s">
        <v>62</v>
      </c>
      <c r="DK19" s="5" t="s">
        <v>63</v>
      </c>
      <c r="DL19" s="5" t="s">
        <v>64</v>
      </c>
      <c r="DM19" s="5" t="s">
        <v>65</v>
      </c>
      <c r="DN19" s="5" t="s">
        <v>66</v>
      </c>
      <c r="DO19" s="5" t="s">
        <v>99</v>
      </c>
      <c r="DP19" s="5" t="s">
        <v>55</v>
      </c>
      <c r="DQ19" s="5" t="s">
        <v>56</v>
      </c>
      <c r="DR19" s="5" t="s">
        <v>57</v>
      </c>
      <c r="DS19" s="5" t="s">
        <v>58</v>
      </c>
      <c r="DT19" s="5" t="s">
        <v>59</v>
      </c>
      <c r="DU19" s="5" t="s">
        <v>60</v>
      </c>
      <c r="DV19" s="5" t="s">
        <v>61</v>
      </c>
      <c r="DW19" s="5" t="s">
        <v>62</v>
      </c>
      <c r="DX19" s="5" t="s">
        <v>63</v>
      </c>
      <c r="DY19" s="5" t="s">
        <v>64</v>
      </c>
      <c r="DZ19" s="5" t="s">
        <v>65</v>
      </c>
      <c r="EA19" s="5" t="s">
        <v>66</v>
      </c>
      <c r="EB19" s="5" t="s">
        <v>100</v>
      </c>
      <c r="EC19" s="5" t="s">
        <v>55</v>
      </c>
      <c r="ED19" s="5" t="s">
        <v>56</v>
      </c>
      <c r="EE19" s="5" t="s">
        <v>57</v>
      </c>
      <c r="EF19" s="5" t="s">
        <v>58</v>
      </c>
      <c r="EG19" s="5" t="s">
        <v>59</v>
      </c>
      <c r="EH19" s="5" t="s">
        <v>60</v>
      </c>
      <c r="EI19" s="5" t="s">
        <v>61</v>
      </c>
      <c r="EJ19" s="5" t="s">
        <v>62</v>
      </c>
      <c r="EK19" s="5" t="s">
        <v>63</v>
      </c>
      <c r="EL19" s="5" t="s">
        <v>64</v>
      </c>
      <c r="EM19" s="5" t="s">
        <v>65</v>
      </c>
      <c r="EN19" s="5" t="s">
        <v>66</v>
      </c>
      <c r="EO19" s="5" t="s">
        <v>101</v>
      </c>
      <c r="EP19" s="5" t="s">
        <v>55</v>
      </c>
      <c r="EQ19" s="5" t="s">
        <v>56</v>
      </c>
      <c r="ER19" s="5" t="s">
        <v>57</v>
      </c>
      <c r="ES19" s="5" t="s">
        <v>58</v>
      </c>
      <c r="ET19" s="5" t="s">
        <v>59</v>
      </c>
      <c r="EU19" s="5" t="s">
        <v>60</v>
      </c>
      <c r="EV19" s="5" t="s">
        <v>61</v>
      </c>
      <c r="EW19" s="5" t="s">
        <v>62</v>
      </c>
      <c r="EX19" s="5" t="s">
        <v>63</v>
      </c>
      <c r="EY19" s="5" t="s">
        <v>64</v>
      </c>
      <c r="EZ19" s="5" t="s">
        <v>65</v>
      </c>
      <c r="FA19" s="5" t="s">
        <v>66</v>
      </c>
      <c r="FB19" s="5" t="s">
        <v>102</v>
      </c>
      <c r="FC19" s="5" t="s">
        <v>55</v>
      </c>
      <c r="FD19" s="5" t="s">
        <v>56</v>
      </c>
      <c r="FE19" s="5" t="s">
        <v>57</v>
      </c>
      <c r="FF19" s="5" t="s">
        <v>58</v>
      </c>
      <c r="FG19" s="5" t="s">
        <v>59</v>
      </c>
      <c r="FH19" s="5" t="s">
        <v>60</v>
      </c>
      <c r="FI19" s="5" t="s">
        <v>61</v>
      </c>
      <c r="FJ19" s="5" t="s">
        <v>62</v>
      </c>
      <c r="FK19" s="5" t="s">
        <v>63</v>
      </c>
      <c r="FL19" s="5" t="s">
        <v>64</v>
      </c>
      <c r="FM19" s="5" t="s">
        <v>65</v>
      </c>
      <c r="FN19" s="5" t="s">
        <v>66</v>
      </c>
      <c r="FO19" s="5" t="s">
        <v>103</v>
      </c>
    </row>
    <row r="20" spans="2:171" ht="28.05" customHeight="1" x14ac:dyDescent="0.3">
      <c r="B20" s="6" t="s">
        <v>46</v>
      </c>
      <c r="C20" s="7">
        <v>806907228</v>
      </c>
      <c r="D20" s="7">
        <v>806907228</v>
      </c>
      <c r="E20" s="7">
        <v>797207228</v>
      </c>
      <c r="F20" s="7">
        <v>797207228</v>
      </c>
      <c r="G20" s="7">
        <v>799193228</v>
      </c>
      <c r="H20" s="7">
        <v>801043262</v>
      </c>
      <c r="I20" s="7">
        <v>797883262</v>
      </c>
      <c r="J20" s="7">
        <v>817043262</v>
      </c>
      <c r="K20" s="7">
        <v>818043262</v>
      </c>
      <c r="L20" s="7">
        <v>842704970</v>
      </c>
      <c r="M20" s="7">
        <v>843143806</v>
      </c>
      <c r="N20" s="7">
        <v>853032416</v>
      </c>
      <c r="O20" s="7">
        <f t="shared" ref="O20:O25" si="31">N20</f>
        <v>853032416</v>
      </c>
      <c r="P20" s="7">
        <v>957407656</v>
      </c>
      <c r="Q20" s="7">
        <v>958801347</v>
      </c>
      <c r="R20" s="7">
        <v>952446725</v>
      </c>
      <c r="S20" s="7">
        <v>944486725</v>
      </c>
      <c r="T20" s="7">
        <v>948962726</v>
      </c>
      <c r="U20" s="7">
        <v>949105726</v>
      </c>
      <c r="V20" s="7">
        <v>949005726</v>
      </c>
      <c r="W20" s="7">
        <v>949071698</v>
      </c>
      <c r="X20" s="7">
        <v>949071698</v>
      </c>
      <c r="Y20" s="7">
        <v>949071698</v>
      </c>
      <c r="Z20" s="7">
        <v>978416698</v>
      </c>
      <c r="AA20" s="7">
        <v>978378698</v>
      </c>
      <c r="AB20" s="7">
        <f t="shared" ref="AB20:AB25" si="32">AA20</f>
        <v>978378698</v>
      </c>
      <c r="AC20" s="7">
        <v>937156766</v>
      </c>
      <c r="AD20" s="7">
        <v>930976766</v>
      </c>
      <c r="AE20" s="7">
        <v>939666557</v>
      </c>
      <c r="AF20" s="7">
        <v>937705385</v>
      </c>
      <c r="AG20" s="7">
        <v>937705385</v>
      </c>
      <c r="AH20" s="7">
        <v>937166385</v>
      </c>
      <c r="AI20" s="7">
        <v>937166385</v>
      </c>
      <c r="AJ20" s="7">
        <v>937166385</v>
      </c>
      <c r="AK20" s="7">
        <v>937166385</v>
      </c>
      <c r="AL20" s="7">
        <v>937166385</v>
      </c>
      <c r="AM20" s="7">
        <v>937073385</v>
      </c>
      <c r="AN20" s="7">
        <v>940884842</v>
      </c>
      <c r="AO20" s="7">
        <f t="shared" ref="AO20:AO25" si="33">AN20</f>
        <v>940884842</v>
      </c>
      <c r="AP20" s="7">
        <v>982538421</v>
      </c>
      <c r="AQ20" s="7">
        <v>982538421</v>
      </c>
      <c r="AR20" s="7">
        <v>982260421</v>
      </c>
      <c r="AS20" s="7">
        <v>982260421</v>
      </c>
      <c r="AT20" s="7">
        <v>982060421</v>
      </c>
      <c r="AU20" s="7">
        <v>963745421</v>
      </c>
      <c r="AV20" s="7">
        <v>963304221</v>
      </c>
      <c r="AW20" s="7">
        <v>951169721</v>
      </c>
      <c r="AX20" s="7">
        <v>951169721</v>
      </c>
      <c r="AY20" s="7">
        <v>934145882</v>
      </c>
      <c r="AZ20" s="7">
        <v>931388882</v>
      </c>
      <c r="BA20" s="7">
        <v>909483945</v>
      </c>
      <c r="BB20" s="7">
        <f t="shared" ref="BB20:BB25" si="34">BA20</f>
        <v>909483945</v>
      </c>
      <c r="BC20" s="7">
        <v>998447263</v>
      </c>
      <c r="BD20" s="7">
        <v>998447263</v>
      </c>
      <c r="BE20" s="7">
        <v>992502179</v>
      </c>
      <c r="BF20" s="7">
        <v>997730439</v>
      </c>
      <c r="BG20" s="7">
        <v>997415248</v>
      </c>
      <c r="BH20" s="7">
        <v>989715248</v>
      </c>
      <c r="BI20" s="7">
        <v>987815248</v>
      </c>
      <c r="BJ20" s="7">
        <v>987280248</v>
      </c>
      <c r="BK20" s="7">
        <v>987280248</v>
      </c>
      <c r="BL20" s="7">
        <v>987265248</v>
      </c>
      <c r="BM20" s="7">
        <v>986833548</v>
      </c>
      <c r="BN20" s="7">
        <v>903724337</v>
      </c>
      <c r="BO20" s="7">
        <f t="shared" ref="BO20:BO25" si="35">BN20</f>
        <v>903724337</v>
      </c>
      <c r="BP20" s="7">
        <v>1056398949</v>
      </c>
      <c r="BQ20" s="7">
        <v>1056398949</v>
      </c>
      <c r="BR20" s="7">
        <v>1056398949</v>
      </c>
      <c r="BS20" s="7">
        <v>1061857019</v>
      </c>
      <c r="BT20" s="7">
        <v>1066368519</v>
      </c>
      <c r="BU20" s="7">
        <v>1061536519</v>
      </c>
      <c r="BV20" s="7">
        <v>1061502269</v>
      </c>
      <c r="BW20" s="7">
        <v>1074213648</v>
      </c>
      <c r="BX20" s="7">
        <v>1085679831</v>
      </c>
      <c r="BY20" s="7">
        <v>1085679831</v>
      </c>
      <c r="BZ20" s="7">
        <v>1085679831</v>
      </c>
      <c r="CA20" s="7">
        <v>1085267877</v>
      </c>
      <c r="CB20" s="7">
        <f t="shared" ref="CB20:CB25" si="36">CA20</f>
        <v>1085267877</v>
      </c>
      <c r="CC20" s="7">
        <v>1148358839</v>
      </c>
      <c r="CD20" s="7">
        <v>1151054581</v>
      </c>
      <c r="CE20" s="7">
        <v>1248782581</v>
      </c>
      <c r="CF20" s="7">
        <v>1248782581</v>
      </c>
      <c r="CG20" s="7">
        <v>1216917979</v>
      </c>
      <c r="CH20" s="7">
        <v>1216917979</v>
      </c>
      <c r="CI20" s="7">
        <v>1216383979</v>
      </c>
      <c r="CJ20" s="7">
        <v>1216383979</v>
      </c>
      <c r="CK20" s="7">
        <v>1216383979</v>
      </c>
      <c r="CL20" s="7">
        <v>1197726086</v>
      </c>
      <c r="CM20" s="7">
        <v>1197588086</v>
      </c>
      <c r="CN20" s="7">
        <v>961564167</v>
      </c>
      <c r="CO20" s="7">
        <f t="shared" ref="CO20:CO25" si="37">CN20</f>
        <v>961564167</v>
      </c>
      <c r="CP20" s="7">
        <v>1224421462</v>
      </c>
      <c r="CQ20" s="7">
        <v>1224421462</v>
      </c>
      <c r="CR20" s="7">
        <v>1139453884</v>
      </c>
      <c r="CS20" s="7">
        <v>1067186833</v>
      </c>
      <c r="CT20" s="7">
        <v>1048239333</v>
      </c>
      <c r="CU20" s="7">
        <v>1048217333</v>
      </c>
      <c r="CV20" s="7">
        <v>1048217333</v>
      </c>
      <c r="CW20" s="7">
        <v>1048116163</v>
      </c>
      <c r="CX20" s="7">
        <v>1048116163</v>
      </c>
      <c r="CY20" s="7">
        <v>1035718353</v>
      </c>
      <c r="CZ20" s="7">
        <v>1035625353</v>
      </c>
      <c r="DA20" s="7">
        <f>991797481+130932798</f>
        <v>1122730279</v>
      </c>
      <c r="DB20" s="7">
        <f t="shared" ref="DB20:DB25" si="38">DA20</f>
        <v>1122730279</v>
      </c>
      <c r="DC20" s="7">
        <v>1220635546</v>
      </c>
      <c r="DD20" s="7">
        <v>1220635546</v>
      </c>
      <c r="DE20" s="7">
        <v>1220279119</v>
      </c>
      <c r="DF20" s="7">
        <v>1220279119</v>
      </c>
      <c r="DG20" s="7">
        <v>1218682119</v>
      </c>
      <c r="DH20" s="7">
        <v>1218249119</v>
      </c>
      <c r="DI20" s="7">
        <v>1092879968</v>
      </c>
      <c r="DJ20" s="7">
        <v>1092879968</v>
      </c>
      <c r="DK20" s="7">
        <v>1082339533</v>
      </c>
      <c r="DL20" s="7">
        <v>1082339533</v>
      </c>
      <c r="DM20" s="7">
        <v>1081913803</v>
      </c>
      <c r="DN20" s="7">
        <v>967670999</v>
      </c>
      <c r="DO20" s="7">
        <f t="shared" ref="DO20:DO25" si="39">DN20</f>
        <v>967670999</v>
      </c>
      <c r="DP20" s="7">
        <v>1913855137</v>
      </c>
      <c r="DQ20" s="7">
        <v>1913855137</v>
      </c>
      <c r="DR20" s="7">
        <v>1913855137</v>
      </c>
      <c r="DS20" s="7">
        <v>1893896951</v>
      </c>
      <c r="DT20" s="7">
        <v>1850161211</v>
      </c>
      <c r="DU20" s="7">
        <v>1774161211</v>
      </c>
      <c r="DV20" s="7">
        <v>1774161211</v>
      </c>
      <c r="DW20" s="7">
        <v>1623406641</v>
      </c>
      <c r="DX20" s="7">
        <v>1620225968</v>
      </c>
      <c r="DY20" s="7">
        <v>1542961468</v>
      </c>
      <c r="DZ20" s="7">
        <v>1542961468</v>
      </c>
      <c r="EA20" s="7">
        <v>1427470479</v>
      </c>
      <c r="EB20" s="7">
        <f t="shared" ref="EB20:EB25" si="40">EA20</f>
        <v>1427470479</v>
      </c>
      <c r="EC20" s="7">
        <v>2012684680</v>
      </c>
      <c r="ED20" s="7">
        <v>2012684680</v>
      </c>
      <c r="EE20" s="7">
        <v>1959842560</v>
      </c>
      <c r="EF20" s="7">
        <v>1959842560</v>
      </c>
      <c r="EG20" s="7">
        <v>1959505267</v>
      </c>
      <c r="EH20" s="7">
        <v>1939427267</v>
      </c>
      <c r="EI20" s="7">
        <v>1939427267</v>
      </c>
      <c r="EJ20" s="7">
        <v>1938757501</v>
      </c>
      <c r="EK20" s="7">
        <v>1937457501</v>
      </c>
      <c r="EL20" s="7">
        <v>1929646738</v>
      </c>
      <c r="EM20" s="7">
        <v>1891922336</v>
      </c>
      <c r="EN20" s="7">
        <v>1608652526</v>
      </c>
      <c r="EO20" s="7">
        <f t="shared" ref="EO20:EO25" si="41">EN20</f>
        <v>1608652526</v>
      </c>
      <c r="EP20" s="7">
        <v>2083103023</v>
      </c>
      <c r="EQ20" s="7">
        <v>2083103023</v>
      </c>
      <c r="ER20" s="7">
        <v>2068572694</v>
      </c>
      <c r="ES20" s="7">
        <v>2068438694</v>
      </c>
      <c r="ET20" s="7">
        <v>2067139640</v>
      </c>
      <c r="EU20" s="7">
        <v>1962984489</v>
      </c>
      <c r="EV20" s="7">
        <v>1968056577</v>
      </c>
      <c r="EW20" s="7">
        <v>1968056577</v>
      </c>
      <c r="EX20" s="7">
        <v>1968056577</v>
      </c>
      <c r="EY20" s="7">
        <v>1968056577</v>
      </c>
      <c r="EZ20" s="7">
        <v>1968056577</v>
      </c>
      <c r="FA20" s="7">
        <v>1976677470</v>
      </c>
      <c r="FB20" s="7">
        <f t="shared" ref="FB20:FB25" si="42">FA20</f>
        <v>1976677470</v>
      </c>
      <c r="FC20" s="7">
        <v>1951485600</v>
      </c>
      <c r="FD20" s="7">
        <v>1951485600</v>
      </c>
      <c r="FE20" s="7">
        <v>1905464563</v>
      </c>
      <c r="FF20" s="7">
        <v>1905464563</v>
      </c>
      <c r="FG20" s="7">
        <v>1817932962</v>
      </c>
      <c r="FH20" s="7">
        <v>1801311962</v>
      </c>
      <c r="FI20" s="7">
        <v>1801311962</v>
      </c>
      <c r="FO20" s="7">
        <f t="shared" ref="FO20:FO25" si="43">FI20</f>
        <v>1801311962</v>
      </c>
    </row>
    <row r="21" spans="2:171" ht="28.05" customHeight="1" x14ac:dyDescent="0.3">
      <c r="B21" s="6" t="s">
        <v>47</v>
      </c>
      <c r="C21" s="7">
        <v>101236706</v>
      </c>
      <c r="D21" s="7">
        <v>101236706</v>
      </c>
      <c r="E21" s="7">
        <v>101236706</v>
      </c>
      <c r="F21" s="7">
        <v>101236706</v>
      </c>
      <c r="G21" s="7">
        <v>101236706</v>
      </c>
      <c r="H21" s="7">
        <v>101236706</v>
      </c>
      <c r="I21" s="7">
        <v>101236706</v>
      </c>
      <c r="J21" s="7">
        <v>101236706</v>
      </c>
      <c r="K21" s="7">
        <v>101236706</v>
      </c>
      <c r="L21" s="7">
        <v>104448787</v>
      </c>
      <c r="M21" s="7">
        <v>104448787</v>
      </c>
      <c r="N21" s="7">
        <v>105052138</v>
      </c>
      <c r="O21" s="7">
        <f t="shared" si="31"/>
        <v>105052138</v>
      </c>
      <c r="P21" s="7">
        <v>117398169</v>
      </c>
      <c r="Q21" s="7">
        <v>117398169</v>
      </c>
      <c r="R21" s="7">
        <v>117398169</v>
      </c>
      <c r="S21" s="7">
        <v>117398169</v>
      </c>
      <c r="T21" s="7">
        <v>117398169</v>
      </c>
      <c r="U21" s="7">
        <v>119398169</v>
      </c>
      <c r="V21" s="7">
        <v>119398169</v>
      </c>
      <c r="W21" s="7">
        <v>119398169</v>
      </c>
      <c r="X21" s="7">
        <v>119398169</v>
      </c>
      <c r="Y21" s="7">
        <v>126602707</v>
      </c>
      <c r="Z21" s="7">
        <v>126602707</v>
      </c>
      <c r="AA21" s="7">
        <v>127586435</v>
      </c>
      <c r="AB21" s="7">
        <f t="shared" si="32"/>
        <v>127586435</v>
      </c>
      <c r="AC21" s="7">
        <v>127292924</v>
      </c>
      <c r="AD21" s="7">
        <v>127292924</v>
      </c>
      <c r="AE21" s="7">
        <v>127292924</v>
      </c>
      <c r="AF21" s="7">
        <v>127292924</v>
      </c>
      <c r="AG21" s="7">
        <v>127292924</v>
      </c>
      <c r="AH21" s="7">
        <v>127292924</v>
      </c>
      <c r="AI21" s="7">
        <v>127292924</v>
      </c>
      <c r="AJ21" s="7">
        <v>127292924</v>
      </c>
      <c r="AK21" s="7">
        <v>127292924</v>
      </c>
      <c r="AL21" s="7">
        <v>127292924</v>
      </c>
      <c r="AM21" s="7">
        <v>127292924</v>
      </c>
      <c r="AN21" s="7">
        <v>125791938</v>
      </c>
      <c r="AO21" s="7">
        <f t="shared" si="33"/>
        <v>125791938</v>
      </c>
      <c r="AP21" s="7">
        <v>121635713</v>
      </c>
      <c r="AQ21" s="7">
        <v>121635713</v>
      </c>
      <c r="AR21" s="7">
        <v>121635713</v>
      </c>
      <c r="AS21" s="7">
        <v>121635713</v>
      </c>
      <c r="AT21" s="7">
        <v>121635713</v>
      </c>
      <c r="AU21" s="7">
        <v>129989213</v>
      </c>
      <c r="AV21" s="7">
        <v>129989213</v>
      </c>
      <c r="AW21" s="7">
        <v>141642213</v>
      </c>
      <c r="AX21" s="7">
        <v>141642213</v>
      </c>
      <c r="AY21" s="7">
        <v>147144690</v>
      </c>
      <c r="AZ21" s="7">
        <v>147144690</v>
      </c>
      <c r="BA21" s="7">
        <v>146472297</v>
      </c>
      <c r="BB21" s="7">
        <f t="shared" si="34"/>
        <v>146472297</v>
      </c>
      <c r="BC21" s="7">
        <v>119785354</v>
      </c>
      <c r="BD21" s="7">
        <v>119785354</v>
      </c>
      <c r="BE21" s="7">
        <v>119835354</v>
      </c>
      <c r="BF21" s="7">
        <v>119835354</v>
      </c>
      <c r="BG21" s="7">
        <v>119835354</v>
      </c>
      <c r="BH21" s="7">
        <v>119835354</v>
      </c>
      <c r="BI21" s="7">
        <v>119601854</v>
      </c>
      <c r="BJ21" s="7">
        <v>119601854</v>
      </c>
      <c r="BK21" s="7">
        <v>121911854</v>
      </c>
      <c r="BL21" s="7">
        <v>125699985</v>
      </c>
      <c r="BM21" s="7">
        <v>125699985</v>
      </c>
      <c r="BN21" s="7">
        <v>120161746</v>
      </c>
      <c r="BO21" s="7">
        <f t="shared" si="35"/>
        <v>120161746</v>
      </c>
      <c r="BP21" s="7">
        <v>129182602</v>
      </c>
      <c r="BQ21" s="7">
        <v>129182602</v>
      </c>
      <c r="BR21" s="7">
        <v>129182602</v>
      </c>
      <c r="BS21" s="7">
        <v>129182602</v>
      </c>
      <c r="BT21" s="7">
        <v>129182602</v>
      </c>
      <c r="BU21" s="7">
        <v>129182602</v>
      </c>
      <c r="BV21" s="7">
        <v>129182602</v>
      </c>
      <c r="BW21" s="7">
        <v>131234832</v>
      </c>
      <c r="BX21" s="7">
        <v>140899926</v>
      </c>
      <c r="BY21" s="7">
        <v>140899926</v>
      </c>
      <c r="BZ21" s="7">
        <v>140899926</v>
      </c>
      <c r="CA21" s="7">
        <v>138342165</v>
      </c>
      <c r="CB21" s="7">
        <f t="shared" si="36"/>
        <v>138342165</v>
      </c>
      <c r="CC21" s="7">
        <v>137671350</v>
      </c>
      <c r="CD21" s="7">
        <v>137671350</v>
      </c>
      <c r="CE21" s="7">
        <v>152971350</v>
      </c>
      <c r="CF21" s="7">
        <v>152971350</v>
      </c>
      <c r="CG21" s="7">
        <v>143861214</v>
      </c>
      <c r="CH21" s="7">
        <v>143861214</v>
      </c>
      <c r="CI21" s="7">
        <v>143861214</v>
      </c>
      <c r="CJ21" s="7">
        <v>143861214</v>
      </c>
      <c r="CK21" s="7">
        <v>143861214</v>
      </c>
      <c r="CL21" s="7">
        <v>143861214</v>
      </c>
      <c r="CM21" s="7">
        <v>143861214</v>
      </c>
      <c r="CN21" s="7">
        <v>141821958</v>
      </c>
      <c r="CO21" s="7">
        <f t="shared" si="37"/>
        <v>141821958</v>
      </c>
      <c r="CP21" s="7">
        <v>140801596</v>
      </c>
      <c r="CQ21" s="7">
        <v>140801596</v>
      </c>
      <c r="CR21" s="7">
        <v>140801596</v>
      </c>
      <c r="CS21" s="7">
        <v>140801596</v>
      </c>
      <c r="CT21" s="7">
        <v>133918279</v>
      </c>
      <c r="CU21" s="7">
        <v>133918279</v>
      </c>
      <c r="CV21" s="7">
        <v>133918279</v>
      </c>
      <c r="CW21" s="7">
        <v>133918279</v>
      </c>
      <c r="CX21" s="7">
        <v>133918279</v>
      </c>
      <c r="CY21" s="7">
        <v>133918279</v>
      </c>
      <c r="CZ21" s="7">
        <v>133918279</v>
      </c>
      <c r="DA21" s="7">
        <f>131504761+8520124</f>
        <v>140024885</v>
      </c>
      <c r="DB21" s="7">
        <f t="shared" si="38"/>
        <v>140024885</v>
      </c>
      <c r="DC21" s="7">
        <v>147022684</v>
      </c>
      <c r="DD21" s="7">
        <v>147022684</v>
      </c>
      <c r="DE21" s="7">
        <v>147022684</v>
      </c>
      <c r="DF21" s="7">
        <v>147022684</v>
      </c>
      <c r="DG21" s="7">
        <v>147022684</v>
      </c>
      <c r="DH21" s="7">
        <v>147022684</v>
      </c>
      <c r="DI21" s="7">
        <v>147022684</v>
      </c>
      <c r="DJ21" s="7">
        <v>146848818</v>
      </c>
      <c r="DK21" s="7">
        <v>144824178</v>
      </c>
      <c r="DL21" s="7">
        <v>130697780</v>
      </c>
      <c r="DM21" s="7">
        <v>130518293</v>
      </c>
      <c r="DN21" s="7">
        <v>129672445</v>
      </c>
      <c r="DO21" s="7">
        <f t="shared" si="39"/>
        <v>129672445</v>
      </c>
      <c r="DP21" s="7">
        <v>293591805</v>
      </c>
      <c r="DQ21" s="7">
        <v>293591805</v>
      </c>
      <c r="DR21" s="7">
        <v>293591805</v>
      </c>
      <c r="DS21" s="7">
        <v>293591805</v>
      </c>
      <c r="DT21" s="7">
        <v>293591805</v>
      </c>
      <c r="DU21" s="7">
        <v>255048822</v>
      </c>
      <c r="DV21" s="7">
        <v>219099761</v>
      </c>
      <c r="DW21" s="7">
        <v>212099761</v>
      </c>
      <c r="DX21" s="7">
        <v>212099761</v>
      </c>
      <c r="DY21" s="7">
        <v>212099761</v>
      </c>
      <c r="DZ21" s="7">
        <v>212099761</v>
      </c>
      <c r="EA21" s="7">
        <v>198709088</v>
      </c>
      <c r="EB21" s="7">
        <f t="shared" si="40"/>
        <v>198709088</v>
      </c>
      <c r="EC21" s="7">
        <v>295701947</v>
      </c>
      <c r="ED21" s="7">
        <v>295701947</v>
      </c>
      <c r="EE21" s="7">
        <v>278607232</v>
      </c>
      <c r="EF21" s="7">
        <v>278607232</v>
      </c>
      <c r="EG21" s="7">
        <v>278543079</v>
      </c>
      <c r="EH21" s="7">
        <v>278543079</v>
      </c>
      <c r="EI21" s="7">
        <v>278543079</v>
      </c>
      <c r="EJ21" s="7">
        <v>282942267</v>
      </c>
      <c r="EK21" s="7">
        <v>282942267</v>
      </c>
      <c r="EL21" s="7">
        <v>282942267</v>
      </c>
      <c r="EM21" s="7">
        <v>282942267</v>
      </c>
      <c r="EN21" s="7">
        <v>244313644</v>
      </c>
      <c r="EO21" s="7">
        <f t="shared" si="41"/>
        <v>244313644</v>
      </c>
      <c r="EP21" s="7">
        <v>308121429</v>
      </c>
      <c r="EQ21" s="7">
        <v>308121429</v>
      </c>
      <c r="ER21" s="7">
        <v>308121429</v>
      </c>
      <c r="ES21" s="7">
        <v>308121429</v>
      </c>
      <c r="ET21" s="7">
        <v>308121429</v>
      </c>
      <c r="EU21" s="7">
        <v>288121429</v>
      </c>
      <c r="EV21" s="7">
        <v>288121429</v>
      </c>
      <c r="EW21" s="7">
        <v>288121429</v>
      </c>
      <c r="EX21" s="7">
        <v>288121429</v>
      </c>
      <c r="EY21" s="7">
        <v>284126983</v>
      </c>
      <c r="EZ21" s="7">
        <v>284126983</v>
      </c>
      <c r="FA21" s="7">
        <v>255720965</v>
      </c>
      <c r="FB21" s="7">
        <f t="shared" si="42"/>
        <v>255720965</v>
      </c>
      <c r="FC21" s="7">
        <v>195906100</v>
      </c>
      <c r="FD21" s="7">
        <v>195906100</v>
      </c>
      <c r="FE21" s="7">
        <v>192119100</v>
      </c>
      <c r="FF21" s="7">
        <v>192119100</v>
      </c>
      <c r="FG21" s="7">
        <v>186241917</v>
      </c>
      <c r="FH21" s="7">
        <v>202307917</v>
      </c>
      <c r="FI21" s="7">
        <v>202307917</v>
      </c>
      <c r="FO21" s="7">
        <f t="shared" si="43"/>
        <v>202307917</v>
      </c>
    </row>
    <row r="22" spans="2:171" ht="28.05" customHeight="1" x14ac:dyDescent="0.3">
      <c r="B22" s="6" t="s">
        <v>48</v>
      </c>
      <c r="C22" s="7">
        <v>49407947</v>
      </c>
      <c r="D22" s="7">
        <v>49407947</v>
      </c>
      <c r="E22" s="7">
        <v>49407947</v>
      </c>
      <c r="F22" s="7">
        <v>49407947</v>
      </c>
      <c r="G22" s="7">
        <v>49407947</v>
      </c>
      <c r="H22" s="7">
        <v>55507947</v>
      </c>
      <c r="I22" s="7">
        <v>55507947</v>
      </c>
      <c r="J22" s="7">
        <v>60507947</v>
      </c>
      <c r="K22" s="7">
        <v>60507947</v>
      </c>
      <c r="L22" s="7">
        <v>65278980</v>
      </c>
      <c r="M22" s="7">
        <v>65278980</v>
      </c>
      <c r="N22" s="7">
        <v>67579947</v>
      </c>
      <c r="O22" s="7">
        <f t="shared" si="31"/>
        <v>67579947</v>
      </c>
      <c r="P22" s="7">
        <v>68884752</v>
      </c>
      <c r="Q22" s="7">
        <v>68884752</v>
      </c>
      <c r="R22" s="7">
        <v>68884752</v>
      </c>
      <c r="S22" s="7">
        <v>68884752</v>
      </c>
      <c r="T22" s="7">
        <v>68884752</v>
      </c>
      <c r="U22" s="7">
        <v>85940845</v>
      </c>
      <c r="V22" s="7">
        <v>85940845</v>
      </c>
      <c r="W22" s="7">
        <v>87740845</v>
      </c>
      <c r="X22" s="7">
        <v>87740845</v>
      </c>
      <c r="Y22" s="7">
        <v>88355845</v>
      </c>
      <c r="Z22" s="7">
        <v>93717760</v>
      </c>
      <c r="AA22" s="7">
        <v>93689760</v>
      </c>
      <c r="AB22" s="7">
        <f t="shared" si="32"/>
        <v>93689760</v>
      </c>
      <c r="AC22" s="7">
        <v>71502372</v>
      </c>
      <c r="AD22" s="7">
        <v>71502372</v>
      </c>
      <c r="AE22" s="7">
        <v>71502372</v>
      </c>
      <c r="AF22" s="7">
        <v>71502372</v>
      </c>
      <c r="AG22" s="7">
        <v>71502372</v>
      </c>
      <c r="AH22" s="7">
        <v>71502372</v>
      </c>
      <c r="AI22" s="7">
        <v>71502372</v>
      </c>
      <c r="AJ22" s="7">
        <v>75002372</v>
      </c>
      <c r="AK22" s="7">
        <v>75002372</v>
      </c>
      <c r="AL22" s="7">
        <v>75002372</v>
      </c>
      <c r="AM22" s="7">
        <v>79147193</v>
      </c>
      <c r="AN22" s="7">
        <v>80579039</v>
      </c>
      <c r="AO22" s="7">
        <f t="shared" si="33"/>
        <v>80579039</v>
      </c>
      <c r="AP22" s="7">
        <v>89991483</v>
      </c>
      <c r="AQ22" s="7">
        <v>89991483</v>
      </c>
      <c r="AR22" s="7">
        <v>89991483</v>
      </c>
      <c r="AS22" s="7">
        <v>89991483</v>
      </c>
      <c r="AT22" s="7">
        <v>89991483</v>
      </c>
      <c r="AU22" s="7">
        <v>92696068</v>
      </c>
      <c r="AV22" s="7">
        <v>92696068</v>
      </c>
      <c r="AW22" s="7">
        <v>92696068</v>
      </c>
      <c r="AX22" s="7">
        <v>92696068</v>
      </c>
      <c r="AY22" s="7">
        <v>98217166</v>
      </c>
      <c r="AZ22" s="7">
        <v>98217166</v>
      </c>
      <c r="BA22" s="7">
        <v>100477231</v>
      </c>
      <c r="BB22" s="7">
        <f t="shared" si="34"/>
        <v>100477231</v>
      </c>
      <c r="BC22" s="7">
        <v>102433801</v>
      </c>
      <c r="BD22" s="7">
        <v>102433801</v>
      </c>
      <c r="BE22" s="7">
        <v>102433801</v>
      </c>
      <c r="BF22" s="7">
        <v>102433801</v>
      </c>
      <c r="BG22" s="7">
        <v>102433801</v>
      </c>
      <c r="BH22" s="7">
        <v>102433801</v>
      </c>
      <c r="BI22" s="7">
        <v>102433801</v>
      </c>
      <c r="BJ22" s="7">
        <v>102433801</v>
      </c>
      <c r="BK22" s="7">
        <v>102433801</v>
      </c>
      <c r="BL22" s="7">
        <v>106891813</v>
      </c>
      <c r="BM22" s="7">
        <v>106891813</v>
      </c>
      <c r="BN22" s="7">
        <v>102680557</v>
      </c>
      <c r="BO22" s="7">
        <f t="shared" si="35"/>
        <v>102680557</v>
      </c>
      <c r="BP22" s="7">
        <v>114691671</v>
      </c>
      <c r="BQ22" s="7">
        <v>114691671</v>
      </c>
      <c r="BR22" s="7">
        <v>114691671</v>
      </c>
      <c r="BS22" s="7">
        <v>114691671</v>
      </c>
      <c r="BT22" s="7">
        <v>114691671</v>
      </c>
      <c r="BU22" s="7">
        <v>114691671</v>
      </c>
      <c r="BV22" s="7">
        <v>114691671</v>
      </c>
      <c r="BW22" s="7">
        <v>123071862</v>
      </c>
      <c r="BX22" s="7">
        <v>118010898</v>
      </c>
      <c r="BY22" s="7">
        <v>118010898</v>
      </c>
      <c r="BZ22" s="7">
        <v>118010898</v>
      </c>
      <c r="CA22" s="7">
        <v>112674850</v>
      </c>
      <c r="CB22" s="7">
        <f t="shared" si="36"/>
        <v>112674850</v>
      </c>
      <c r="CC22" s="7">
        <v>135338654</v>
      </c>
      <c r="CD22" s="7">
        <v>135338654</v>
      </c>
      <c r="CE22" s="7">
        <v>135338654</v>
      </c>
      <c r="CF22" s="7">
        <v>158338654</v>
      </c>
      <c r="CG22" s="7">
        <v>155319586</v>
      </c>
      <c r="CH22" s="7">
        <v>155319586</v>
      </c>
      <c r="CI22" s="7">
        <v>155319586</v>
      </c>
      <c r="CJ22" s="7">
        <v>155319586</v>
      </c>
      <c r="CK22" s="7">
        <v>155319586</v>
      </c>
      <c r="CL22" s="7">
        <v>155319586</v>
      </c>
      <c r="CM22" s="7">
        <v>155319586</v>
      </c>
      <c r="CN22" s="7">
        <v>148506367</v>
      </c>
      <c r="CO22" s="7">
        <f t="shared" si="37"/>
        <v>148506367</v>
      </c>
      <c r="CP22" s="7">
        <v>142048072</v>
      </c>
      <c r="CQ22" s="7">
        <v>142048072</v>
      </c>
      <c r="CR22" s="7">
        <v>142048072</v>
      </c>
      <c r="CS22" s="7">
        <v>142048072</v>
      </c>
      <c r="CT22" s="7">
        <v>160995572</v>
      </c>
      <c r="CU22" s="7">
        <v>160995572</v>
      </c>
      <c r="CV22" s="7">
        <v>160995572</v>
      </c>
      <c r="CW22" s="7">
        <v>160995572</v>
      </c>
      <c r="CX22" s="7">
        <v>160995572</v>
      </c>
      <c r="CY22" s="7">
        <v>160995572</v>
      </c>
      <c r="CZ22" s="7">
        <v>160995572</v>
      </c>
      <c r="DA22" s="7">
        <f>142300803+21041416</f>
        <v>163342219</v>
      </c>
      <c r="DB22" s="7">
        <f t="shared" si="38"/>
        <v>163342219</v>
      </c>
      <c r="DC22" s="7">
        <v>148440561</v>
      </c>
      <c r="DD22" s="7">
        <v>148440561</v>
      </c>
      <c r="DE22" s="7">
        <v>148440561</v>
      </c>
      <c r="DF22" s="7">
        <v>148440561</v>
      </c>
      <c r="DG22" s="7">
        <v>148440561</v>
      </c>
      <c r="DH22" s="7">
        <v>148440561</v>
      </c>
      <c r="DI22" s="7">
        <v>148440561</v>
      </c>
      <c r="DJ22" s="7">
        <v>148440561</v>
      </c>
      <c r="DK22" s="7">
        <v>148440561</v>
      </c>
      <c r="DL22" s="7">
        <v>141404870</v>
      </c>
      <c r="DM22" s="7">
        <v>141404870</v>
      </c>
      <c r="DN22" s="7">
        <v>110932143</v>
      </c>
      <c r="DO22" s="7">
        <f t="shared" si="39"/>
        <v>110932143</v>
      </c>
      <c r="DP22" s="7">
        <v>295780655</v>
      </c>
      <c r="DQ22" s="7">
        <v>295780655</v>
      </c>
      <c r="DR22" s="7">
        <v>295780655</v>
      </c>
      <c r="DS22" s="7">
        <v>295780655</v>
      </c>
      <c r="DT22" s="7">
        <v>295780655</v>
      </c>
      <c r="DU22" s="7">
        <v>275780655</v>
      </c>
      <c r="DV22" s="7">
        <v>309887671</v>
      </c>
      <c r="DW22" s="7">
        <v>309887671</v>
      </c>
      <c r="DX22" s="7">
        <v>309887671</v>
      </c>
      <c r="DY22" s="7">
        <v>299857312</v>
      </c>
      <c r="DZ22" s="7">
        <v>265750296</v>
      </c>
      <c r="EA22" s="7">
        <v>249472319</v>
      </c>
      <c r="EB22" s="7">
        <f t="shared" si="40"/>
        <v>249472319</v>
      </c>
      <c r="EC22" s="7">
        <v>315696642</v>
      </c>
      <c r="ED22" s="7">
        <v>315696642</v>
      </c>
      <c r="EE22" s="7">
        <v>315696642</v>
      </c>
      <c r="EF22" s="7">
        <v>232705862</v>
      </c>
      <c r="EG22" s="7">
        <v>232705862</v>
      </c>
      <c r="EH22" s="7">
        <v>232705862</v>
      </c>
      <c r="EI22" s="7">
        <v>232705862</v>
      </c>
      <c r="EJ22" s="7">
        <v>227906674</v>
      </c>
      <c r="EK22" s="7">
        <v>227906674</v>
      </c>
      <c r="EL22" s="7">
        <v>227906674</v>
      </c>
      <c r="EM22" s="7">
        <v>227906674</v>
      </c>
      <c r="EN22" s="7">
        <v>192186387</v>
      </c>
      <c r="EO22" s="7">
        <f t="shared" si="41"/>
        <v>192186387</v>
      </c>
      <c r="EP22" s="7">
        <v>329603442</v>
      </c>
      <c r="EQ22" s="7">
        <v>329603442</v>
      </c>
      <c r="ER22" s="7">
        <v>307603442</v>
      </c>
      <c r="ES22" s="7">
        <v>307603442</v>
      </c>
      <c r="ET22" s="7">
        <v>307603442</v>
      </c>
      <c r="EU22" s="7">
        <v>284751010</v>
      </c>
      <c r="EV22" s="7">
        <v>284751010</v>
      </c>
      <c r="EW22" s="7">
        <v>284751010</v>
      </c>
      <c r="EX22" s="7">
        <v>284751010</v>
      </c>
      <c r="EY22" s="7">
        <v>273184204</v>
      </c>
      <c r="EZ22" s="7">
        <v>273184204</v>
      </c>
      <c r="FA22" s="7">
        <v>234336066</v>
      </c>
      <c r="FB22" s="7">
        <f t="shared" si="42"/>
        <v>234336066</v>
      </c>
      <c r="FC22" s="7">
        <v>290113797</v>
      </c>
      <c r="FD22" s="7">
        <v>290113797</v>
      </c>
      <c r="FE22" s="7">
        <v>282113797</v>
      </c>
      <c r="FF22" s="7">
        <v>282113797</v>
      </c>
      <c r="FG22" s="7">
        <v>273410383</v>
      </c>
      <c r="FH22" s="7">
        <v>273410383</v>
      </c>
      <c r="FI22" s="7">
        <v>273410383</v>
      </c>
      <c r="FO22" s="7">
        <f t="shared" si="43"/>
        <v>273410383</v>
      </c>
    </row>
    <row r="23" spans="2:171" ht="28.05" customHeight="1" x14ac:dyDescent="0.3">
      <c r="B23" s="6" t="s">
        <v>49</v>
      </c>
      <c r="C23" s="7">
        <v>55038550</v>
      </c>
      <c r="D23" s="7">
        <v>55038550</v>
      </c>
      <c r="E23" s="7">
        <v>55038550</v>
      </c>
      <c r="F23" s="7">
        <v>55038550</v>
      </c>
      <c r="G23" s="7">
        <v>55038550</v>
      </c>
      <c r="H23" s="7">
        <v>55038550</v>
      </c>
      <c r="I23" s="7">
        <v>56087343</v>
      </c>
      <c r="J23" s="7">
        <v>56087343</v>
      </c>
      <c r="K23" s="7">
        <v>56087343</v>
      </c>
      <c r="L23" s="7">
        <v>56087343</v>
      </c>
      <c r="M23" s="7">
        <v>56087343</v>
      </c>
      <c r="N23" s="7">
        <v>55967642</v>
      </c>
      <c r="O23" s="7">
        <f t="shared" si="31"/>
        <v>55967642</v>
      </c>
      <c r="P23" s="7">
        <v>63737311</v>
      </c>
      <c r="Q23" s="7">
        <v>63737311</v>
      </c>
      <c r="R23" s="7">
        <v>63737311</v>
      </c>
      <c r="S23" s="7">
        <v>63737311</v>
      </c>
      <c r="T23" s="7">
        <v>63737311</v>
      </c>
      <c r="U23" s="7">
        <v>63737311</v>
      </c>
      <c r="V23" s="7">
        <v>63737311</v>
      </c>
      <c r="W23" s="7">
        <v>63737311</v>
      </c>
      <c r="X23" s="7">
        <v>63737311</v>
      </c>
      <c r="Y23" s="7">
        <v>60537311</v>
      </c>
      <c r="Z23" s="7">
        <v>66537311</v>
      </c>
      <c r="AA23" s="7">
        <v>66227311</v>
      </c>
      <c r="AB23" s="7">
        <f t="shared" si="32"/>
        <v>66227311</v>
      </c>
      <c r="AC23" s="7">
        <v>66005341</v>
      </c>
      <c r="AD23" s="7">
        <v>66005341</v>
      </c>
      <c r="AE23" s="7">
        <v>66005341</v>
      </c>
      <c r="AF23" s="7">
        <v>66005341</v>
      </c>
      <c r="AG23" s="7">
        <v>66005341</v>
      </c>
      <c r="AH23" s="7">
        <v>66005341</v>
      </c>
      <c r="AI23" s="7">
        <v>66005341</v>
      </c>
      <c r="AJ23" s="7">
        <v>66005341</v>
      </c>
      <c r="AK23" s="7">
        <v>66005341</v>
      </c>
      <c r="AL23" s="7">
        <v>66005341</v>
      </c>
      <c r="AM23" s="7">
        <v>66005341</v>
      </c>
      <c r="AN23" s="7">
        <v>66601585</v>
      </c>
      <c r="AO23" s="7">
        <f t="shared" si="33"/>
        <v>66601585</v>
      </c>
      <c r="AP23" s="7">
        <v>68152361</v>
      </c>
      <c r="AQ23" s="7">
        <v>68152361</v>
      </c>
      <c r="AR23" s="7">
        <v>68152361</v>
      </c>
      <c r="AS23" s="7">
        <v>68152361</v>
      </c>
      <c r="AT23" s="7">
        <v>68152361</v>
      </c>
      <c r="AU23" s="7">
        <v>68152361</v>
      </c>
      <c r="AV23" s="7">
        <v>68152361</v>
      </c>
      <c r="AW23" s="7">
        <v>68152361</v>
      </c>
      <c r="AX23" s="7">
        <v>68152361</v>
      </c>
      <c r="AY23" s="7">
        <v>68292361</v>
      </c>
      <c r="AZ23" s="7">
        <v>70792361</v>
      </c>
      <c r="BA23" s="7">
        <v>72233361</v>
      </c>
      <c r="BB23" s="7">
        <f t="shared" si="34"/>
        <v>72233361</v>
      </c>
      <c r="BC23" s="7">
        <v>69097793</v>
      </c>
      <c r="BD23" s="7">
        <v>69097793</v>
      </c>
      <c r="BE23" s="7">
        <v>69097793</v>
      </c>
      <c r="BF23" s="7">
        <v>69097793</v>
      </c>
      <c r="BG23" s="7">
        <v>69097793</v>
      </c>
      <c r="BH23" s="7">
        <v>69097793</v>
      </c>
      <c r="BI23" s="7">
        <v>68963100</v>
      </c>
      <c r="BJ23" s="7">
        <v>68963100</v>
      </c>
      <c r="BK23" s="7">
        <v>66653100</v>
      </c>
      <c r="BL23" s="7">
        <v>64364969</v>
      </c>
      <c r="BM23" s="7">
        <v>64332418</v>
      </c>
      <c r="BN23" s="7">
        <v>60805995</v>
      </c>
      <c r="BO23" s="7">
        <f t="shared" si="35"/>
        <v>60805995</v>
      </c>
      <c r="BP23" s="7">
        <v>69888575</v>
      </c>
      <c r="BQ23" s="7">
        <v>69888575</v>
      </c>
      <c r="BR23" s="7">
        <v>69888575</v>
      </c>
      <c r="BS23" s="7">
        <v>69888575</v>
      </c>
      <c r="BT23" s="7">
        <v>69888575</v>
      </c>
      <c r="BU23" s="7">
        <v>69888575</v>
      </c>
      <c r="BV23" s="7">
        <v>69888575</v>
      </c>
      <c r="BW23" s="7">
        <v>69888575</v>
      </c>
      <c r="BX23" s="7">
        <v>68888575</v>
      </c>
      <c r="BY23" s="7">
        <v>68888575</v>
      </c>
      <c r="BZ23" s="7">
        <v>68888575</v>
      </c>
      <c r="CA23" s="7">
        <v>62099040</v>
      </c>
      <c r="CB23" s="7">
        <f t="shared" si="36"/>
        <v>62099040</v>
      </c>
      <c r="CC23" s="7">
        <v>71705676</v>
      </c>
      <c r="CD23" s="7">
        <v>71705676</v>
      </c>
      <c r="CE23" s="7">
        <v>80110666</v>
      </c>
      <c r="CF23" s="7">
        <v>80110666</v>
      </c>
      <c r="CG23" s="7">
        <v>79796573</v>
      </c>
      <c r="CH23" s="7">
        <v>79796573</v>
      </c>
      <c r="CI23" s="7">
        <v>74160268</v>
      </c>
      <c r="CJ23" s="7">
        <v>74160268</v>
      </c>
      <c r="CK23" s="7">
        <v>74160268</v>
      </c>
      <c r="CL23" s="7">
        <v>74160268</v>
      </c>
      <c r="CM23" s="7">
        <v>73045737</v>
      </c>
      <c r="CN23" s="7">
        <v>71705970</v>
      </c>
      <c r="CO23" s="7">
        <f t="shared" si="37"/>
        <v>71705970</v>
      </c>
      <c r="CP23" s="7">
        <v>73670723</v>
      </c>
      <c r="CQ23" s="7">
        <v>73670723</v>
      </c>
      <c r="CR23" s="7">
        <v>73670723</v>
      </c>
      <c r="CS23" s="7">
        <v>73670723</v>
      </c>
      <c r="CT23" s="7">
        <v>73670723</v>
      </c>
      <c r="CU23" s="7">
        <v>73670723</v>
      </c>
      <c r="CV23" s="7">
        <v>73670723</v>
      </c>
      <c r="CW23" s="7">
        <v>73670723</v>
      </c>
      <c r="CX23" s="7">
        <v>73670723</v>
      </c>
      <c r="CY23" s="7">
        <v>73670723</v>
      </c>
      <c r="CZ23" s="7">
        <v>73670723</v>
      </c>
      <c r="DA23" s="7">
        <f>73116242+62000</f>
        <v>73178242</v>
      </c>
      <c r="DB23" s="7">
        <f t="shared" si="38"/>
        <v>73178242</v>
      </c>
      <c r="DC23" s="7">
        <v>76882481</v>
      </c>
      <c r="DD23" s="7">
        <v>76882481</v>
      </c>
      <c r="DE23" s="7">
        <v>76882481</v>
      </c>
      <c r="DF23" s="7">
        <v>76882481</v>
      </c>
      <c r="DG23" s="7">
        <v>76882481</v>
      </c>
      <c r="DH23" s="7">
        <v>76882481</v>
      </c>
      <c r="DI23" s="7">
        <v>76882481</v>
      </c>
      <c r="DJ23" s="7">
        <v>76882481</v>
      </c>
      <c r="DK23" s="7">
        <v>76882481</v>
      </c>
      <c r="DL23" s="7">
        <v>76882481</v>
      </c>
      <c r="DM23" s="7">
        <v>76882481</v>
      </c>
      <c r="DN23" s="7">
        <v>64614673</v>
      </c>
      <c r="DO23" s="7">
        <f t="shared" si="39"/>
        <v>64614673</v>
      </c>
      <c r="DP23" s="7">
        <v>115171552</v>
      </c>
      <c r="DQ23" s="7">
        <v>115171552</v>
      </c>
      <c r="DR23" s="7">
        <v>115171552</v>
      </c>
      <c r="DS23" s="7">
        <v>115171552</v>
      </c>
      <c r="DT23" s="7">
        <v>115171552</v>
      </c>
      <c r="DU23" s="7">
        <v>115171552</v>
      </c>
      <c r="DV23" s="7">
        <v>115171552</v>
      </c>
      <c r="DW23" s="7">
        <v>115171552</v>
      </c>
      <c r="DX23" s="7">
        <v>115171552</v>
      </c>
      <c r="DY23" s="7">
        <v>108472329</v>
      </c>
      <c r="DZ23" s="7">
        <v>108472329</v>
      </c>
      <c r="EA23" s="7">
        <v>104861138</v>
      </c>
      <c r="EB23" s="7">
        <f t="shared" si="40"/>
        <v>104861138</v>
      </c>
      <c r="EC23" s="7">
        <v>127117895</v>
      </c>
      <c r="ED23" s="7">
        <v>127117895</v>
      </c>
      <c r="EE23" s="7">
        <v>127117895</v>
      </c>
      <c r="EF23" s="7">
        <v>127117895</v>
      </c>
      <c r="EG23" s="7">
        <v>127117895</v>
      </c>
      <c r="EH23" s="7">
        <v>127117895</v>
      </c>
      <c r="EI23" s="7">
        <v>127117895</v>
      </c>
      <c r="EJ23" s="7">
        <v>127117895</v>
      </c>
      <c r="EK23" s="7">
        <v>127117895</v>
      </c>
      <c r="EL23" s="7">
        <v>127117895</v>
      </c>
      <c r="EM23" s="7">
        <v>127117895</v>
      </c>
      <c r="EN23" s="7">
        <v>123682417</v>
      </c>
      <c r="EO23" s="7">
        <f t="shared" si="41"/>
        <v>123682417</v>
      </c>
      <c r="EP23" s="7">
        <v>125417585</v>
      </c>
      <c r="EQ23" s="7">
        <v>125417585</v>
      </c>
      <c r="ER23" s="7">
        <v>139947914</v>
      </c>
      <c r="ES23" s="7">
        <v>139947914</v>
      </c>
      <c r="ET23" s="7">
        <v>139947914</v>
      </c>
      <c r="EU23" s="7">
        <v>139947914</v>
      </c>
      <c r="EV23" s="7">
        <v>145917564</v>
      </c>
      <c r="EW23" s="7">
        <v>145917564</v>
      </c>
      <c r="EX23" s="7">
        <v>145917564</v>
      </c>
      <c r="EY23" s="7">
        <v>151478816</v>
      </c>
      <c r="EZ23" s="7">
        <v>151478816</v>
      </c>
      <c r="FA23" s="7">
        <v>143006856</v>
      </c>
      <c r="FB23" s="7">
        <f t="shared" si="42"/>
        <v>143006856</v>
      </c>
      <c r="FC23" s="7">
        <v>109909690</v>
      </c>
      <c r="FD23" s="7">
        <v>109909690</v>
      </c>
      <c r="FE23" s="7">
        <v>109909690</v>
      </c>
      <c r="FF23" s="7">
        <v>109909690</v>
      </c>
      <c r="FG23" s="7">
        <v>106612399</v>
      </c>
      <c r="FH23" s="7">
        <v>106612399</v>
      </c>
      <c r="FI23" s="7">
        <v>106612399</v>
      </c>
      <c r="FO23" s="7">
        <f t="shared" si="43"/>
        <v>106612399</v>
      </c>
    </row>
    <row r="24" spans="2:171" ht="28.05" customHeight="1" x14ac:dyDescent="0.3">
      <c r="B24" s="6" t="s">
        <v>50</v>
      </c>
      <c r="C24" s="7">
        <v>41285665</v>
      </c>
      <c r="D24" s="7">
        <v>41285665</v>
      </c>
      <c r="E24" s="7">
        <v>41285665</v>
      </c>
      <c r="F24" s="7">
        <v>41285665</v>
      </c>
      <c r="G24" s="7">
        <v>41769665</v>
      </c>
      <c r="H24" s="7">
        <v>41769665</v>
      </c>
      <c r="I24" s="7">
        <v>41769665</v>
      </c>
      <c r="J24" s="7">
        <v>43790807</v>
      </c>
      <c r="K24" s="7">
        <v>43790807</v>
      </c>
      <c r="L24" s="7">
        <v>44708207</v>
      </c>
      <c r="M24" s="7">
        <v>44708207</v>
      </c>
      <c r="N24" s="7">
        <v>45507263</v>
      </c>
      <c r="O24" s="7">
        <f t="shared" si="31"/>
        <v>45507263</v>
      </c>
      <c r="P24" s="7">
        <v>41009608</v>
      </c>
      <c r="Q24" s="7">
        <v>41009608</v>
      </c>
      <c r="R24" s="7">
        <v>41009608</v>
      </c>
      <c r="S24" s="7">
        <v>41009608</v>
      </c>
      <c r="T24" s="7">
        <v>41009608</v>
      </c>
      <c r="U24" s="7">
        <v>41009608</v>
      </c>
      <c r="V24" s="7">
        <v>41009608</v>
      </c>
      <c r="W24" s="7">
        <v>39209608</v>
      </c>
      <c r="X24" s="7">
        <v>39209608</v>
      </c>
      <c r="Y24" s="7">
        <v>39209608</v>
      </c>
      <c r="Z24" s="7">
        <v>38038808</v>
      </c>
      <c r="AA24" s="7">
        <v>34834080</v>
      </c>
      <c r="AB24" s="7">
        <f t="shared" si="32"/>
        <v>34834080</v>
      </c>
      <c r="AC24" s="7">
        <v>43953347</v>
      </c>
      <c r="AD24" s="7">
        <v>43953347</v>
      </c>
      <c r="AE24" s="7">
        <v>43953347</v>
      </c>
      <c r="AF24" s="7">
        <v>43633347</v>
      </c>
      <c r="AG24" s="7">
        <v>43633347</v>
      </c>
      <c r="AH24" s="7">
        <v>43633347</v>
      </c>
      <c r="AI24" s="7">
        <v>43633347</v>
      </c>
      <c r="AJ24" s="7">
        <v>43633347</v>
      </c>
      <c r="AK24" s="7">
        <v>43633347</v>
      </c>
      <c r="AL24" s="7">
        <v>43171347</v>
      </c>
      <c r="AM24" s="7">
        <v>43171347</v>
      </c>
      <c r="AN24" s="7">
        <v>43860342</v>
      </c>
      <c r="AO24" s="7">
        <f t="shared" si="33"/>
        <v>43860342</v>
      </c>
      <c r="AP24" s="7">
        <v>45271947</v>
      </c>
      <c r="AQ24" s="7">
        <v>45271947</v>
      </c>
      <c r="AR24" s="7">
        <v>45271947</v>
      </c>
      <c r="AS24" s="7">
        <v>45271947</v>
      </c>
      <c r="AT24" s="7">
        <v>45271947</v>
      </c>
      <c r="AU24" s="7">
        <v>45271947</v>
      </c>
      <c r="AV24" s="7">
        <v>45271947</v>
      </c>
      <c r="AW24" s="7">
        <v>45271947</v>
      </c>
      <c r="AX24" s="7">
        <v>45271947</v>
      </c>
      <c r="AY24" s="7">
        <v>46889947</v>
      </c>
      <c r="AZ24" s="7">
        <v>46889947</v>
      </c>
      <c r="BA24" s="7">
        <v>49070760</v>
      </c>
      <c r="BB24" s="7">
        <f t="shared" si="34"/>
        <v>49070760</v>
      </c>
      <c r="BC24" s="7">
        <v>35602336</v>
      </c>
      <c r="BD24" s="7">
        <v>35602336</v>
      </c>
      <c r="BE24" s="7">
        <v>35602336</v>
      </c>
      <c r="BF24" s="7">
        <v>35602336</v>
      </c>
      <c r="BG24" s="7">
        <v>35602336</v>
      </c>
      <c r="BH24" s="7">
        <v>43302336</v>
      </c>
      <c r="BI24" s="7">
        <v>43302336</v>
      </c>
      <c r="BJ24" s="7">
        <v>43802336</v>
      </c>
      <c r="BK24" s="7">
        <v>43802336</v>
      </c>
      <c r="BL24" s="7">
        <v>43802336</v>
      </c>
      <c r="BM24" s="7">
        <v>43802336</v>
      </c>
      <c r="BN24" s="7">
        <v>34299269</v>
      </c>
      <c r="BO24" s="7">
        <f t="shared" si="35"/>
        <v>34299269</v>
      </c>
      <c r="BP24" s="7">
        <v>53068499</v>
      </c>
      <c r="BQ24" s="7">
        <v>53068499</v>
      </c>
      <c r="BR24" s="7">
        <v>53068499</v>
      </c>
      <c r="BS24" s="7">
        <v>53068499</v>
      </c>
      <c r="BT24" s="7">
        <v>53068499</v>
      </c>
      <c r="BU24" s="7">
        <v>53068499</v>
      </c>
      <c r="BV24" s="7">
        <v>53068499</v>
      </c>
      <c r="BW24" s="7">
        <v>55300713</v>
      </c>
      <c r="BX24" s="7">
        <v>55300713</v>
      </c>
      <c r="BY24" s="7">
        <v>55300713</v>
      </c>
      <c r="BZ24" s="7">
        <v>55300713</v>
      </c>
      <c r="CA24" s="7">
        <v>54338642</v>
      </c>
      <c r="CB24" s="7">
        <f t="shared" si="36"/>
        <v>54338642</v>
      </c>
      <c r="CC24" s="7">
        <v>58584599</v>
      </c>
      <c r="CD24" s="7">
        <v>58584599</v>
      </c>
      <c r="CE24" s="7">
        <v>58584599</v>
      </c>
      <c r="CF24" s="7">
        <v>66247946</v>
      </c>
      <c r="CG24" s="7">
        <v>66247946</v>
      </c>
      <c r="CH24" s="7">
        <v>66247946</v>
      </c>
      <c r="CI24" s="7">
        <v>66147946</v>
      </c>
      <c r="CJ24" s="7">
        <v>64991732</v>
      </c>
      <c r="CK24" s="7">
        <v>64991732</v>
      </c>
      <c r="CL24" s="7">
        <v>64570095</v>
      </c>
      <c r="CM24" s="7">
        <v>64570095</v>
      </c>
      <c r="CN24" s="7">
        <v>58584599</v>
      </c>
      <c r="CO24" s="7">
        <f t="shared" si="37"/>
        <v>58584599</v>
      </c>
      <c r="CP24" s="7">
        <v>60144148</v>
      </c>
      <c r="CQ24" s="7">
        <v>60144148</v>
      </c>
      <c r="CR24" s="7">
        <v>60144148</v>
      </c>
      <c r="CS24" s="7">
        <v>60144148</v>
      </c>
      <c r="CT24" s="7">
        <v>60144148</v>
      </c>
      <c r="CU24" s="7">
        <v>60144148</v>
      </c>
      <c r="CV24" s="7">
        <v>60144148</v>
      </c>
      <c r="CW24" s="7">
        <v>60144148</v>
      </c>
      <c r="CX24" s="7">
        <v>60144148</v>
      </c>
      <c r="CY24" s="7">
        <v>60144148</v>
      </c>
      <c r="CZ24" s="7">
        <v>60144148</v>
      </c>
      <c r="DA24" s="7">
        <f>57087148+74000</f>
        <v>57161148</v>
      </c>
      <c r="DB24" s="7">
        <f t="shared" si="38"/>
        <v>57161148</v>
      </c>
      <c r="DC24" s="7">
        <v>62797413</v>
      </c>
      <c r="DD24" s="7">
        <v>62797413</v>
      </c>
      <c r="DE24" s="7">
        <v>62797413</v>
      </c>
      <c r="DF24" s="7">
        <v>62797413</v>
      </c>
      <c r="DG24" s="7">
        <v>62712374</v>
      </c>
      <c r="DH24" s="7">
        <v>62712374</v>
      </c>
      <c r="DI24" s="7">
        <v>62487413</v>
      </c>
      <c r="DJ24" s="7">
        <v>62487413</v>
      </c>
      <c r="DK24" s="7">
        <v>62487413</v>
      </c>
      <c r="DL24" s="7">
        <v>62487413</v>
      </c>
      <c r="DM24" s="7">
        <v>62487413</v>
      </c>
      <c r="DN24" s="7">
        <v>66143610</v>
      </c>
      <c r="DO24" s="7">
        <f t="shared" si="39"/>
        <v>66143610</v>
      </c>
      <c r="DP24" s="7">
        <v>135318267</v>
      </c>
      <c r="DQ24" s="7">
        <v>135318267</v>
      </c>
      <c r="DR24" s="7">
        <v>135318267</v>
      </c>
      <c r="DS24" s="7">
        <v>135318267</v>
      </c>
      <c r="DT24" s="7">
        <v>135318267</v>
      </c>
      <c r="DU24" s="7">
        <v>135318267</v>
      </c>
      <c r="DV24" s="7">
        <v>135318267</v>
      </c>
      <c r="DW24" s="7">
        <v>135318267</v>
      </c>
      <c r="DX24" s="7">
        <v>135318267</v>
      </c>
      <c r="DY24" s="7">
        <v>131318267</v>
      </c>
      <c r="DZ24" s="7">
        <v>131318267</v>
      </c>
      <c r="EA24" s="7">
        <v>123846968</v>
      </c>
      <c r="EB24" s="7">
        <f t="shared" si="40"/>
        <v>123846968</v>
      </c>
      <c r="EC24" s="7">
        <v>137741639</v>
      </c>
      <c r="ED24" s="7">
        <v>137741639</v>
      </c>
      <c r="EE24" s="7">
        <v>137741639</v>
      </c>
      <c r="EF24" s="7">
        <v>135914151</v>
      </c>
      <c r="EG24" s="7">
        <v>135885801</v>
      </c>
      <c r="EH24" s="7">
        <v>135885801</v>
      </c>
      <c r="EI24" s="7">
        <v>135885801</v>
      </c>
      <c r="EJ24" s="7">
        <v>135885801</v>
      </c>
      <c r="EK24" s="7">
        <v>135885801</v>
      </c>
      <c r="EL24" s="7">
        <v>137734161</v>
      </c>
      <c r="EM24" s="7">
        <v>137734161</v>
      </c>
      <c r="EN24" s="7">
        <v>121300022</v>
      </c>
      <c r="EO24" s="7">
        <f t="shared" si="41"/>
        <v>121300022</v>
      </c>
      <c r="EP24" s="7">
        <v>141825431</v>
      </c>
      <c r="EQ24" s="7">
        <v>141825431</v>
      </c>
      <c r="ER24" s="7">
        <v>141825431</v>
      </c>
      <c r="ES24" s="7">
        <v>141825431</v>
      </c>
      <c r="ET24" s="7">
        <v>141825431</v>
      </c>
      <c r="EU24" s="7">
        <v>141825431</v>
      </c>
      <c r="EV24" s="7">
        <v>141825431</v>
      </c>
      <c r="EW24" s="7">
        <v>141825431</v>
      </c>
      <c r="EX24" s="7">
        <v>141825431</v>
      </c>
      <c r="EY24" s="7">
        <v>141825431</v>
      </c>
      <c r="EZ24" s="7">
        <v>141825431</v>
      </c>
      <c r="FA24" s="7">
        <v>143001334</v>
      </c>
      <c r="FB24" s="7">
        <f t="shared" si="42"/>
        <v>143001334</v>
      </c>
      <c r="FC24" s="7">
        <v>127610750</v>
      </c>
      <c r="FD24" s="7">
        <v>127610750</v>
      </c>
      <c r="FE24" s="7">
        <v>127610750</v>
      </c>
      <c r="FF24" s="7">
        <v>127610750</v>
      </c>
      <c r="FG24" s="7">
        <v>124345173</v>
      </c>
      <c r="FH24" s="7">
        <v>124345173</v>
      </c>
      <c r="FI24" s="7">
        <v>124345173</v>
      </c>
      <c r="FO24" s="7">
        <f t="shared" si="43"/>
        <v>124345173</v>
      </c>
    </row>
    <row r="25" spans="2:171" ht="28.05" customHeight="1" x14ac:dyDescent="0.3">
      <c r="B25" s="6" t="s">
        <v>51</v>
      </c>
      <c r="C25" s="7">
        <v>26272563</v>
      </c>
      <c r="D25" s="7">
        <v>26272563</v>
      </c>
      <c r="E25" s="7">
        <v>26955763</v>
      </c>
      <c r="F25" s="7">
        <v>26955763</v>
      </c>
      <c r="G25" s="7">
        <v>26955763</v>
      </c>
      <c r="H25" s="7">
        <v>26955763</v>
      </c>
      <c r="I25" s="7">
        <v>26955763</v>
      </c>
      <c r="J25" s="7">
        <v>27252763</v>
      </c>
      <c r="K25" s="7">
        <v>27252763</v>
      </c>
      <c r="L25" s="7">
        <v>27252763</v>
      </c>
      <c r="M25" s="7">
        <v>27558870</v>
      </c>
      <c r="N25" s="7">
        <v>25516525</v>
      </c>
      <c r="O25" s="7">
        <f t="shared" si="31"/>
        <v>25516525</v>
      </c>
      <c r="P25" s="7">
        <v>28203580</v>
      </c>
      <c r="Q25" s="7">
        <v>28203580</v>
      </c>
      <c r="R25" s="7">
        <v>28176903</v>
      </c>
      <c r="S25" s="7">
        <v>28176903</v>
      </c>
      <c r="T25" s="7">
        <v>28176903</v>
      </c>
      <c r="U25" s="7">
        <v>22493729</v>
      </c>
      <c r="V25" s="7">
        <v>22493729</v>
      </c>
      <c r="W25" s="7">
        <v>22477989</v>
      </c>
      <c r="X25" s="7">
        <v>22277989</v>
      </c>
      <c r="Y25" s="7">
        <v>17658451</v>
      </c>
      <c r="Z25" s="7">
        <v>14124507</v>
      </c>
      <c r="AA25" s="7">
        <v>12055801</v>
      </c>
      <c r="AB25" s="7">
        <f t="shared" si="32"/>
        <v>12055801</v>
      </c>
      <c r="AC25" s="7">
        <v>25719874</v>
      </c>
      <c r="AD25" s="7">
        <v>25719874</v>
      </c>
      <c r="AE25" s="7">
        <v>25719874</v>
      </c>
      <c r="AF25" s="7">
        <v>25719874</v>
      </c>
      <c r="AG25" s="7">
        <v>25719874</v>
      </c>
      <c r="AH25" s="7">
        <v>25684874</v>
      </c>
      <c r="AI25" s="7">
        <v>25684874</v>
      </c>
      <c r="AJ25" s="7">
        <v>22184874</v>
      </c>
      <c r="AK25" s="7">
        <v>19898360</v>
      </c>
      <c r="AL25" s="7">
        <v>19898360</v>
      </c>
      <c r="AM25" s="7">
        <v>19898360</v>
      </c>
      <c r="AN25" s="7">
        <v>16279503</v>
      </c>
      <c r="AO25" s="7">
        <f t="shared" si="33"/>
        <v>16279503</v>
      </c>
      <c r="AP25" s="7">
        <v>28283754</v>
      </c>
      <c r="AQ25" s="7">
        <v>28283754</v>
      </c>
      <c r="AR25" s="7">
        <v>28283754</v>
      </c>
      <c r="AS25" s="7">
        <v>28283754</v>
      </c>
      <c r="AT25" s="7">
        <v>28283754</v>
      </c>
      <c r="AU25" s="7">
        <v>28260646</v>
      </c>
      <c r="AV25" s="7">
        <v>28337248</v>
      </c>
      <c r="AW25" s="7">
        <v>28337248</v>
      </c>
      <c r="AX25" s="7">
        <v>28337248</v>
      </c>
      <c r="AY25" s="7">
        <v>31399972</v>
      </c>
      <c r="AZ25" s="7">
        <v>31399972</v>
      </c>
      <c r="BA25" s="7">
        <v>21498175</v>
      </c>
      <c r="BB25" s="7">
        <f t="shared" si="34"/>
        <v>21498175</v>
      </c>
      <c r="BC25" s="7">
        <v>30504194</v>
      </c>
      <c r="BD25" s="7">
        <v>30504194</v>
      </c>
      <c r="BE25" s="7">
        <v>30504194</v>
      </c>
      <c r="BF25" s="7">
        <v>30504194</v>
      </c>
      <c r="BG25" s="7">
        <v>30445086</v>
      </c>
      <c r="BH25" s="7">
        <v>30445086</v>
      </c>
      <c r="BI25" s="7">
        <v>30385624</v>
      </c>
      <c r="BJ25" s="7">
        <v>30385624</v>
      </c>
      <c r="BK25" s="7">
        <v>30385624</v>
      </c>
      <c r="BL25" s="7">
        <v>24302238</v>
      </c>
      <c r="BM25" s="7">
        <v>24302238</v>
      </c>
      <c r="BN25" s="7">
        <v>20961721</v>
      </c>
      <c r="BO25" s="7">
        <f t="shared" si="35"/>
        <v>20961721</v>
      </c>
      <c r="BP25" s="7">
        <v>25853361</v>
      </c>
      <c r="BQ25" s="7">
        <v>25853361</v>
      </c>
      <c r="BR25" s="7">
        <v>25853361</v>
      </c>
      <c r="BS25" s="7">
        <v>25853361</v>
      </c>
      <c r="BT25" s="7">
        <v>25853361</v>
      </c>
      <c r="BU25" s="7">
        <v>25853361</v>
      </c>
      <c r="BV25" s="7">
        <v>25853361</v>
      </c>
      <c r="BW25" s="7">
        <v>21612552</v>
      </c>
      <c r="BX25" s="7">
        <v>17506566</v>
      </c>
      <c r="BY25" s="7">
        <v>17506566</v>
      </c>
      <c r="BZ25" s="7">
        <v>17506566</v>
      </c>
      <c r="CA25" s="7">
        <v>15189077</v>
      </c>
      <c r="CB25" s="7">
        <f t="shared" si="36"/>
        <v>15189077</v>
      </c>
      <c r="CC25" s="7">
        <v>22096777</v>
      </c>
      <c r="CD25" s="7">
        <v>22096777</v>
      </c>
      <c r="CE25" s="7">
        <v>22096777</v>
      </c>
      <c r="CF25" s="7">
        <v>22096777</v>
      </c>
      <c r="CG25" s="7">
        <v>8619318</v>
      </c>
      <c r="CH25" s="7">
        <v>8619318</v>
      </c>
      <c r="CI25" s="7">
        <v>8619318</v>
      </c>
      <c r="CJ25" s="7">
        <v>8619318</v>
      </c>
      <c r="CK25" s="7">
        <v>8619318</v>
      </c>
      <c r="CL25" s="7">
        <v>8619318</v>
      </c>
      <c r="CM25" s="7">
        <v>5194154</v>
      </c>
      <c r="CN25" s="7">
        <v>5194154</v>
      </c>
      <c r="CO25" s="7">
        <f t="shared" si="37"/>
        <v>5194154</v>
      </c>
      <c r="CP25" s="7">
        <v>15515216</v>
      </c>
      <c r="CQ25" s="7">
        <v>17211034</v>
      </c>
      <c r="CR25" s="7">
        <v>17211034</v>
      </c>
      <c r="CS25" s="7">
        <v>17211034</v>
      </c>
      <c r="CT25" s="7">
        <v>17211034</v>
      </c>
      <c r="CU25" s="7">
        <v>15949460</v>
      </c>
      <c r="CV25" s="7">
        <v>15949460</v>
      </c>
      <c r="CW25" s="7">
        <v>15949460</v>
      </c>
      <c r="CX25" s="7">
        <v>15514843</v>
      </c>
      <c r="CY25" s="7">
        <v>15514843</v>
      </c>
      <c r="CZ25" s="7">
        <v>15514843</v>
      </c>
      <c r="DA25" s="7">
        <f>7205919+7501242</f>
        <v>14707161</v>
      </c>
      <c r="DB25" s="7">
        <f t="shared" si="38"/>
        <v>14707161</v>
      </c>
      <c r="DC25" s="7">
        <v>31608353</v>
      </c>
      <c r="DD25" s="7">
        <v>31608353</v>
      </c>
      <c r="DE25" s="7">
        <v>19272005</v>
      </c>
      <c r="DF25" s="7">
        <v>19272005</v>
      </c>
      <c r="DG25" s="7">
        <v>19272005</v>
      </c>
      <c r="DH25" s="7">
        <v>18848017</v>
      </c>
      <c r="DI25" s="7">
        <v>8974172</v>
      </c>
      <c r="DJ25" s="7">
        <v>8890172</v>
      </c>
      <c r="DK25" s="7">
        <v>8890172</v>
      </c>
      <c r="DL25" s="7">
        <v>8663807</v>
      </c>
      <c r="DM25" s="7">
        <v>7863807</v>
      </c>
      <c r="DN25" s="7">
        <v>7392258</v>
      </c>
      <c r="DO25" s="7">
        <f t="shared" si="39"/>
        <v>7392258</v>
      </c>
      <c r="DP25" s="7">
        <v>37590026</v>
      </c>
      <c r="DQ25" s="7">
        <v>36790026</v>
      </c>
      <c r="DR25" s="7">
        <v>36790026</v>
      </c>
      <c r="DS25" s="7">
        <v>36790026</v>
      </c>
      <c r="DT25" s="7">
        <v>36790026</v>
      </c>
      <c r="DU25" s="7">
        <v>32790026</v>
      </c>
      <c r="DV25" s="7">
        <v>32790026</v>
      </c>
      <c r="DW25" s="7">
        <v>32707536</v>
      </c>
      <c r="DX25" s="7">
        <v>32707536</v>
      </c>
      <c r="DY25" s="7">
        <v>31426536</v>
      </c>
      <c r="DZ25" s="7">
        <v>8720551</v>
      </c>
      <c r="EA25" s="7">
        <v>8559879</v>
      </c>
      <c r="EB25" s="7">
        <f t="shared" si="40"/>
        <v>8559879</v>
      </c>
      <c r="EC25" s="7">
        <v>44570138</v>
      </c>
      <c r="ED25" s="7">
        <v>44570138</v>
      </c>
      <c r="EE25" s="7">
        <v>44570138</v>
      </c>
      <c r="EF25" s="7">
        <v>44570138</v>
      </c>
      <c r="EG25" s="7">
        <v>44670138</v>
      </c>
      <c r="EH25" s="7">
        <v>44670138</v>
      </c>
      <c r="EI25" s="7">
        <v>44670138</v>
      </c>
      <c r="EJ25" s="7">
        <v>41933638</v>
      </c>
      <c r="EK25" s="7">
        <v>41744274</v>
      </c>
      <c r="EL25" s="7">
        <v>41744274</v>
      </c>
      <c r="EM25" s="7">
        <v>41673300</v>
      </c>
      <c r="EN25" s="7">
        <v>33685852</v>
      </c>
      <c r="EO25" s="7">
        <f t="shared" si="41"/>
        <v>33685852</v>
      </c>
      <c r="EP25" s="7">
        <v>57109595</v>
      </c>
      <c r="EQ25" s="7">
        <v>57109595</v>
      </c>
      <c r="ER25" s="7">
        <v>84609595</v>
      </c>
      <c r="ES25" s="7">
        <v>84609595</v>
      </c>
      <c r="ET25" s="7">
        <v>77572649</v>
      </c>
      <c r="EU25" s="7">
        <v>77572649</v>
      </c>
      <c r="EV25" s="7">
        <v>77594122</v>
      </c>
      <c r="EW25" s="7">
        <v>77456003</v>
      </c>
      <c r="EX25" s="7">
        <v>77456003</v>
      </c>
      <c r="EY25" s="7">
        <v>77456003</v>
      </c>
      <c r="EZ25" s="7">
        <v>77456003</v>
      </c>
      <c r="FA25" s="7">
        <v>55621639</v>
      </c>
      <c r="FB25" s="7">
        <f t="shared" si="42"/>
        <v>55621639</v>
      </c>
      <c r="FC25" s="7">
        <v>30479549</v>
      </c>
      <c r="FD25" s="7">
        <v>30479549</v>
      </c>
      <c r="FE25" s="7">
        <v>30479549</v>
      </c>
      <c r="FF25" s="7">
        <v>30479549</v>
      </c>
      <c r="FG25" s="7">
        <v>29565163</v>
      </c>
      <c r="FH25" s="7">
        <v>29565163</v>
      </c>
      <c r="FI25" s="7">
        <v>29565163</v>
      </c>
      <c r="FO25" s="7">
        <f t="shared" si="43"/>
        <v>29565163</v>
      </c>
    </row>
    <row r="26" spans="2:171" ht="22.05" customHeight="1" x14ac:dyDescent="0.3">
      <c r="B26" s="4" t="s">
        <v>104</v>
      </c>
      <c r="C26" s="8">
        <f t="shared" ref="C26:AH26" si="44">SUM(C20:C25)</f>
        <v>1080148659</v>
      </c>
      <c r="D26" s="8">
        <f t="shared" si="44"/>
        <v>1080148659</v>
      </c>
      <c r="E26" s="8">
        <f t="shared" si="44"/>
        <v>1071131859</v>
      </c>
      <c r="F26" s="8">
        <f t="shared" si="44"/>
        <v>1071131859</v>
      </c>
      <c r="G26" s="8">
        <f t="shared" si="44"/>
        <v>1073601859</v>
      </c>
      <c r="H26" s="8">
        <f t="shared" si="44"/>
        <v>1081551893</v>
      </c>
      <c r="I26" s="8">
        <f t="shared" si="44"/>
        <v>1079440686</v>
      </c>
      <c r="J26" s="8">
        <f t="shared" si="44"/>
        <v>1105918828</v>
      </c>
      <c r="K26" s="8">
        <f t="shared" si="44"/>
        <v>1106918828</v>
      </c>
      <c r="L26" s="8">
        <f t="shared" si="44"/>
        <v>1140481050</v>
      </c>
      <c r="M26" s="8">
        <f t="shared" si="44"/>
        <v>1141225993</v>
      </c>
      <c r="N26" s="8">
        <f t="shared" si="44"/>
        <v>1152655931</v>
      </c>
      <c r="O26" s="8">
        <f t="shared" si="44"/>
        <v>1152655931</v>
      </c>
      <c r="P26" s="8">
        <f t="shared" si="44"/>
        <v>1276641076</v>
      </c>
      <c r="Q26" s="8">
        <f t="shared" si="44"/>
        <v>1278034767</v>
      </c>
      <c r="R26" s="8">
        <f t="shared" si="44"/>
        <v>1271653468</v>
      </c>
      <c r="S26" s="8">
        <f t="shared" si="44"/>
        <v>1263693468</v>
      </c>
      <c r="T26" s="8">
        <f t="shared" si="44"/>
        <v>1268169469</v>
      </c>
      <c r="U26" s="8">
        <f t="shared" si="44"/>
        <v>1281685388</v>
      </c>
      <c r="V26" s="8">
        <f t="shared" si="44"/>
        <v>1281585388</v>
      </c>
      <c r="W26" s="8">
        <f t="shared" si="44"/>
        <v>1281635620</v>
      </c>
      <c r="X26" s="8">
        <f t="shared" si="44"/>
        <v>1281435620</v>
      </c>
      <c r="Y26" s="8">
        <f t="shared" si="44"/>
        <v>1281435620</v>
      </c>
      <c r="Z26" s="8">
        <f t="shared" si="44"/>
        <v>1317437791</v>
      </c>
      <c r="AA26" s="8">
        <f t="shared" si="44"/>
        <v>1312772085</v>
      </c>
      <c r="AB26" s="8">
        <f t="shared" si="44"/>
        <v>1312772085</v>
      </c>
      <c r="AC26" s="8">
        <f t="shared" si="44"/>
        <v>1271630624</v>
      </c>
      <c r="AD26" s="8">
        <f t="shared" si="44"/>
        <v>1265450624</v>
      </c>
      <c r="AE26" s="8">
        <f t="shared" si="44"/>
        <v>1274140415</v>
      </c>
      <c r="AF26" s="8">
        <f t="shared" si="44"/>
        <v>1271859243</v>
      </c>
      <c r="AG26" s="8">
        <f t="shared" si="44"/>
        <v>1271859243</v>
      </c>
      <c r="AH26" s="8">
        <f t="shared" si="44"/>
        <v>1271285243</v>
      </c>
      <c r="AI26" s="8">
        <f t="shared" ref="AI26:BN26" si="45">SUM(AI20:AI25)</f>
        <v>1271285243</v>
      </c>
      <c r="AJ26" s="8">
        <f t="shared" si="45"/>
        <v>1271285243</v>
      </c>
      <c r="AK26" s="8">
        <f t="shared" si="45"/>
        <v>1268998729</v>
      </c>
      <c r="AL26" s="8">
        <f t="shared" si="45"/>
        <v>1268536729</v>
      </c>
      <c r="AM26" s="8">
        <f t="shared" si="45"/>
        <v>1272588550</v>
      </c>
      <c r="AN26" s="8">
        <f t="shared" si="45"/>
        <v>1273997249</v>
      </c>
      <c r="AO26" s="8">
        <f t="shared" si="45"/>
        <v>1273997249</v>
      </c>
      <c r="AP26" s="8">
        <f t="shared" si="45"/>
        <v>1335873679</v>
      </c>
      <c r="AQ26" s="8">
        <f t="shared" si="45"/>
        <v>1335873679</v>
      </c>
      <c r="AR26" s="8">
        <f t="shared" si="45"/>
        <v>1335595679</v>
      </c>
      <c r="AS26" s="8">
        <f t="shared" si="45"/>
        <v>1335595679</v>
      </c>
      <c r="AT26" s="8">
        <f t="shared" si="45"/>
        <v>1335395679</v>
      </c>
      <c r="AU26" s="8">
        <f t="shared" si="45"/>
        <v>1328115656</v>
      </c>
      <c r="AV26" s="8">
        <f t="shared" si="45"/>
        <v>1327751058</v>
      </c>
      <c r="AW26" s="8">
        <f t="shared" si="45"/>
        <v>1327269558</v>
      </c>
      <c r="AX26" s="8">
        <f t="shared" si="45"/>
        <v>1327269558</v>
      </c>
      <c r="AY26" s="8">
        <f t="shared" si="45"/>
        <v>1326090018</v>
      </c>
      <c r="AZ26" s="8">
        <f t="shared" si="45"/>
        <v>1325833018</v>
      </c>
      <c r="BA26" s="8">
        <f t="shared" si="45"/>
        <v>1299235769</v>
      </c>
      <c r="BB26" s="8">
        <f t="shared" si="45"/>
        <v>1299235769</v>
      </c>
      <c r="BC26" s="8">
        <f t="shared" si="45"/>
        <v>1355870741</v>
      </c>
      <c r="BD26" s="8">
        <f t="shared" si="45"/>
        <v>1355870741</v>
      </c>
      <c r="BE26" s="8">
        <f t="shared" si="45"/>
        <v>1349975657</v>
      </c>
      <c r="BF26" s="8">
        <f t="shared" si="45"/>
        <v>1355203917</v>
      </c>
      <c r="BG26" s="8">
        <f t="shared" si="45"/>
        <v>1354829618</v>
      </c>
      <c r="BH26" s="8">
        <f t="shared" si="45"/>
        <v>1354829618</v>
      </c>
      <c r="BI26" s="8">
        <f t="shared" si="45"/>
        <v>1352501963</v>
      </c>
      <c r="BJ26" s="8">
        <f t="shared" si="45"/>
        <v>1352466963</v>
      </c>
      <c r="BK26" s="8">
        <f t="shared" si="45"/>
        <v>1352466963</v>
      </c>
      <c r="BL26" s="8">
        <f t="shared" si="45"/>
        <v>1352326589</v>
      </c>
      <c r="BM26" s="8">
        <f t="shared" si="45"/>
        <v>1351862338</v>
      </c>
      <c r="BN26" s="8">
        <f t="shared" si="45"/>
        <v>1242633625</v>
      </c>
      <c r="BO26" s="8">
        <f t="shared" ref="BO26:CT26" si="46">SUM(BO20:BO25)</f>
        <v>1242633625</v>
      </c>
      <c r="BP26" s="8">
        <f t="shared" si="46"/>
        <v>1449083657</v>
      </c>
      <c r="BQ26" s="8">
        <f t="shared" si="46"/>
        <v>1449083657</v>
      </c>
      <c r="BR26" s="8">
        <f t="shared" si="46"/>
        <v>1449083657</v>
      </c>
      <c r="BS26" s="8">
        <f t="shared" si="46"/>
        <v>1454541727</v>
      </c>
      <c r="BT26" s="8">
        <f t="shared" si="46"/>
        <v>1459053227</v>
      </c>
      <c r="BU26" s="8">
        <f t="shared" si="46"/>
        <v>1454221227</v>
      </c>
      <c r="BV26" s="8">
        <f t="shared" si="46"/>
        <v>1454186977</v>
      </c>
      <c r="BW26" s="8">
        <f t="shared" si="46"/>
        <v>1475322182</v>
      </c>
      <c r="BX26" s="8">
        <f t="shared" si="46"/>
        <v>1486286509</v>
      </c>
      <c r="BY26" s="8">
        <f t="shared" si="46"/>
        <v>1486286509</v>
      </c>
      <c r="BZ26" s="8">
        <f t="shared" si="46"/>
        <v>1486286509</v>
      </c>
      <c r="CA26" s="8">
        <f t="shared" si="46"/>
        <v>1467911651</v>
      </c>
      <c r="CB26" s="8">
        <f t="shared" si="46"/>
        <v>1467911651</v>
      </c>
      <c r="CC26" s="8">
        <f t="shared" si="46"/>
        <v>1573755895</v>
      </c>
      <c r="CD26" s="8">
        <f t="shared" si="46"/>
        <v>1576451637</v>
      </c>
      <c r="CE26" s="8">
        <f t="shared" si="46"/>
        <v>1697884627</v>
      </c>
      <c r="CF26" s="8">
        <f t="shared" si="46"/>
        <v>1728547974</v>
      </c>
      <c r="CG26" s="8">
        <f t="shared" si="46"/>
        <v>1670762616</v>
      </c>
      <c r="CH26" s="8">
        <f t="shared" si="46"/>
        <v>1670762616</v>
      </c>
      <c r="CI26" s="8">
        <f t="shared" si="46"/>
        <v>1664492311</v>
      </c>
      <c r="CJ26" s="8">
        <f t="shared" si="46"/>
        <v>1663336097</v>
      </c>
      <c r="CK26" s="8">
        <f t="shared" si="46"/>
        <v>1663336097</v>
      </c>
      <c r="CL26" s="8">
        <f t="shared" si="46"/>
        <v>1644256567</v>
      </c>
      <c r="CM26" s="8">
        <f t="shared" si="46"/>
        <v>1639578872</v>
      </c>
      <c r="CN26" s="8">
        <f t="shared" si="46"/>
        <v>1387377215</v>
      </c>
      <c r="CO26" s="8">
        <f t="shared" si="46"/>
        <v>1387377215</v>
      </c>
      <c r="CP26" s="8">
        <f t="shared" si="46"/>
        <v>1656601217</v>
      </c>
      <c r="CQ26" s="8">
        <f t="shared" si="46"/>
        <v>1658297035</v>
      </c>
      <c r="CR26" s="8">
        <f t="shared" si="46"/>
        <v>1573329457</v>
      </c>
      <c r="CS26" s="8">
        <f t="shared" si="46"/>
        <v>1501062406</v>
      </c>
      <c r="CT26" s="8">
        <f t="shared" si="46"/>
        <v>1494179089</v>
      </c>
      <c r="CU26" s="8">
        <f t="shared" ref="CU26:DZ26" si="47">SUM(CU20:CU25)</f>
        <v>1492895515</v>
      </c>
      <c r="CV26" s="8">
        <f t="shared" si="47"/>
        <v>1492895515</v>
      </c>
      <c r="CW26" s="8">
        <f t="shared" si="47"/>
        <v>1492794345</v>
      </c>
      <c r="CX26" s="8">
        <f t="shared" si="47"/>
        <v>1492359728</v>
      </c>
      <c r="CY26" s="8">
        <f t="shared" si="47"/>
        <v>1479961918</v>
      </c>
      <c r="CZ26" s="8">
        <f t="shared" si="47"/>
        <v>1479868918</v>
      </c>
      <c r="DA26" s="8">
        <f t="shared" si="47"/>
        <v>1571143934</v>
      </c>
      <c r="DB26" s="8">
        <f t="shared" si="47"/>
        <v>1571143934</v>
      </c>
      <c r="DC26" s="8">
        <f t="shared" si="47"/>
        <v>1687387038</v>
      </c>
      <c r="DD26" s="8">
        <f t="shared" si="47"/>
        <v>1687387038</v>
      </c>
      <c r="DE26" s="8">
        <f t="shared" si="47"/>
        <v>1674694263</v>
      </c>
      <c r="DF26" s="8">
        <f t="shared" si="47"/>
        <v>1674694263</v>
      </c>
      <c r="DG26" s="8">
        <f t="shared" si="47"/>
        <v>1673012224</v>
      </c>
      <c r="DH26" s="8">
        <f t="shared" si="47"/>
        <v>1672155236</v>
      </c>
      <c r="DI26" s="8">
        <f t="shared" si="47"/>
        <v>1536687279</v>
      </c>
      <c r="DJ26" s="8">
        <f t="shared" si="47"/>
        <v>1536429413</v>
      </c>
      <c r="DK26" s="8">
        <f t="shared" si="47"/>
        <v>1523864338</v>
      </c>
      <c r="DL26" s="8">
        <f t="shared" si="47"/>
        <v>1502475884</v>
      </c>
      <c r="DM26" s="8">
        <f t="shared" si="47"/>
        <v>1501070667</v>
      </c>
      <c r="DN26" s="8">
        <f t="shared" si="47"/>
        <v>1346426128</v>
      </c>
      <c r="DO26" s="8">
        <f t="shared" si="47"/>
        <v>1346426128</v>
      </c>
      <c r="DP26" s="8">
        <f t="shared" si="47"/>
        <v>2791307442</v>
      </c>
      <c r="DQ26" s="8">
        <f t="shared" si="47"/>
        <v>2790507442</v>
      </c>
      <c r="DR26" s="8">
        <f t="shared" si="47"/>
        <v>2790507442</v>
      </c>
      <c r="DS26" s="8">
        <f t="shared" si="47"/>
        <v>2770549256</v>
      </c>
      <c r="DT26" s="8">
        <f t="shared" si="47"/>
        <v>2726813516</v>
      </c>
      <c r="DU26" s="8">
        <f t="shared" si="47"/>
        <v>2588270533</v>
      </c>
      <c r="DV26" s="8">
        <f t="shared" si="47"/>
        <v>2586428488</v>
      </c>
      <c r="DW26" s="8">
        <f t="shared" si="47"/>
        <v>2428591428</v>
      </c>
      <c r="DX26" s="8">
        <f t="shared" si="47"/>
        <v>2425410755</v>
      </c>
      <c r="DY26" s="8">
        <f t="shared" si="47"/>
        <v>2326135673</v>
      </c>
      <c r="DZ26" s="8">
        <f t="shared" si="47"/>
        <v>2269322672</v>
      </c>
      <c r="EA26" s="8">
        <f t="shared" ref="EA26:FF26" si="48">SUM(EA20:EA25)</f>
        <v>2112919871</v>
      </c>
      <c r="EB26" s="8">
        <f t="shared" si="48"/>
        <v>2112919871</v>
      </c>
      <c r="EC26" s="8">
        <f t="shared" si="48"/>
        <v>2933512941</v>
      </c>
      <c r="ED26" s="8">
        <f t="shared" si="48"/>
        <v>2933512941</v>
      </c>
      <c r="EE26" s="8">
        <f t="shared" si="48"/>
        <v>2863576106</v>
      </c>
      <c r="EF26" s="8">
        <f t="shared" si="48"/>
        <v>2778757838</v>
      </c>
      <c r="EG26" s="8">
        <f t="shared" si="48"/>
        <v>2778428042</v>
      </c>
      <c r="EH26" s="8">
        <f t="shared" si="48"/>
        <v>2758350042</v>
      </c>
      <c r="EI26" s="8">
        <f t="shared" si="48"/>
        <v>2758350042</v>
      </c>
      <c r="EJ26" s="8">
        <f t="shared" si="48"/>
        <v>2754543776</v>
      </c>
      <c r="EK26" s="8">
        <f t="shared" si="48"/>
        <v>2753054412</v>
      </c>
      <c r="EL26" s="8">
        <f t="shared" si="48"/>
        <v>2747092009</v>
      </c>
      <c r="EM26" s="8">
        <f t="shared" si="48"/>
        <v>2709296633</v>
      </c>
      <c r="EN26" s="8">
        <f t="shared" si="48"/>
        <v>2323820848</v>
      </c>
      <c r="EO26" s="8">
        <f t="shared" si="48"/>
        <v>2323820848</v>
      </c>
      <c r="EP26" s="8">
        <f t="shared" si="48"/>
        <v>3045180505</v>
      </c>
      <c r="EQ26" s="8">
        <f t="shared" si="48"/>
        <v>3045180505</v>
      </c>
      <c r="ER26" s="8">
        <f t="shared" si="48"/>
        <v>3050680505</v>
      </c>
      <c r="ES26" s="8">
        <f t="shared" si="48"/>
        <v>3050546505</v>
      </c>
      <c r="ET26" s="8">
        <f t="shared" si="48"/>
        <v>3042210505</v>
      </c>
      <c r="EU26" s="8">
        <f t="shared" si="48"/>
        <v>2895202922</v>
      </c>
      <c r="EV26" s="8">
        <f t="shared" si="48"/>
        <v>2906266133</v>
      </c>
      <c r="EW26" s="8">
        <f t="shared" si="48"/>
        <v>2906128014</v>
      </c>
      <c r="EX26" s="8">
        <f t="shared" si="48"/>
        <v>2906128014</v>
      </c>
      <c r="EY26" s="8">
        <f t="shared" si="48"/>
        <v>2896128014</v>
      </c>
      <c r="EZ26" s="8">
        <f t="shared" si="48"/>
        <v>2896128014</v>
      </c>
      <c r="FA26" s="8">
        <f t="shared" si="48"/>
        <v>2808364330</v>
      </c>
      <c r="FB26" s="8">
        <f t="shared" si="48"/>
        <v>2808364330</v>
      </c>
      <c r="FC26" s="8">
        <f t="shared" si="48"/>
        <v>2705505486</v>
      </c>
      <c r="FD26" s="8">
        <f t="shared" si="48"/>
        <v>2705505486</v>
      </c>
      <c r="FE26" s="8">
        <f t="shared" si="48"/>
        <v>2647697449</v>
      </c>
      <c r="FF26" s="8">
        <f t="shared" si="48"/>
        <v>2647697449</v>
      </c>
      <c r="FG26" s="8">
        <f t="shared" ref="FG26:GL26" si="49">SUM(FG20:FG25)</f>
        <v>2538107997</v>
      </c>
      <c r="FH26" s="8">
        <f t="shared" si="49"/>
        <v>2537552997</v>
      </c>
      <c r="FI26" s="8">
        <f t="shared" si="49"/>
        <v>2537552997</v>
      </c>
      <c r="FJ26" s="8">
        <f t="shared" si="49"/>
        <v>0</v>
      </c>
      <c r="FK26" s="8">
        <f t="shared" si="49"/>
        <v>0</v>
      </c>
      <c r="FL26" s="8">
        <f t="shared" si="49"/>
        <v>0</v>
      </c>
      <c r="FM26" s="8">
        <f t="shared" si="49"/>
        <v>0</v>
      </c>
      <c r="FN26" s="8">
        <f t="shared" si="49"/>
        <v>0</v>
      </c>
      <c r="FO26" s="8">
        <f t="shared" si="49"/>
        <v>2537552997</v>
      </c>
    </row>
    <row r="27" spans="2:171" x14ac:dyDescent="0.3">
      <c r="B27" s="2" t="s">
        <v>107</v>
      </c>
    </row>
    <row r="29" spans="2:171" ht="16.05" customHeight="1" x14ac:dyDescent="0.3">
      <c r="B29" s="60" t="s">
        <v>108</v>
      </c>
      <c r="C29" s="57"/>
      <c r="D29" s="57"/>
      <c r="E29" s="57"/>
      <c r="F29" s="57"/>
      <c r="G29" s="57"/>
      <c r="H29" s="57"/>
      <c r="I29" s="57"/>
      <c r="J29" s="57"/>
      <c r="K29" s="57"/>
      <c r="L29" s="57"/>
      <c r="M29" s="57"/>
      <c r="N29" s="57"/>
      <c r="O29" s="57"/>
      <c r="P29" s="57"/>
      <c r="Q29" s="57"/>
      <c r="R29" s="57"/>
      <c r="S29" s="57"/>
      <c r="T29" s="57"/>
      <c r="U29" s="57"/>
      <c r="V29" s="57"/>
      <c r="W29" s="57"/>
      <c r="X29" s="57"/>
      <c r="Y29" s="57"/>
      <c r="Z29" s="57"/>
      <c r="AA29" s="57"/>
      <c r="AB29" s="57"/>
      <c r="AC29" s="57"/>
      <c r="AD29" s="57"/>
      <c r="AE29" s="57"/>
      <c r="AF29" s="57"/>
      <c r="AG29" s="57"/>
      <c r="AH29" s="57"/>
      <c r="AI29" s="57"/>
      <c r="AJ29" s="57"/>
      <c r="AK29" s="57"/>
      <c r="AL29" s="57"/>
      <c r="AM29" s="57"/>
      <c r="AN29" s="57"/>
      <c r="AO29" s="57"/>
      <c r="AP29" s="57"/>
      <c r="AQ29" s="57"/>
      <c r="AR29" s="57"/>
      <c r="AS29" s="57"/>
      <c r="AT29" s="57"/>
      <c r="AU29" s="57"/>
      <c r="AV29" s="57"/>
      <c r="AW29" s="57"/>
      <c r="AX29" s="57"/>
      <c r="AY29" s="57"/>
      <c r="AZ29" s="57"/>
      <c r="BA29" s="57"/>
      <c r="BB29" s="57"/>
      <c r="BC29" s="57"/>
      <c r="BD29" s="57"/>
      <c r="BE29" s="57"/>
      <c r="BF29" s="57"/>
      <c r="BG29" s="57"/>
      <c r="BH29" s="57"/>
      <c r="BI29" s="57"/>
      <c r="BJ29" s="57"/>
      <c r="BK29" s="57"/>
      <c r="BL29" s="57"/>
      <c r="BM29" s="57"/>
      <c r="BN29" s="57"/>
      <c r="BO29" s="57"/>
      <c r="BP29" s="57"/>
      <c r="BQ29" s="57"/>
      <c r="BR29" s="57"/>
      <c r="BS29" s="57"/>
      <c r="BT29" s="57"/>
      <c r="BU29" s="57"/>
      <c r="BV29" s="57"/>
      <c r="BW29" s="57"/>
      <c r="BX29" s="57"/>
      <c r="BY29" s="57"/>
      <c r="BZ29" s="57"/>
      <c r="CA29" s="57"/>
      <c r="CB29" s="57"/>
      <c r="CC29" s="57"/>
      <c r="CD29" s="57"/>
      <c r="CE29" s="57"/>
      <c r="CF29" s="57"/>
      <c r="CG29" s="57"/>
      <c r="CH29" s="57"/>
      <c r="CI29" s="57"/>
      <c r="CJ29" s="57"/>
      <c r="CK29" s="57"/>
      <c r="CL29" s="57"/>
      <c r="CM29" s="57"/>
      <c r="CN29" s="57"/>
      <c r="CO29" s="57"/>
      <c r="CP29" s="57"/>
      <c r="CQ29" s="57"/>
      <c r="CR29" s="57"/>
      <c r="CS29" s="57"/>
      <c r="CT29" s="57"/>
      <c r="CU29" s="57"/>
      <c r="CV29" s="57"/>
      <c r="CW29" s="57"/>
      <c r="CX29" s="57"/>
      <c r="CY29" s="57"/>
      <c r="CZ29" s="57"/>
      <c r="DA29" s="57"/>
      <c r="DB29" s="57"/>
      <c r="DC29" s="57"/>
      <c r="DD29" s="57"/>
      <c r="DE29" s="57"/>
      <c r="DF29" s="57"/>
      <c r="DG29" s="57"/>
      <c r="DH29" s="57"/>
      <c r="DI29" s="57"/>
      <c r="DJ29" s="57"/>
      <c r="DK29" s="57"/>
      <c r="DL29" s="57"/>
      <c r="DM29" s="57"/>
      <c r="DN29" s="57"/>
      <c r="DO29" s="57"/>
      <c r="DP29" s="57"/>
      <c r="DQ29" s="57"/>
      <c r="DR29" s="57"/>
      <c r="DS29" s="57"/>
      <c r="DT29" s="57"/>
      <c r="DU29" s="57"/>
      <c r="DV29" s="57"/>
      <c r="DW29" s="57"/>
      <c r="DX29" s="57"/>
      <c r="DY29" s="57"/>
      <c r="DZ29" s="57"/>
      <c r="EA29" s="57"/>
      <c r="EB29" s="57"/>
      <c r="EC29" s="57"/>
      <c r="ED29" s="57"/>
      <c r="EE29" s="57"/>
      <c r="EF29" s="57"/>
      <c r="EG29" s="57"/>
      <c r="EH29" s="57"/>
      <c r="EI29" s="57"/>
      <c r="EJ29" s="57"/>
      <c r="EK29" s="57"/>
      <c r="EL29" s="57"/>
      <c r="EM29" s="57"/>
      <c r="EN29" s="57"/>
      <c r="EO29" s="57"/>
      <c r="EP29" s="57"/>
      <c r="EQ29" s="57"/>
      <c r="ER29" s="57"/>
      <c r="ES29" s="57"/>
      <c r="ET29" s="57"/>
      <c r="EU29" s="57"/>
      <c r="EV29" s="57"/>
      <c r="EW29" s="57"/>
      <c r="EX29" s="57"/>
      <c r="EY29" s="57"/>
      <c r="EZ29" s="57"/>
      <c r="FA29" s="57"/>
      <c r="FB29" s="57"/>
      <c r="FC29" s="57"/>
      <c r="FD29" s="57"/>
      <c r="FE29" s="57"/>
      <c r="FF29" s="57"/>
      <c r="FG29" s="57"/>
      <c r="FH29" s="57"/>
      <c r="FI29" s="57"/>
      <c r="FJ29" s="57"/>
      <c r="FK29" s="57"/>
      <c r="FL29" s="57"/>
      <c r="FM29" s="57"/>
      <c r="FN29" s="57"/>
      <c r="FO29" s="57"/>
    </row>
    <row r="30" spans="2:171" ht="22.05" customHeight="1" x14ac:dyDescent="0.3">
      <c r="B30" s="3"/>
      <c r="C30" s="58" t="s">
        <v>77</v>
      </c>
      <c r="D30" s="59"/>
      <c r="E30" s="59"/>
      <c r="F30" s="59"/>
      <c r="G30" s="59"/>
      <c r="H30" s="59"/>
      <c r="I30" s="59"/>
      <c r="J30" s="59"/>
      <c r="K30" s="59"/>
      <c r="L30" s="59"/>
      <c r="M30" s="59"/>
      <c r="N30" s="59"/>
      <c r="O30" s="59"/>
      <c r="P30" s="58" t="s">
        <v>78</v>
      </c>
      <c r="Q30" s="59"/>
      <c r="R30" s="59"/>
      <c r="S30" s="59"/>
      <c r="T30" s="59"/>
      <c r="U30" s="59"/>
      <c r="V30" s="59"/>
      <c r="W30" s="59"/>
      <c r="X30" s="59"/>
      <c r="Y30" s="59"/>
      <c r="Z30" s="59"/>
      <c r="AA30" s="59"/>
      <c r="AB30" s="59"/>
      <c r="AC30" s="58" t="s">
        <v>79</v>
      </c>
      <c r="AD30" s="59"/>
      <c r="AE30" s="59"/>
      <c r="AF30" s="59"/>
      <c r="AG30" s="59"/>
      <c r="AH30" s="59"/>
      <c r="AI30" s="59"/>
      <c r="AJ30" s="59"/>
      <c r="AK30" s="59"/>
      <c r="AL30" s="59"/>
      <c r="AM30" s="59"/>
      <c r="AN30" s="59"/>
      <c r="AO30" s="59"/>
      <c r="AP30" s="58" t="s">
        <v>80</v>
      </c>
      <c r="AQ30" s="59"/>
      <c r="AR30" s="59"/>
      <c r="AS30" s="59"/>
      <c r="AT30" s="59"/>
      <c r="AU30" s="59"/>
      <c r="AV30" s="59"/>
      <c r="AW30" s="59"/>
      <c r="AX30" s="59"/>
      <c r="AY30" s="59"/>
      <c r="AZ30" s="59"/>
      <c r="BA30" s="59"/>
      <c r="BB30" s="59"/>
      <c r="BC30" s="58" t="s">
        <v>81</v>
      </c>
      <c r="BD30" s="59"/>
      <c r="BE30" s="59"/>
      <c r="BF30" s="59"/>
      <c r="BG30" s="59"/>
      <c r="BH30" s="59"/>
      <c r="BI30" s="59"/>
      <c r="BJ30" s="59"/>
      <c r="BK30" s="59"/>
      <c r="BL30" s="59"/>
      <c r="BM30" s="59"/>
      <c r="BN30" s="59"/>
      <c r="BO30" s="59"/>
      <c r="BP30" s="58" t="s">
        <v>82</v>
      </c>
      <c r="BQ30" s="59"/>
      <c r="BR30" s="59"/>
      <c r="BS30" s="59"/>
      <c r="BT30" s="59"/>
      <c r="BU30" s="59"/>
      <c r="BV30" s="59"/>
      <c r="BW30" s="59"/>
      <c r="BX30" s="59"/>
      <c r="BY30" s="59"/>
      <c r="BZ30" s="59"/>
      <c r="CA30" s="59"/>
      <c r="CB30" s="59"/>
      <c r="CC30" s="58" t="s">
        <v>83</v>
      </c>
      <c r="CD30" s="59"/>
      <c r="CE30" s="59"/>
      <c r="CF30" s="59"/>
      <c r="CG30" s="59"/>
      <c r="CH30" s="59"/>
      <c r="CI30" s="59"/>
      <c r="CJ30" s="59"/>
      <c r="CK30" s="59"/>
      <c r="CL30" s="59"/>
      <c r="CM30" s="59"/>
      <c r="CN30" s="59"/>
      <c r="CO30" s="59"/>
      <c r="CP30" s="58" t="s">
        <v>84</v>
      </c>
      <c r="CQ30" s="59"/>
      <c r="CR30" s="59"/>
      <c r="CS30" s="59"/>
      <c r="CT30" s="59"/>
      <c r="CU30" s="59"/>
      <c r="CV30" s="59"/>
      <c r="CW30" s="59"/>
      <c r="CX30" s="59"/>
      <c r="CY30" s="59"/>
      <c r="CZ30" s="59"/>
      <c r="DA30" s="59"/>
      <c r="DB30" s="59"/>
      <c r="DC30" s="58" t="s">
        <v>85</v>
      </c>
      <c r="DD30" s="59"/>
      <c r="DE30" s="59"/>
      <c r="DF30" s="59"/>
      <c r="DG30" s="59"/>
      <c r="DH30" s="59"/>
      <c r="DI30" s="59"/>
      <c r="DJ30" s="59"/>
      <c r="DK30" s="59"/>
      <c r="DL30" s="59"/>
      <c r="DM30" s="59"/>
      <c r="DN30" s="59"/>
      <c r="DO30" s="59"/>
      <c r="DP30" s="58" t="s">
        <v>86</v>
      </c>
      <c r="DQ30" s="59"/>
      <c r="DR30" s="59"/>
      <c r="DS30" s="59"/>
      <c r="DT30" s="59"/>
      <c r="DU30" s="59"/>
      <c r="DV30" s="59"/>
      <c r="DW30" s="59"/>
      <c r="DX30" s="59"/>
      <c r="DY30" s="59"/>
      <c r="DZ30" s="59"/>
      <c r="EA30" s="59"/>
      <c r="EB30" s="59"/>
      <c r="EC30" s="58" t="s">
        <v>87</v>
      </c>
      <c r="ED30" s="59"/>
      <c r="EE30" s="59"/>
      <c r="EF30" s="59"/>
      <c r="EG30" s="59"/>
      <c r="EH30" s="59"/>
      <c r="EI30" s="59"/>
      <c r="EJ30" s="59"/>
      <c r="EK30" s="59"/>
      <c r="EL30" s="59"/>
      <c r="EM30" s="59"/>
      <c r="EN30" s="59"/>
      <c r="EO30" s="59"/>
      <c r="EP30" s="58" t="s">
        <v>88</v>
      </c>
      <c r="EQ30" s="59"/>
      <c r="ER30" s="59"/>
      <c r="ES30" s="59"/>
      <c r="ET30" s="59"/>
      <c r="EU30" s="59"/>
      <c r="EV30" s="59"/>
      <c r="EW30" s="59"/>
      <c r="EX30" s="59"/>
      <c r="EY30" s="59"/>
      <c r="EZ30" s="59"/>
      <c r="FA30" s="59"/>
      <c r="FB30" s="59"/>
      <c r="FC30" s="58" t="s">
        <v>89</v>
      </c>
      <c r="FD30" s="59"/>
      <c r="FE30" s="59"/>
      <c r="FF30" s="59"/>
      <c r="FG30" s="59"/>
      <c r="FH30" s="59"/>
      <c r="FI30" s="59"/>
      <c r="FJ30" s="59"/>
      <c r="FK30" s="59"/>
      <c r="FL30" s="59"/>
      <c r="FM30" s="59"/>
      <c r="FN30" s="59"/>
      <c r="FO30" s="59"/>
    </row>
    <row r="31" spans="2:171" ht="28.05" customHeight="1" x14ac:dyDescent="0.3">
      <c r="B31" s="4" t="s">
        <v>90</v>
      </c>
      <c r="C31" s="5" t="s">
        <v>55</v>
      </c>
      <c r="D31" s="5" t="s">
        <v>56</v>
      </c>
      <c r="E31" s="5" t="s">
        <v>57</v>
      </c>
      <c r="F31" s="5" t="s">
        <v>58</v>
      </c>
      <c r="G31" s="5" t="s">
        <v>59</v>
      </c>
      <c r="H31" s="5" t="s">
        <v>60</v>
      </c>
      <c r="I31" s="5" t="s">
        <v>61</v>
      </c>
      <c r="J31" s="5" t="s">
        <v>62</v>
      </c>
      <c r="K31" s="5" t="s">
        <v>63</v>
      </c>
      <c r="L31" s="5" t="s">
        <v>64</v>
      </c>
      <c r="M31" s="5" t="s">
        <v>65</v>
      </c>
      <c r="N31" s="5" t="s">
        <v>66</v>
      </c>
      <c r="O31" s="5" t="s">
        <v>91</v>
      </c>
      <c r="P31" s="5" t="s">
        <v>55</v>
      </c>
      <c r="Q31" s="5" t="s">
        <v>56</v>
      </c>
      <c r="R31" s="5" t="s">
        <v>57</v>
      </c>
      <c r="S31" s="5" t="s">
        <v>58</v>
      </c>
      <c r="T31" s="5" t="s">
        <v>59</v>
      </c>
      <c r="U31" s="5" t="s">
        <v>60</v>
      </c>
      <c r="V31" s="5" t="s">
        <v>61</v>
      </c>
      <c r="W31" s="5" t="s">
        <v>62</v>
      </c>
      <c r="X31" s="5" t="s">
        <v>63</v>
      </c>
      <c r="Y31" s="5" t="s">
        <v>64</v>
      </c>
      <c r="Z31" s="5" t="s">
        <v>65</v>
      </c>
      <c r="AA31" s="5" t="s">
        <v>66</v>
      </c>
      <c r="AB31" s="5" t="s">
        <v>92</v>
      </c>
      <c r="AC31" s="5" t="s">
        <v>55</v>
      </c>
      <c r="AD31" s="5" t="s">
        <v>56</v>
      </c>
      <c r="AE31" s="5" t="s">
        <v>57</v>
      </c>
      <c r="AF31" s="5" t="s">
        <v>58</v>
      </c>
      <c r="AG31" s="5" t="s">
        <v>59</v>
      </c>
      <c r="AH31" s="5" t="s">
        <v>60</v>
      </c>
      <c r="AI31" s="5" t="s">
        <v>61</v>
      </c>
      <c r="AJ31" s="5" t="s">
        <v>62</v>
      </c>
      <c r="AK31" s="5" t="s">
        <v>63</v>
      </c>
      <c r="AL31" s="5" t="s">
        <v>64</v>
      </c>
      <c r="AM31" s="5" t="s">
        <v>65</v>
      </c>
      <c r="AN31" s="5" t="s">
        <v>66</v>
      </c>
      <c r="AO31" s="5" t="s">
        <v>93</v>
      </c>
      <c r="AP31" s="5" t="s">
        <v>55</v>
      </c>
      <c r="AQ31" s="5" t="s">
        <v>56</v>
      </c>
      <c r="AR31" s="5" t="s">
        <v>57</v>
      </c>
      <c r="AS31" s="5" t="s">
        <v>58</v>
      </c>
      <c r="AT31" s="5" t="s">
        <v>59</v>
      </c>
      <c r="AU31" s="5" t="s">
        <v>60</v>
      </c>
      <c r="AV31" s="5" t="s">
        <v>61</v>
      </c>
      <c r="AW31" s="5" t="s">
        <v>62</v>
      </c>
      <c r="AX31" s="5" t="s">
        <v>63</v>
      </c>
      <c r="AY31" s="5" t="s">
        <v>64</v>
      </c>
      <c r="AZ31" s="5" t="s">
        <v>65</v>
      </c>
      <c r="BA31" s="5" t="s">
        <v>66</v>
      </c>
      <c r="BB31" s="5" t="s">
        <v>94</v>
      </c>
      <c r="BC31" s="5" t="s">
        <v>55</v>
      </c>
      <c r="BD31" s="5" t="s">
        <v>56</v>
      </c>
      <c r="BE31" s="5" t="s">
        <v>57</v>
      </c>
      <c r="BF31" s="5" t="s">
        <v>58</v>
      </c>
      <c r="BG31" s="5" t="s">
        <v>59</v>
      </c>
      <c r="BH31" s="5" t="s">
        <v>60</v>
      </c>
      <c r="BI31" s="5" t="s">
        <v>61</v>
      </c>
      <c r="BJ31" s="5" t="s">
        <v>62</v>
      </c>
      <c r="BK31" s="5" t="s">
        <v>63</v>
      </c>
      <c r="BL31" s="5" t="s">
        <v>64</v>
      </c>
      <c r="BM31" s="5" t="s">
        <v>65</v>
      </c>
      <c r="BN31" s="5" t="s">
        <v>66</v>
      </c>
      <c r="BO31" s="5" t="s">
        <v>95</v>
      </c>
      <c r="BP31" s="5" t="s">
        <v>55</v>
      </c>
      <c r="BQ31" s="5" t="s">
        <v>56</v>
      </c>
      <c r="BR31" s="5" t="s">
        <v>57</v>
      </c>
      <c r="BS31" s="5" t="s">
        <v>58</v>
      </c>
      <c r="BT31" s="5" t="s">
        <v>59</v>
      </c>
      <c r="BU31" s="5" t="s">
        <v>60</v>
      </c>
      <c r="BV31" s="5" t="s">
        <v>61</v>
      </c>
      <c r="BW31" s="5" t="s">
        <v>62</v>
      </c>
      <c r="BX31" s="5" t="s">
        <v>63</v>
      </c>
      <c r="BY31" s="5" t="s">
        <v>64</v>
      </c>
      <c r="BZ31" s="5" t="s">
        <v>65</v>
      </c>
      <c r="CA31" s="5" t="s">
        <v>66</v>
      </c>
      <c r="CB31" s="5" t="s">
        <v>96</v>
      </c>
      <c r="CC31" s="5" t="s">
        <v>55</v>
      </c>
      <c r="CD31" s="5" t="s">
        <v>56</v>
      </c>
      <c r="CE31" s="5" t="s">
        <v>57</v>
      </c>
      <c r="CF31" s="5" t="s">
        <v>58</v>
      </c>
      <c r="CG31" s="5" t="s">
        <v>59</v>
      </c>
      <c r="CH31" s="5" t="s">
        <v>60</v>
      </c>
      <c r="CI31" s="5" t="s">
        <v>61</v>
      </c>
      <c r="CJ31" s="5" t="s">
        <v>62</v>
      </c>
      <c r="CK31" s="5" t="s">
        <v>63</v>
      </c>
      <c r="CL31" s="5" t="s">
        <v>64</v>
      </c>
      <c r="CM31" s="5" t="s">
        <v>65</v>
      </c>
      <c r="CN31" s="5" t="s">
        <v>66</v>
      </c>
      <c r="CO31" s="5" t="s">
        <v>97</v>
      </c>
      <c r="CP31" s="5" t="s">
        <v>55</v>
      </c>
      <c r="CQ31" s="5" t="s">
        <v>56</v>
      </c>
      <c r="CR31" s="5" t="s">
        <v>57</v>
      </c>
      <c r="CS31" s="5" t="s">
        <v>58</v>
      </c>
      <c r="CT31" s="5" t="s">
        <v>59</v>
      </c>
      <c r="CU31" s="5" t="s">
        <v>60</v>
      </c>
      <c r="CV31" s="5" t="s">
        <v>61</v>
      </c>
      <c r="CW31" s="5" t="s">
        <v>62</v>
      </c>
      <c r="CX31" s="5" t="s">
        <v>63</v>
      </c>
      <c r="CY31" s="5" t="s">
        <v>64</v>
      </c>
      <c r="CZ31" s="5" t="s">
        <v>65</v>
      </c>
      <c r="DA31" s="5" t="s">
        <v>66</v>
      </c>
      <c r="DB31" s="5" t="s">
        <v>98</v>
      </c>
      <c r="DC31" s="5" t="s">
        <v>55</v>
      </c>
      <c r="DD31" s="5" t="s">
        <v>56</v>
      </c>
      <c r="DE31" s="5" t="s">
        <v>57</v>
      </c>
      <c r="DF31" s="5" t="s">
        <v>58</v>
      </c>
      <c r="DG31" s="5" t="s">
        <v>59</v>
      </c>
      <c r="DH31" s="5" t="s">
        <v>60</v>
      </c>
      <c r="DI31" s="5" t="s">
        <v>61</v>
      </c>
      <c r="DJ31" s="5" t="s">
        <v>62</v>
      </c>
      <c r="DK31" s="5" t="s">
        <v>63</v>
      </c>
      <c r="DL31" s="5" t="s">
        <v>64</v>
      </c>
      <c r="DM31" s="5" t="s">
        <v>65</v>
      </c>
      <c r="DN31" s="5" t="s">
        <v>66</v>
      </c>
      <c r="DO31" s="5" t="s">
        <v>99</v>
      </c>
      <c r="DP31" s="5" t="s">
        <v>55</v>
      </c>
      <c r="DQ31" s="5" t="s">
        <v>56</v>
      </c>
      <c r="DR31" s="5" t="s">
        <v>57</v>
      </c>
      <c r="DS31" s="5" t="s">
        <v>58</v>
      </c>
      <c r="DT31" s="5" t="s">
        <v>59</v>
      </c>
      <c r="DU31" s="5" t="s">
        <v>60</v>
      </c>
      <c r="DV31" s="5" t="s">
        <v>61</v>
      </c>
      <c r="DW31" s="5" t="s">
        <v>62</v>
      </c>
      <c r="DX31" s="5" t="s">
        <v>63</v>
      </c>
      <c r="DY31" s="5" t="s">
        <v>64</v>
      </c>
      <c r="DZ31" s="5" t="s">
        <v>65</v>
      </c>
      <c r="EA31" s="5" t="s">
        <v>66</v>
      </c>
      <c r="EB31" s="5" t="s">
        <v>100</v>
      </c>
      <c r="EC31" s="5" t="s">
        <v>55</v>
      </c>
      <c r="ED31" s="5" t="s">
        <v>56</v>
      </c>
      <c r="EE31" s="5" t="s">
        <v>57</v>
      </c>
      <c r="EF31" s="5" t="s">
        <v>58</v>
      </c>
      <c r="EG31" s="5" t="s">
        <v>59</v>
      </c>
      <c r="EH31" s="5" t="s">
        <v>60</v>
      </c>
      <c r="EI31" s="5" t="s">
        <v>61</v>
      </c>
      <c r="EJ31" s="5" t="s">
        <v>62</v>
      </c>
      <c r="EK31" s="5" t="s">
        <v>63</v>
      </c>
      <c r="EL31" s="5" t="s">
        <v>64</v>
      </c>
      <c r="EM31" s="5" t="s">
        <v>65</v>
      </c>
      <c r="EN31" s="5" t="s">
        <v>66</v>
      </c>
      <c r="EO31" s="5" t="s">
        <v>101</v>
      </c>
      <c r="EP31" s="5" t="s">
        <v>55</v>
      </c>
      <c r="EQ31" s="5" t="s">
        <v>56</v>
      </c>
      <c r="ER31" s="5" t="s">
        <v>57</v>
      </c>
      <c r="ES31" s="5" t="s">
        <v>58</v>
      </c>
      <c r="ET31" s="5" t="s">
        <v>59</v>
      </c>
      <c r="EU31" s="5" t="s">
        <v>60</v>
      </c>
      <c r="EV31" s="5" t="s">
        <v>61</v>
      </c>
      <c r="EW31" s="5" t="s">
        <v>62</v>
      </c>
      <c r="EX31" s="5" t="s">
        <v>63</v>
      </c>
      <c r="EY31" s="5" t="s">
        <v>64</v>
      </c>
      <c r="EZ31" s="5" t="s">
        <v>65</v>
      </c>
      <c r="FA31" s="5" t="s">
        <v>66</v>
      </c>
      <c r="FB31" s="5" t="s">
        <v>102</v>
      </c>
      <c r="FC31" s="5" t="s">
        <v>55</v>
      </c>
      <c r="FD31" s="5" t="s">
        <v>56</v>
      </c>
      <c r="FE31" s="5" t="s">
        <v>57</v>
      </c>
      <c r="FF31" s="5" t="s">
        <v>58</v>
      </c>
      <c r="FG31" s="5" t="s">
        <v>59</v>
      </c>
      <c r="FH31" s="5" t="s">
        <v>60</v>
      </c>
      <c r="FI31" s="5" t="s">
        <v>61</v>
      </c>
      <c r="FJ31" s="5" t="s">
        <v>62</v>
      </c>
      <c r="FK31" s="5" t="s">
        <v>63</v>
      </c>
      <c r="FL31" s="5" t="s">
        <v>64</v>
      </c>
      <c r="FM31" s="5" t="s">
        <v>65</v>
      </c>
      <c r="FN31" s="5" t="s">
        <v>66</v>
      </c>
      <c r="FO31" s="5" t="s">
        <v>103</v>
      </c>
    </row>
    <row r="32" spans="2:171" ht="28.05" customHeight="1" x14ac:dyDescent="0.3">
      <c r="B32" s="6" t="s">
        <v>46</v>
      </c>
      <c r="C32" s="7">
        <v>0</v>
      </c>
      <c r="D32" s="7">
        <v>109495507</v>
      </c>
      <c r="E32" s="7">
        <v>187847739</v>
      </c>
      <c r="F32" s="7">
        <v>265238101</v>
      </c>
      <c r="G32" s="7">
        <v>332568897</v>
      </c>
      <c r="H32" s="7">
        <v>394278543</v>
      </c>
      <c r="I32" s="7">
        <v>446664037</v>
      </c>
      <c r="J32" s="7">
        <v>504805550</v>
      </c>
      <c r="K32" s="7">
        <v>557993422</v>
      </c>
      <c r="L32" s="7">
        <v>619454289</v>
      </c>
      <c r="M32" s="7">
        <v>701289585</v>
      </c>
      <c r="N32" s="7">
        <v>852007357</v>
      </c>
      <c r="O32" s="7">
        <f t="shared" ref="O32:O37" si="50">N32</f>
        <v>852007357</v>
      </c>
      <c r="P32" s="7">
        <v>35691957</v>
      </c>
      <c r="Q32" s="7">
        <v>115879618</v>
      </c>
      <c r="R32" s="7">
        <v>210457678</v>
      </c>
      <c r="S32" s="7">
        <v>292947200</v>
      </c>
      <c r="T32" s="7">
        <v>361894458</v>
      </c>
      <c r="U32" s="7">
        <v>419786083</v>
      </c>
      <c r="V32" s="7">
        <v>476513994</v>
      </c>
      <c r="W32" s="7">
        <v>546526929</v>
      </c>
      <c r="X32" s="7">
        <v>608703218</v>
      </c>
      <c r="Y32" s="7">
        <v>688327936</v>
      </c>
      <c r="Z32" s="7">
        <v>772280679</v>
      </c>
      <c r="AA32" s="7">
        <v>976840711</v>
      </c>
      <c r="AB32" s="7">
        <f t="shared" ref="AB32:AB37" si="51">AA32</f>
        <v>976840711</v>
      </c>
      <c r="AC32" s="7">
        <v>40005015</v>
      </c>
      <c r="AD32" s="7">
        <v>118158110</v>
      </c>
      <c r="AE32" s="7">
        <v>206609169</v>
      </c>
      <c r="AF32" s="7">
        <v>287881130</v>
      </c>
      <c r="AG32" s="7">
        <v>358249243</v>
      </c>
      <c r="AH32" s="7">
        <v>428512091</v>
      </c>
      <c r="AI32" s="7">
        <v>493195502</v>
      </c>
      <c r="AJ32" s="7">
        <v>565430649</v>
      </c>
      <c r="AK32" s="7">
        <v>635240221</v>
      </c>
      <c r="AL32" s="7">
        <v>720114806</v>
      </c>
      <c r="AM32" s="7">
        <v>799381459</v>
      </c>
      <c r="AN32" s="7">
        <v>939632633</v>
      </c>
      <c r="AO32" s="7">
        <f t="shared" ref="AO32:AO37" si="52">AN32</f>
        <v>939632633</v>
      </c>
      <c r="AP32" s="7">
        <v>40701104</v>
      </c>
      <c r="AQ32" s="7">
        <v>108107750</v>
      </c>
      <c r="AR32" s="7">
        <v>184856578</v>
      </c>
      <c r="AS32" s="7">
        <v>252856020</v>
      </c>
      <c r="AT32" s="7">
        <v>319104639</v>
      </c>
      <c r="AU32" s="7">
        <v>374972572</v>
      </c>
      <c r="AV32" s="7">
        <v>431914072</v>
      </c>
      <c r="AW32" s="7">
        <v>497890053</v>
      </c>
      <c r="AX32" s="7">
        <v>572274603</v>
      </c>
      <c r="AY32" s="7">
        <v>640444837</v>
      </c>
      <c r="AZ32" s="7">
        <v>725045158</v>
      </c>
      <c r="BA32" s="7">
        <v>907408172</v>
      </c>
      <c r="BB32" s="7">
        <f t="shared" ref="BB32:BB37" si="53">BA32</f>
        <v>907408172</v>
      </c>
      <c r="BC32" s="7">
        <v>0</v>
      </c>
      <c r="BD32" s="7">
        <v>80673042</v>
      </c>
      <c r="BE32" s="7">
        <v>168539648</v>
      </c>
      <c r="BF32" s="7">
        <v>237340393</v>
      </c>
      <c r="BG32" s="7">
        <v>309376504</v>
      </c>
      <c r="BH32" s="7">
        <v>379148992</v>
      </c>
      <c r="BI32" s="7">
        <v>442209871</v>
      </c>
      <c r="BJ32" s="7">
        <v>504027341</v>
      </c>
      <c r="BK32" s="7">
        <v>570803171</v>
      </c>
      <c r="BL32" s="7">
        <v>654884646</v>
      </c>
      <c r="BM32" s="7">
        <v>732454087</v>
      </c>
      <c r="BN32" s="7">
        <v>901443445</v>
      </c>
      <c r="BO32" s="7">
        <f t="shared" ref="BO32:BO37" si="54">BN32</f>
        <v>901443445</v>
      </c>
      <c r="BP32" s="7">
        <v>0</v>
      </c>
      <c r="BQ32" s="7">
        <v>102696407</v>
      </c>
      <c r="BR32" s="7">
        <v>193837202</v>
      </c>
      <c r="BS32" s="7">
        <v>287563262</v>
      </c>
      <c r="BT32" s="7">
        <v>363596898</v>
      </c>
      <c r="BU32" s="7">
        <v>432817167</v>
      </c>
      <c r="BV32" s="7">
        <v>525171083</v>
      </c>
      <c r="BW32" s="7">
        <v>613755849</v>
      </c>
      <c r="BX32" s="7">
        <v>681368937</v>
      </c>
      <c r="BY32" s="7">
        <v>768886920</v>
      </c>
      <c r="BZ32" s="7">
        <v>859787144</v>
      </c>
      <c r="CA32" s="7">
        <v>1081677766</v>
      </c>
      <c r="CB32" s="7">
        <f t="shared" ref="CB32:CB37" si="55">CA32</f>
        <v>1081677766</v>
      </c>
      <c r="CC32" s="7">
        <v>0</v>
      </c>
      <c r="CD32" s="7">
        <v>96871169</v>
      </c>
      <c r="CE32" s="7">
        <v>193870511</v>
      </c>
      <c r="CF32" s="7">
        <v>272631717</v>
      </c>
      <c r="CG32" s="7">
        <v>327561887</v>
      </c>
      <c r="CH32" s="7">
        <v>418295604</v>
      </c>
      <c r="CI32" s="7">
        <v>502258190</v>
      </c>
      <c r="CJ32" s="7">
        <v>574520045</v>
      </c>
      <c r="CK32" s="7">
        <v>633600171</v>
      </c>
      <c r="CL32" s="7">
        <v>713927353</v>
      </c>
      <c r="CM32" s="7">
        <v>800349975</v>
      </c>
      <c r="CN32" s="7">
        <v>945847843</v>
      </c>
      <c r="CO32" s="7">
        <f t="shared" ref="CO32:CO37" si="56">CN32</f>
        <v>945847843</v>
      </c>
      <c r="CP32" s="7">
        <v>0</v>
      </c>
      <c r="CQ32" s="7">
        <v>101383549</v>
      </c>
      <c r="CR32" s="7">
        <v>198441247</v>
      </c>
      <c r="CS32" s="7">
        <v>284324137</v>
      </c>
      <c r="CT32" s="7">
        <v>358590676</v>
      </c>
      <c r="CU32" s="7">
        <v>433048907</v>
      </c>
      <c r="CV32" s="7">
        <v>503354400</v>
      </c>
      <c r="CW32" s="7">
        <v>586218042</v>
      </c>
      <c r="CX32" s="7">
        <v>653892258</v>
      </c>
      <c r="CY32" s="7">
        <v>714435373</v>
      </c>
      <c r="CZ32" s="7">
        <v>802149786</v>
      </c>
      <c r="DA32" s="7">
        <v>979979167</v>
      </c>
      <c r="DB32" s="7">
        <f t="shared" ref="DB32:DB37" si="57">DA32</f>
        <v>979979167</v>
      </c>
      <c r="DC32" s="7">
        <v>0</v>
      </c>
      <c r="DD32" s="7">
        <v>58153045</v>
      </c>
      <c r="DE32" s="7">
        <v>139608998</v>
      </c>
      <c r="DF32" s="7">
        <v>206666427</v>
      </c>
      <c r="DG32" s="7">
        <v>283374746</v>
      </c>
      <c r="DH32" s="7">
        <v>345265825</v>
      </c>
      <c r="DI32" s="7">
        <v>405594742</v>
      </c>
      <c r="DJ32" s="7">
        <v>472550892</v>
      </c>
      <c r="DK32" s="7">
        <v>616595780</v>
      </c>
      <c r="DL32" s="7">
        <v>680714110</v>
      </c>
      <c r="DM32" s="7">
        <v>760339461</v>
      </c>
      <c r="DN32" s="7">
        <v>955760345</v>
      </c>
      <c r="DO32" s="7">
        <f t="shared" ref="DO32:DO37" si="58">DN32</f>
        <v>955760345</v>
      </c>
      <c r="DP32" s="7">
        <v>0</v>
      </c>
      <c r="DQ32" s="7">
        <v>18205266</v>
      </c>
      <c r="DR32" s="7">
        <v>138456688</v>
      </c>
      <c r="DS32" s="7">
        <v>309745351</v>
      </c>
      <c r="DT32" s="7">
        <v>436281161</v>
      </c>
      <c r="DU32" s="7">
        <v>544941612</v>
      </c>
      <c r="DV32" s="7">
        <v>643572937</v>
      </c>
      <c r="DW32" s="7">
        <v>731872328</v>
      </c>
      <c r="DX32" s="7">
        <v>824719400</v>
      </c>
      <c r="DY32" s="7">
        <v>940512329</v>
      </c>
      <c r="DZ32" s="7">
        <v>1088998456</v>
      </c>
      <c r="EA32" s="7">
        <v>1417380025</v>
      </c>
      <c r="EB32" s="7">
        <f t="shared" ref="EB32:EB37" si="59">EA32</f>
        <v>1417380025</v>
      </c>
      <c r="EC32" s="7">
        <v>0</v>
      </c>
      <c r="ED32" s="7">
        <v>115017803</v>
      </c>
      <c r="EE32" s="7">
        <v>245067556</v>
      </c>
      <c r="EF32" s="7">
        <v>379975864</v>
      </c>
      <c r="EG32" s="7">
        <v>521874015</v>
      </c>
      <c r="EH32" s="7">
        <v>774852600</v>
      </c>
      <c r="EI32" s="7">
        <v>856290603</v>
      </c>
      <c r="EJ32" s="7">
        <v>943020316</v>
      </c>
      <c r="EK32" s="7">
        <v>1073272838</v>
      </c>
      <c r="EL32" s="7">
        <v>1212620083</v>
      </c>
      <c r="EM32" s="7">
        <v>1411133522</v>
      </c>
      <c r="EN32" s="7">
        <v>1603559540</v>
      </c>
      <c r="EO32" s="7">
        <f t="shared" ref="EO32:EO37" si="60">EN32</f>
        <v>1603559540</v>
      </c>
      <c r="EP32" s="7">
        <v>1418928</v>
      </c>
      <c r="EQ32" s="7">
        <v>262166719</v>
      </c>
      <c r="ER32" s="7">
        <v>478250448</v>
      </c>
      <c r="ES32" s="7">
        <v>666185288</v>
      </c>
      <c r="ET32" s="7">
        <v>837833362</v>
      </c>
      <c r="EU32" s="7">
        <v>982362882</v>
      </c>
      <c r="EV32" s="7">
        <v>1108324387</v>
      </c>
      <c r="EW32" s="7">
        <v>1217723031</v>
      </c>
      <c r="EX32" s="7">
        <v>1369623467</v>
      </c>
      <c r="EY32" s="7">
        <v>1492337572</v>
      </c>
      <c r="EZ32" s="7">
        <v>1632445535</v>
      </c>
      <c r="FA32" s="7">
        <v>1947648753</v>
      </c>
      <c r="FB32" s="7">
        <f t="shared" ref="FB32:FB37" si="61">FA32</f>
        <v>1947648753</v>
      </c>
      <c r="FC32" s="7">
        <v>0</v>
      </c>
      <c r="FD32" s="7">
        <v>162224034</v>
      </c>
      <c r="FE32" s="7">
        <v>321332158</v>
      </c>
      <c r="FF32" s="7">
        <v>469566556</v>
      </c>
      <c r="FG32" s="7">
        <v>614978745</v>
      </c>
      <c r="FH32" s="7">
        <v>776558972</v>
      </c>
      <c r="FI32" s="7">
        <v>909487841</v>
      </c>
      <c r="FO32" s="7">
        <f t="shared" ref="FO32:FO37" si="62">FI32</f>
        <v>909487841</v>
      </c>
    </row>
    <row r="33" spans="2:171" ht="28.05" customHeight="1" x14ac:dyDescent="0.3">
      <c r="B33" s="6" t="s">
        <v>47</v>
      </c>
      <c r="C33" s="7">
        <v>0</v>
      </c>
      <c r="D33" s="7">
        <v>0</v>
      </c>
      <c r="E33" s="7">
        <v>0</v>
      </c>
      <c r="F33" s="7">
        <v>12849023</v>
      </c>
      <c r="G33" s="7">
        <v>18502602</v>
      </c>
      <c r="H33" s="7">
        <v>24001975</v>
      </c>
      <c r="I33" s="7">
        <v>28200302</v>
      </c>
      <c r="J33" s="7">
        <v>35581648</v>
      </c>
      <c r="K33" s="7">
        <v>44712998</v>
      </c>
      <c r="L33" s="7">
        <v>54749457</v>
      </c>
      <c r="M33" s="7">
        <v>68221191</v>
      </c>
      <c r="N33" s="7">
        <v>104714724</v>
      </c>
      <c r="O33" s="7">
        <f t="shared" si="50"/>
        <v>104714724</v>
      </c>
      <c r="P33" s="7">
        <v>4135149</v>
      </c>
      <c r="Q33" s="7">
        <v>12016222</v>
      </c>
      <c r="R33" s="7">
        <v>22838957</v>
      </c>
      <c r="S33" s="7">
        <v>31173658</v>
      </c>
      <c r="T33" s="7">
        <v>38126481</v>
      </c>
      <c r="U33" s="7">
        <v>48008563</v>
      </c>
      <c r="V33" s="7">
        <v>54996009</v>
      </c>
      <c r="W33" s="7">
        <v>62015391</v>
      </c>
      <c r="X33" s="7">
        <v>73214656</v>
      </c>
      <c r="Y33" s="7">
        <v>81368537</v>
      </c>
      <c r="Z33" s="7">
        <v>95966048</v>
      </c>
      <c r="AA33" s="7">
        <v>127205691</v>
      </c>
      <c r="AB33" s="7">
        <f t="shared" si="51"/>
        <v>127205691</v>
      </c>
      <c r="AC33" s="7">
        <v>1644472</v>
      </c>
      <c r="AD33" s="7">
        <v>6760437</v>
      </c>
      <c r="AE33" s="7">
        <v>14482109</v>
      </c>
      <c r="AF33" s="7">
        <v>20055802</v>
      </c>
      <c r="AG33" s="7">
        <v>26700349</v>
      </c>
      <c r="AH33" s="7">
        <v>38755843</v>
      </c>
      <c r="AI33" s="7">
        <v>45496469</v>
      </c>
      <c r="AJ33" s="7">
        <v>52480551</v>
      </c>
      <c r="AK33" s="7">
        <v>60402105</v>
      </c>
      <c r="AL33" s="7">
        <v>68110654</v>
      </c>
      <c r="AM33" s="7">
        <v>84499774</v>
      </c>
      <c r="AN33" s="7">
        <v>125549909</v>
      </c>
      <c r="AO33" s="7">
        <f t="shared" si="52"/>
        <v>125549909</v>
      </c>
      <c r="AP33" s="7">
        <v>1269137</v>
      </c>
      <c r="AQ33" s="7">
        <v>5677714</v>
      </c>
      <c r="AR33" s="7">
        <v>11079172</v>
      </c>
      <c r="AS33" s="7">
        <v>19699660</v>
      </c>
      <c r="AT33" s="7">
        <v>26881172</v>
      </c>
      <c r="AU33" s="7">
        <v>36009564</v>
      </c>
      <c r="AV33" s="7">
        <v>43753678</v>
      </c>
      <c r="AW33" s="7">
        <v>54111195</v>
      </c>
      <c r="AX33" s="7">
        <v>65957670</v>
      </c>
      <c r="AY33" s="7">
        <v>79535288</v>
      </c>
      <c r="AZ33" s="7">
        <v>98614598</v>
      </c>
      <c r="BA33" s="7">
        <v>145867704</v>
      </c>
      <c r="BB33" s="7">
        <f t="shared" si="53"/>
        <v>145867704</v>
      </c>
      <c r="BC33" s="7">
        <v>0</v>
      </c>
      <c r="BD33" s="7">
        <v>8476734</v>
      </c>
      <c r="BE33" s="7">
        <v>15590064</v>
      </c>
      <c r="BF33" s="7">
        <v>22689725</v>
      </c>
      <c r="BG33" s="7">
        <v>31479542</v>
      </c>
      <c r="BH33" s="7">
        <v>41016085</v>
      </c>
      <c r="BI33" s="7">
        <v>50471408</v>
      </c>
      <c r="BJ33" s="7">
        <v>56335889</v>
      </c>
      <c r="BK33" s="7">
        <v>65509002</v>
      </c>
      <c r="BL33" s="7">
        <v>73476914</v>
      </c>
      <c r="BM33" s="7">
        <v>84787919</v>
      </c>
      <c r="BN33" s="7">
        <v>119645504</v>
      </c>
      <c r="BO33" s="7">
        <f t="shared" si="54"/>
        <v>119645504</v>
      </c>
      <c r="BP33" s="7">
        <v>0</v>
      </c>
      <c r="BQ33" s="7">
        <v>0</v>
      </c>
      <c r="BR33" s="7">
        <v>0</v>
      </c>
      <c r="BS33" s="7">
        <v>14799182</v>
      </c>
      <c r="BT33" s="7">
        <v>20928761</v>
      </c>
      <c r="BU33" s="7">
        <v>27050471</v>
      </c>
      <c r="BV33" s="7">
        <v>36175836</v>
      </c>
      <c r="BW33" s="7">
        <v>44639401</v>
      </c>
      <c r="BX33" s="7">
        <v>52882663</v>
      </c>
      <c r="BY33" s="7">
        <v>68082147</v>
      </c>
      <c r="BZ33" s="7">
        <v>91945190</v>
      </c>
      <c r="CA33" s="7">
        <v>132633546</v>
      </c>
      <c r="CB33" s="7">
        <f t="shared" si="55"/>
        <v>132633546</v>
      </c>
      <c r="CC33" s="7">
        <v>0</v>
      </c>
      <c r="CD33" s="7">
        <v>0</v>
      </c>
      <c r="CE33" s="7">
        <v>15933925</v>
      </c>
      <c r="CF33" s="7">
        <v>27347698</v>
      </c>
      <c r="CG33" s="7">
        <v>34970453</v>
      </c>
      <c r="CH33" s="7">
        <v>42227599</v>
      </c>
      <c r="CI33" s="7">
        <v>50004801</v>
      </c>
      <c r="CJ33" s="7">
        <v>60357141</v>
      </c>
      <c r="CK33" s="7">
        <v>71496670</v>
      </c>
      <c r="CL33" s="7">
        <v>87043293</v>
      </c>
      <c r="CM33" s="7">
        <v>108285783</v>
      </c>
      <c r="CN33" s="7">
        <v>139288956</v>
      </c>
      <c r="CO33" s="7">
        <f t="shared" si="56"/>
        <v>139288956</v>
      </c>
      <c r="CP33" s="7">
        <v>0</v>
      </c>
      <c r="CQ33" s="7">
        <v>9524739</v>
      </c>
      <c r="CR33" s="7">
        <v>18778382</v>
      </c>
      <c r="CS33" s="7">
        <v>27058037</v>
      </c>
      <c r="CT33" s="7">
        <v>38359267</v>
      </c>
      <c r="CU33" s="7">
        <v>46029534</v>
      </c>
      <c r="CV33" s="7">
        <v>54019806</v>
      </c>
      <c r="CW33" s="7">
        <v>63431000</v>
      </c>
      <c r="CX33" s="7">
        <v>74898419</v>
      </c>
      <c r="CY33" s="7">
        <v>87833845</v>
      </c>
      <c r="CZ33" s="7">
        <v>101123468</v>
      </c>
      <c r="DA33" s="7">
        <v>129806818</v>
      </c>
      <c r="DB33" s="7">
        <f t="shared" si="57"/>
        <v>129806818</v>
      </c>
      <c r="DC33" s="7">
        <v>0</v>
      </c>
      <c r="DD33" s="7">
        <v>2161172</v>
      </c>
      <c r="DE33" s="7">
        <v>9902695</v>
      </c>
      <c r="DF33" s="7">
        <v>17446259</v>
      </c>
      <c r="DG33" s="7">
        <v>23088738</v>
      </c>
      <c r="DH33" s="7">
        <v>30830389</v>
      </c>
      <c r="DI33" s="7">
        <v>40520841</v>
      </c>
      <c r="DJ33" s="7">
        <v>46926966</v>
      </c>
      <c r="DK33" s="7">
        <v>55522281</v>
      </c>
      <c r="DL33" s="7">
        <v>68952930</v>
      </c>
      <c r="DM33" s="7">
        <v>83462172</v>
      </c>
      <c r="DN33" s="7">
        <v>128495787</v>
      </c>
      <c r="DO33" s="7">
        <f t="shared" si="58"/>
        <v>128495787</v>
      </c>
      <c r="DP33" s="7">
        <v>0</v>
      </c>
      <c r="DQ33" s="7">
        <v>6431623</v>
      </c>
      <c r="DR33" s="7">
        <v>21339974</v>
      </c>
      <c r="DS33" s="7">
        <v>32945027</v>
      </c>
      <c r="DT33" s="7">
        <v>47577177</v>
      </c>
      <c r="DU33" s="7">
        <v>63593303</v>
      </c>
      <c r="DV33" s="7">
        <v>79376685</v>
      </c>
      <c r="DW33" s="7">
        <v>92813663</v>
      </c>
      <c r="DX33" s="7">
        <v>104125697</v>
      </c>
      <c r="DY33" s="7">
        <v>112739918</v>
      </c>
      <c r="DZ33" s="7">
        <v>129397461</v>
      </c>
      <c r="EA33" s="7">
        <v>195957467</v>
      </c>
      <c r="EB33" s="7">
        <f t="shared" si="59"/>
        <v>195957467</v>
      </c>
      <c r="EC33" s="7">
        <v>0</v>
      </c>
      <c r="ED33" s="7">
        <v>6377090</v>
      </c>
      <c r="EE33" s="7">
        <v>23890040</v>
      </c>
      <c r="EF33" s="7">
        <v>39902005</v>
      </c>
      <c r="EG33" s="7">
        <v>58620170</v>
      </c>
      <c r="EH33" s="7">
        <v>119341758</v>
      </c>
      <c r="EI33" s="7">
        <v>136670909</v>
      </c>
      <c r="EJ33" s="7">
        <v>157100022</v>
      </c>
      <c r="EK33" s="7">
        <v>175138873</v>
      </c>
      <c r="EL33" s="7">
        <v>193499950</v>
      </c>
      <c r="EM33" s="7">
        <v>211590153</v>
      </c>
      <c r="EN33" s="7">
        <v>243896208</v>
      </c>
      <c r="EO33" s="7">
        <f t="shared" si="60"/>
        <v>243896208</v>
      </c>
      <c r="EP33" s="7">
        <v>2068692</v>
      </c>
      <c r="EQ33" s="7">
        <v>14027617</v>
      </c>
      <c r="ER33" s="7">
        <v>36168803</v>
      </c>
      <c r="ES33" s="7">
        <v>53822571</v>
      </c>
      <c r="ET33" s="7">
        <v>71880596</v>
      </c>
      <c r="EU33" s="7">
        <v>92473645</v>
      </c>
      <c r="EV33" s="7">
        <v>108898696</v>
      </c>
      <c r="EW33" s="7">
        <v>131234326</v>
      </c>
      <c r="EX33" s="7">
        <v>152827107</v>
      </c>
      <c r="EY33" s="7">
        <v>173770614</v>
      </c>
      <c r="EZ33" s="7">
        <v>201417551</v>
      </c>
      <c r="FA33" s="7">
        <v>252789386</v>
      </c>
      <c r="FB33" s="7">
        <f t="shared" si="61"/>
        <v>252789386</v>
      </c>
      <c r="FC33" s="7">
        <v>0</v>
      </c>
      <c r="FD33" s="7">
        <v>9585447</v>
      </c>
      <c r="FE33" s="7">
        <v>24838996</v>
      </c>
      <c r="FF33" s="7">
        <v>36118123</v>
      </c>
      <c r="FG33" s="7">
        <v>47381569</v>
      </c>
      <c r="FH33" s="7">
        <v>59374806</v>
      </c>
      <c r="FI33" s="7">
        <v>73650703</v>
      </c>
      <c r="FO33" s="7">
        <f t="shared" si="62"/>
        <v>73650703</v>
      </c>
    </row>
    <row r="34" spans="2:171" ht="28.05" customHeight="1" x14ac:dyDescent="0.3">
      <c r="B34" s="6" t="s">
        <v>48</v>
      </c>
      <c r="C34" s="7">
        <v>0</v>
      </c>
      <c r="D34" s="7">
        <v>0</v>
      </c>
      <c r="E34" s="7">
        <v>2123137</v>
      </c>
      <c r="F34" s="7">
        <v>11318242</v>
      </c>
      <c r="G34" s="7">
        <v>16412231</v>
      </c>
      <c r="H34" s="7">
        <v>21503320</v>
      </c>
      <c r="I34" s="7">
        <v>26571960</v>
      </c>
      <c r="J34" s="7">
        <v>31336635</v>
      </c>
      <c r="K34" s="7">
        <v>36845348</v>
      </c>
      <c r="L34" s="7">
        <v>42847765</v>
      </c>
      <c r="M34" s="7">
        <v>49413111</v>
      </c>
      <c r="N34" s="7">
        <v>67417598</v>
      </c>
      <c r="O34" s="7">
        <f t="shared" si="50"/>
        <v>67417598</v>
      </c>
      <c r="P34" s="7">
        <v>3681645</v>
      </c>
      <c r="Q34" s="7">
        <v>8539463</v>
      </c>
      <c r="R34" s="7">
        <v>18555701</v>
      </c>
      <c r="S34" s="7">
        <v>26344808</v>
      </c>
      <c r="T34" s="7">
        <v>33283091</v>
      </c>
      <c r="U34" s="7">
        <v>38882927</v>
      </c>
      <c r="V34" s="7">
        <v>45906320</v>
      </c>
      <c r="W34" s="7">
        <v>51669887</v>
      </c>
      <c r="X34" s="7">
        <v>58317963</v>
      </c>
      <c r="Y34" s="7">
        <v>63943837</v>
      </c>
      <c r="Z34" s="7">
        <v>72706421</v>
      </c>
      <c r="AA34" s="7">
        <v>93526873</v>
      </c>
      <c r="AB34" s="7">
        <f t="shared" si="51"/>
        <v>93526873</v>
      </c>
      <c r="AC34" s="7">
        <v>0</v>
      </c>
      <c r="AD34" s="7">
        <v>7489256</v>
      </c>
      <c r="AE34" s="7">
        <v>14608985</v>
      </c>
      <c r="AF34" s="7">
        <v>20077326</v>
      </c>
      <c r="AG34" s="7">
        <v>25109701</v>
      </c>
      <c r="AH34" s="7">
        <v>31740697</v>
      </c>
      <c r="AI34" s="7">
        <v>36595708</v>
      </c>
      <c r="AJ34" s="7">
        <v>43957889</v>
      </c>
      <c r="AK34" s="7">
        <v>48847708</v>
      </c>
      <c r="AL34" s="7">
        <v>53992956</v>
      </c>
      <c r="AM34" s="7">
        <v>60335109</v>
      </c>
      <c r="AN34" s="7">
        <v>80271976</v>
      </c>
      <c r="AO34" s="7">
        <f t="shared" si="52"/>
        <v>80271976</v>
      </c>
      <c r="AP34" s="7">
        <v>0</v>
      </c>
      <c r="AQ34" s="7">
        <v>7437942</v>
      </c>
      <c r="AR34" s="7">
        <v>15597962</v>
      </c>
      <c r="AS34" s="7">
        <v>22904045</v>
      </c>
      <c r="AT34" s="7">
        <v>29421513</v>
      </c>
      <c r="AU34" s="7">
        <v>37145004</v>
      </c>
      <c r="AV34" s="7">
        <v>44696488</v>
      </c>
      <c r="AW34" s="7">
        <v>52727926</v>
      </c>
      <c r="AX34" s="7">
        <v>60463520</v>
      </c>
      <c r="AY34" s="7">
        <v>67026822</v>
      </c>
      <c r="AZ34" s="7">
        <v>76122310</v>
      </c>
      <c r="BA34" s="7">
        <v>100202686</v>
      </c>
      <c r="BB34" s="7">
        <f t="shared" si="53"/>
        <v>100202686</v>
      </c>
      <c r="BC34" s="7">
        <v>0</v>
      </c>
      <c r="BD34" s="7">
        <v>1539829</v>
      </c>
      <c r="BE34" s="7">
        <v>9980097</v>
      </c>
      <c r="BF34" s="7">
        <v>15990396</v>
      </c>
      <c r="BG34" s="7">
        <v>26512540</v>
      </c>
      <c r="BH34" s="7">
        <v>32634743</v>
      </c>
      <c r="BI34" s="7">
        <v>38873532</v>
      </c>
      <c r="BJ34" s="7">
        <v>44503197</v>
      </c>
      <c r="BK34" s="7">
        <v>51124646</v>
      </c>
      <c r="BL34" s="7">
        <v>58962002</v>
      </c>
      <c r="BM34" s="7">
        <v>71960162</v>
      </c>
      <c r="BN34" s="7">
        <v>101837360</v>
      </c>
      <c r="BO34" s="7">
        <f t="shared" si="54"/>
        <v>101837360</v>
      </c>
      <c r="BP34" s="7">
        <v>0</v>
      </c>
      <c r="BQ34" s="7">
        <v>8543845</v>
      </c>
      <c r="BR34" s="7">
        <v>16492779</v>
      </c>
      <c r="BS34" s="7">
        <v>25420378</v>
      </c>
      <c r="BT34" s="7">
        <v>33246158</v>
      </c>
      <c r="BU34" s="7">
        <v>39464017</v>
      </c>
      <c r="BV34" s="7">
        <v>45418356</v>
      </c>
      <c r="BW34" s="7">
        <v>54819773</v>
      </c>
      <c r="BX34" s="7">
        <v>62481533</v>
      </c>
      <c r="BY34" s="7">
        <v>71071550</v>
      </c>
      <c r="BZ34" s="7">
        <v>80774307</v>
      </c>
      <c r="CA34" s="7">
        <v>109754082</v>
      </c>
      <c r="CB34" s="7">
        <f t="shared" si="55"/>
        <v>109754082</v>
      </c>
      <c r="CC34" s="7">
        <v>0</v>
      </c>
      <c r="CD34" s="7">
        <v>0</v>
      </c>
      <c r="CE34" s="7">
        <v>14046798</v>
      </c>
      <c r="CF34" s="7">
        <v>23975486</v>
      </c>
      <c r="CG34" s="7">
        <v>32933206</v>
      </c>
      <c r="CH34" s="7">
        <v>44476459</v>
      </c>
      <c r="CI34" s="7">
        <v>54767019</v>
      </c>
      <c r="CJ34" s="7">
        <v>64603134</v>
      </c>
      <c r="CK34" s="7">
        <v>75187064</v>
      </c>
      <c r="CL34" s="7">
        <v>91643647</v>
      </c>
      <c r="CM34" s="7">
        <v>112911790</v>
      </c>
      <c r="CN34" s="7">
        <v>145498589</v>
      </c>
      <c r="CO34" s="7">
        <f t="shared" si="56"/>
        <v>145498589</v>
      </c>
      <c r="CP34" s="7">
        <v>0</v>
      </c>
      <c r="CQ34" s="7">
        <v>6666332</v>
      </c>
      <c r="CR34" s="7">
        <v>21867716</v>
      </c>
      <c r="CS34" s="7">
        <v>35651365</v>
      </c>
      <c r="CT34" s="7">
        <v>47287710</v>
      </c>
      <c r="CU34" s="7">
        <v>58269490</v>
      </c>
      <c r="CV34" s="7">
        <v>67196224</v>
      </c>
      <c r="CW34" s="7">
        <v>76194121</v>
      </c>
      <c r="CX34" s="7">
        <v>86850665</v>
      </c>
      <c r="CY34" s="7">
        <v>100525220</v>
      </c>
      <c r="CZ34" s="7">
        <v>114625930</v>
      </c>
      <c r="DA34" s="7">
        <v>138846156</v>
      </c>
      <c r="DB34" s="7">
        <f t="shared" si="57"/>
        <v>138846156</v>
      </c>
      <c r="DC34" s="7">
        <v>0</v>
      </c>
      <c r="DD34" s="7">
        <v>0</v>
      </c>
      <c r="DE34" s="7">
        <v>7252609</v>
      </c>
      <c r="DF34" s="7">
        <v>18124947</v>
      </c>
      <c r="DG34" s="7">
        <v>26400403</v>
      </c>
      <c r="DH34" s="7">
        <v>33265233</v>
      </c>
      <c r="DI34" s="7">
        <v>41025465</v>
      </c>
      <c r="DJ34" s="7">
        <v>48098388</v>
      </c>
      <c r="DK34" s="7">
        <v>56515227</v>
      </c>
      <c r="DL34" s="7">
        <v>64874125</v>
      </c>
      <c r="DM34" s="7">
        <v>77789880</v>
      </c>
      <c r="DN34" s="7">
        <v>108974292</v>
      </c>
      <c r="DO34" s="7">
        <f t="shared" si="58"/>
        <v>108974292</v>
      </c>
      <c r="DP34" s="7">
        <v>0</v>
      </c>
      <c r="DQ34" s="7">
        <v>2303161</v>
      </c>
      <c r="DR34" s="7">
        <v>29583551</v>
      </c>
      <c r="DS34" s="7">
        <v>49465414</v>
      </c>
      <c r="DT34" s="7">
        <v>68683761</v>
      </c>
      <c r="DU34" s="7">
        <v>84807286</v>
      </c>
      <c r="DV34" s="7">
        <v>102765834</v>
      </c>
      <c r="DW34" s="7">
        <v>120298096</v>
      </c>
      <c r="DX34" s="7">
        <v>135987986</v>
      </c>
      <c r="DY34" s="7">
        <v>156018552</v>
      </c>
      <c r="DZ34" s="7">
        <v>183226741</v>
      </c>
      <c r="EA34" s="7">
        <v>244037387</v>
      </c>
      <c r="EB34" s="7">
        <f t="shared" si="59"/>
        <v>244037387</v>
      </c>
      <c r="EC34" s="7">
        <v>0</v>
      </c>
      <c r="ED34" s="7">
        <v>11025007</v>
      </c>
      <c r="EE34" s="7">
        <v>25342159</v>
      </c>
      <c r="EF34" s="7">
        <v>43422173</v>
      </c>
      <c r="EG34" s="7">
        <v>59731566</v>
      </c>
      <c r="EH34" s="7">
        <v>80871277</v>
      </c>
      <c r="EI34" s="7">
        <v>90939725</v>
      </c>
      <c r="EJ34" s="7">
        <v>104887838</v>
      </c>
      <c r="EK34" s="7">
        <v>121545898</v>
      </c>
      <c r="EL34" s="7">
        <v>134718420</v>
      </c>
      <c r="EM34" s="7">
        <v>150454729</v>
      </c>
      <c r="EN34" s="7">
        <v>189747396</v>
      </c>
      <c r="EO34" s="7">
        <f t="shared" si="60"/>
        <v>189747396</v>
      </c>
      <c r="EP34" s="7">
        <v>2010108</v>
      </c>
      <c r="EQ34" s="7">
        <v>18132777</v>
      </c>
      <c r="ER34" s="7">
        <v>36591973</v>
      </c>
      <c r="ES34" s="7">
        <v>55560502</v>
      </c>
      <c r="ET34" s="7">
        <v>73627660</v>
      </c>
      <c r="EU34" s="7">
        <v>93134581</v>
      </c>
      <c r="EV34" s="7">
        <v>109996503</v>
      </c>
      <c r="EW34" s="7">
        <v>127458124</v>
      </c>
      <c r="EX34" s="7">
        <v>147026821</v>
      </c>
      <c r="EY34" s="7">
        <v>167611651</v>
      </c>
      <c r="EZ34" s="7">
        <v>186253362</v>
      </c>
      <c r="FA34" s="7">
        <v>231742834</v>
      </c>
      <c r="FB34" s="7">
        <f t="shared" si="61"/>
        <v>231742834</v>
      </c>
      <c r="FC34" s="7">
        <v>0</v>
      </c>
      <c r="FD34" s="7">
        <v>19469514</v>
      </c>
      <c r="FE34" s="7">
        <v>40366706</v>
      </c>
      <c r="FF34" s="7">
        <v>60258504</v>
      </c>
      <c r="FG34" s="7">
        <v>79539794</v>
      </c>
      <c r="FH34" s="7">
        <v>99543928</v>
      </c>
      <c r="FI34" s="7">
        <v>119758712</v>
      </c>
      <c r="FO34" s="7">
        <f t="shared" si="62"/>
        <v>119758712</v>
      </c>
    </row>
    <row r="35" spans="2:171" ht="28.05" customHeight="1" x14ac:dyDescent="0.3">
      <c r="B35" s="6" t="s">
        <v>49</v>
      </c>
      <c r="C35" s="7">
        <v>0</v>
      </c>
      <c r="D35" s="7">
        <v>7450429</v>
      </c>
      <c r="E35" s="7">
        <v>13193802</v>
      </c>
      <c r="F35" s="7">
        <v>18293446</v>
      </c>
      <c r="G35" s="7">
        <v>22626920</v>
      </c>
      <c r="H35" s="7">
        <v>26415122</v>
      </c>
      <c r="I35" s="7">
        <v>30372078</v>
      </c>
      <c r="J35" s="7">
        <v>34891139</v>
      </c>
      <c r="K35" s="7">
        <v>39425450</v>
      </c>
      <c r="L35" s="7">
        <v>44372578</v>
      </c>
      <c r="M35" s="7">
        <v>49575185</v>
      </c>
      <c r="N35" s="7">
        <v>55862229</v>
      </c>
      <c r="O35" s="7">
        <f t="shared" si="50"/>
        <v>55862229</v>
      </c>
      <c r="P35" s="7">
        <v>2407710</v>
      </c>
      <c r="Q35" s="7">
        <v>5910699</v>
      </c>
      <c r="R35" s="7">
        <v>9882174</v>
      </c>
      <c r="S35" s="7">
        <v>13108974</v>
      </c>
      <c r="T35" s="7">
        <v>15732284</v>
      </c>
      <c r="U35" s="7">
        <v>19553181</v>
      </c>
      <c r="V35" s="7">
        <v>24349229</v>
      </c>
      <c r="W35" s="7">
        <v>30187369</v>
      </c>
      <c r="X35" s="7">
        <v>35622534</v>
      </c>
      <c r="Y35" s="7">
        <v>42257897</v>
      </c>
      <c r="Z35" s="7">
        <v>50178950</v>
      </c>
      <c r="AA35" s="7">
        <v>66160697</v>
      </c>
      <c r="AB35" s="7">
        <f t="shared" si="51"/>
        <v>66160697</v>
      </c>
      <c r="AC35" s="7">
        <v>5244325</v>
      </c>
      <c r="AD35" s="7">
        <v>10266262</v>
      </c>
      <c r="AE35" s="7">
        <v>16219822</v>
      </c>
      <c r="AF35" s="7">
        <v>21648618</v>
      </c>
      <c r="AG35" s="7">
        <v>27387993</v>
      </c>
      <c r="AH35" s="7">
        <v>33761936</v>
      </c>
      <c r="AI35" s="7">
        <v>38844614</v>
      </c>
      <c r="AJ35" s="7">
        <v>43222678</v>
      </c>
      <c r="AK35" s="7">
        <v>47526334</v>
      </c>
      <c r="AL35" s="7">
        <v>53352145</v>
      </c>
      <c r="AM35" s="7">
        <v>57473232</v>
      </c>
      <c r="AN35" s="7">
        <v>66424573</v>
      </c>
      <c r="AO35" s="7">
        <f t="shared" si="52"/>
        <v>66424573</v>
      </c>
      <c r="AP35" s="7">
        <v>5239069</v>
      </c>
      <c r="AQ35" s="7">
        <v>9634272</v>
      </c>
      <c r="AR35" s="7">
        <v>14245421</v>
      </c>
      <c r="AS35" s="7">
        <v>19009524</v>
      </c>
      <c r="AT35" s="7">
        <v>23475477</v>
      </c>
      <c r="AU35" s="7">
        <v>27885034</v>
      </c>
      <c r="AV35" s="7">
        <v>32415133</v>
      </c>
      <c r="AW35" s="7">
        <v>37252785</v>
      </c>
      <c r="AX35" s="7">
        <v>41640505</v>
      </c>
      <c r="AY35" s="7">
        <v>48309815</v>
      </c>
      <c r="AZ35" s="7">
        <v>56401587</v>
      </c>
      <c r="BA35" s="7">
        <v>72170849</v>
      </c>
      <c r="BB35" s="7">
        <f t="shared" si="53"/>
        <v>72170849</v>
      </c>
      <c r="BC35" s="7">
        <v>3794605</v>
      </c>
      <c r="BD35" s="7">
        <v>8887650</v>
      </c>
      <c r="BE35" s="7">
        <v>13076526</v>
      </c>
      <c r="BF35" s="7">
        <v>16300776</v>
      </c>
      <c r="BG35" s="7">
        <v>19258274</v>
      </c>
      <c r="BH35" s="7">
        <v>22907994</v>
      </c>
      <c r="BI35" s="7">
        <v>26103926</v>
      </c>
      <c r="BJ35" s="7">
        <v>29804745</v>
      </c>
      <c r="BK35" s="7">
        <v>33918911</v>
      </c>
      <c r="BL35" s="7">
        <v>41523749</v>
      </c>
      <c r="BM35" s="7">
        <v>48730813</v>
      </c>
      <c r="BN35" s="7">
        <v>60699920</v>
      </c>
      <c r="BO35" s="7">
        <f t="shared" si="54"/>
        <v>60699920</v>
      </c>
      <c r="BP35" s="7">
        <v>0</v>
      </c>
      <c r="BQ35" s="7">
        <v>4959518</v>
      </c>
      <c r="BR35" s="7">
        <v>8623561</v>
      </c>
      <c r="BS35" s="7">
        <v>12610274</v>
      </c>
      <c r="BT35" s="7">
        <v>15677706</v>
      </c>
      <c r="BU35" s="7">
        <v>18815030</v>
      </c>
      <c r="BV35" s="7">
        <v>21774664</v>
      </c>
      <c r="BW35" s="7">
        <v>25278290</v>
      </c>
      <c r="BX35" s="7">
        <v>30144344</v>
      </c>
      <c r="BY35" s="7">
        <v>37764237</v>
      </c>
      <c r="BZ35" s="7">
        <v>48335683</v>
      </c>
      <c r="CA35" s="7">
        <v>61662087</v>
      </c>
      <c r="CB35" s="7">
        <f t="shared" si="55"/>
        <v>61662087</v>
      </c>
      <c r="CC35" s="7">
        <v>2667250</v>
      </c>
      <c r="CD35" s="7">
        <v>10044327</v>
      </c>
      <c r="CE35" s="7">
        <v>16258240</v>
      </c>
      <c r="CF35" s="7">
        <v>20216983</v>
      </c>
      <c r="CG35" s="7">
        <v>23232514</v>
      </c>
      <c r="CH35" s="7">
        <v>27197118</v>
      </c>
      <c r="CI35" s="7">
        <v>32144233</v>
      </c>
      <c r="CJ35" s="7">
        <v>38307654</v>
      </c>
      <c r="CK35" s="7">
        <v>44833503</v>
      </c>
      <c r="CL35" s="7">
        <v>52317209</v>
      </c>
      <c r="CM35" s="7">
        <v>59444391</v>
      </c>
      <c r="CN35" s="7">
        <v>71411475</v>
      </c>
      <c r="CO35" s="7">
        <f t="shared" si="56"/>
        <v>71411475</v>
      </c>
      <c r="CP35" s="7">
        <v>3825181</v>
      </c>
      <c r="CQ35" s="7">
        <v>8964985</v>
      </c>
      <c r="CR35" s="7">
        <v>15055911</v>
      </c>
      <c r="CS35" s="7">
        <v>20048280</v>
      </c>
      <c r="CT35" s="7">
        <v>26317106</v>
      </c>
      <c r="CU35" s="7">
        <v>31688072</v>
      </c>
      <c r="CV35" s="7">
        <v>36444446</v>
      </c>
      <c r="CW35" s="7">
        <v>42554997</v>
      </c>
      <c r="CX35" s="7">
        <v>48413592</v>
      </c>
      <c r="CY35" s="7">
        <v>53825635</v>
      </c>
      <c r="CZ35" s="7">
        <v>60943515</v>
      </c>
      <c r="DA35" s="7">
        <v>72860066</v>
      </c>
      <c r="DB35" s="7">
        <f t="shared" si="57"/>
        <v>72860066</v>
      </c>
      <c r="DC35" s="7">
        <v>0</v>
      </c>
      <c r="DD35" s="7">
        <v>6831369</v>
      </c>
      <c r="DE35" s="7">
        <v>12735359</v>
      </c>
      <c r="DF35" s="7">
        <v>17744111</v>
      </c>
      <c r="DG35" s="7">
        <v>21871504</v>
      </c>
      <c r="DH35" s="7">
        <v>26590987</v>
      </c>
      <c r="DI35" s="7">
        <v>29792299</v>
      </c>
      <c r="DJ35" s="7">
        <v>33545628</v>
      </c>
      <c r="DK35" s="7">
        <v>38180759</v>
      </c>
      <c r="DL35" s="7">
        <v>44900676</v>
      </c>
      <c r="DM35" s="7">
        <v>49875536</v>
      </c>
      <c r="DN35" s="7">
        <v>63389831</v>
      </c>
      <c r="DO35" s="7">
        <f t="shared" si="58"/>
        <v>63389831</v>
      </c>
      <c r="DP35" s="7">
        <v>0</v>
      </c>
      <c r="DQ35" s="7">
        <v>9852119</v>
      </c>
      <c r="DR35" s="7">
        <v>18996634</v>
      </c>
      <c r="DS35" s="7">
        <v>27251266</v>
      </c>
      <c r="DT35" s="7">
        <v>35013028</v>
      </c>
      <c r="DU35" s="7">
        <v>43003795</v>
      </c>
      <c r="DV35" s="7">
        <v>50751095</v>
      </c>
      <c r="DW35" s="7">
        <v>58156520</v>
      </c>
      <c r="DX35" s="7">
        <v>66259094</v>
      </c>
      <c r="DY35" s="7">
        <v>74165411</v>
      </c>
      <c r="DZ35" s="7">
        <v>86349973</v>
      </c>
      <c r="EA35" s="7">
        <v>104365673</v>
      </c>
      <c r="EB35" s="7">
        <f t="shared" si="59"/>
        <v>104365673</v>
      </c>
      <c r="EC35" s="7">
        <v>0</v>
      </c>
      <c r="ED35" s="7">
        <v>14355305</v>
      </c>
      <c r="EE35" s="7">
        <v>24004310</v>
      </c>
      <c r="EF35" s="7">
        <v>34981155</v>
      </c>
      <c r="EG35" s="7">
        <v>44329314</v>
      </c>
      <c r="EH35" s="7">
        <v>57184018</v>
      </c>
      <c r="EI35" s="7">
        <v>67266994</v>
      </c>
      <c r="EJ35" s="7">
        <v>77238997</v>
      </c>
      <c r="EK35" s="7">
        <v>87016951</v>
      </c>
      <c r="EL35" s="7">
        <v>98032816</v>
      </c>
      <c r="EM35" s="7">
        <v>108856624</v>
      </c>
      <c r="EN35" s="7">
        <v>122976500</v>
      </c>
      <c r="EO35" s="7">
        <f t="shared" si="60"/>
        <v>122976500</v>
      </c>
      <c r="EP35" s="7">
        <v>11343929</v>
      </c>
      <c r="EQ35" s="7">
        <v>22880886</v>
      </c>
      <c r="ER35" s="7">
        <v>31954442</v>
      </c>
      <c r="ES35" s="7">
        <v>40743206</v>
      </c>
      <c r="ET35" s="7">
        <v>50003253</v>
      </c>
      <c r="EU35" s="7">
        <v>61155170</v>
      </c>
      <c r="EV35" s="7">
        <v>73000387</v>
      </c>
      <c r="EW35" s="7">
        <v>82403582</v>
      </c>
      <c r="EX35" s="7">
        <v>91424463</v>
      </c>
      <c r="EY35" s="7">
        <v>102261627</v>
      </c>
      <c r="EZ35" s="7">
        <v>115278067</v>
      </c>
      <c r="FA35" s="7">
        <v>140810158</v>
      </c>
      <c r="FB35" s="7">
        <f t="shared" si="61"/>
        <v>140810158</v>
      </c>
      <c r="FC35" s="7">
        <v>5334724</v>
      </c>
      <c r="FD35" s="7">
        <v>18823694</v>
      </c>
      <c r="FE35" s="7">
        <v>29721986</v>
      </c>
      <c r="FF35" s="7">
        <v>39558533</v>
      </c>
      <c r="FG35" s="7">
        <v>50252046</v>
      </c>
      <c r="FH35" s="7">
        <v>57851838</v>
      </c>
      <c r="FI35" s="7">
        <v>65221155</v>
      </c>
      <c r="FO35" s="7">
        <f t="shared" si="62"/>
        <v>65221155</v>
      </c>
    </row>
    <row r="36" spans="2:171" ht="28.05" customHeight="1" x14ac:dyDescent="0.3">
      <c r="B36" s="6" t="s">
        <v>50</v>
      </c>
      <c r="C36" s="7">
        <v>0</v>
      </c>
      <c r="D36" s="7">
        <v>3153629</v>
      </c>
      <c r="E36" s="7">
        <v>6333205</v>
      </c>
      <c r="F36" s="7">
        <v>10206572</v>
      </c>
      <c r="G36" s="7">
        <v>13380354</v>
      </c>
      <c r="H36" s="7">
        <v>15204069</v>
      </c>
      <c r="I36" s="7">
        <v>18935291</v>
      </c>
      <c r="J36" s="7">
        <v>22710901</v>
      </c>
      <c r="K36" s="7">
        <v>27092685</v>
      </c>
      <c r="L36" s="7">
        <v>30577580</v>
      </c>
      <c r="M36" s="7">
        <v>35648923</v>
      </c>
      <c r="N36" s="7">
        <v>45255795</v>
      </c>
      <c r="O36" s="7">
        <f t="shared" si="50"/>
        <v>45255795</v>
      </c>
      <c r="P36" s="7">
        <v>2264225</v>
      </c>
      <c r="Q36" s="7">
        <v>4541595</v>
      </c>
      <c r="R36" s="7">
        <v>8911305</v>
      </c>
      <c r="S36" s="7">
        <v>11084249</v>
      </c>
      <c r="T36" s="7">
        <v>12623921</v>
      </c>
      <c r="U36" s="7">
        <v>14560264</v>
      </c>
      <c r="V36" s="7">
        <v>16520085</v>
      </c>
      <c r="W36" s="7">
        <v>18590642</v>
      </c>
      <c r="X36" s="7">
        <v>20057752</v>
      </c>
      <c r="Y36" s="7">
        <v>21728752</v>
      </c>
      <c r="Z36" s="7">
        <v>25609920</v>
      </c>
      <c r="AA36" s="7">
        <v>34520713</v>
      </c>
      <c r="AB36" s="7">
        <f t="shared" si="51"/>
        <v>34520713</v>
      </c>
      <c r="AC36" s="7">
        <v>1294891</v>
      </c>
      <c r="AD36" s="7">
        <v>3230391</v>
      </c>
      <c r="AE36" s="7">
        <v>6707771</v>
      </c>
      <c r="AF36" s="7">
        <v>9854285</v>
      </c>
      <c r="AG36" s="7">
        <v>12462996</v>
      </c>
      <c r="AH36" s="7">
        <v>14578473</v>
      </c>
      <c r="AI36" s="7">
        <v>18444600</v>
      </c>
      <c r="AJ36" s="7">
        <v>21445778</v>
      </c>
      <c r="AK36" s="7">
        <v>24594268</v>
      </c>
      <c r="AL36" s="7">
        <v>28879386</v>
      </c>
      <c r="AM36" s="7">
        <v>34953390</v>
      </c>
      <c r="AN36" s="7">
        <v>43649710</v>
      </c>
      <c r="AO36" s="7">
        <f t="shared" si="52"/>
        <v>43649710</v>
      </c>
      <c r="AP36" s="7">
        <v>1701148</v>
      </c>
      <c r="AQ36" s="7">
        <v>4989185</v>
      </c>
      <c r="AR36" s="7">
        <v>8908051</v>
      </c>
      <c r="AS36" s="7">
        <v>11712516</v>
      </c>
      <c r="AT36" s="7">
        <v>15151391</v>
      </c>
      <c r="AU36" s="7">
        <v>18220822</v>
      </c>
      <c r="AV36" s="7">
        <v>21901116</v>
      </c>
      <c r="AW36" s="7">
        <v>24950352</v>
      </c>
      <c r="AX36" s="7">
        <v>28607785</v>
      </c>
      <c r="AY36" s="7">
        <v>32972810</v>
      </c>
      <c r="AZ36" s="7">
        <v>38268304</v>
      </c>
      <c r="BA36" s="7">
        <v>48861397</v>
      </c>
      <c r="BB36" s="7">
        <f t="shared" si="53"/>
        <v>48861397</v>
      </c>
      <c r="BC36" s="7">
        <v>2321145</v>
      </c>
      <c r="BD36" s="7">
        <v>7642086</v>
      </c>
      <c r="BE36" s="7">
        <v>9990190</v>
      </c>
      <c r="BF36" s="7">
        <v>11333440</v>
      </c>
      <c r="BG36" s="7">
        <v>13219960</v>
      </c>
      <c r="BH36" s="7">
        <v>14644250</v>
      </c>
      <c r="BI36" s="7">
        <v>17565409</v>
      </c>
      <c r="BJ36" s="7">
        <v>19503920</v>
      </c>
      <c r="BK36" s="7">
        <v>21067209</v>
      </c>
      <c r="BL36" s="7">
        <v>23658290</v>
      </c>
      <c r="BM36" s="7">
        <v>27309272</v>
      </c>
      <c r="BN36" s="7">
        <v>34089377</v>
      </c>
      <c r="BO36" s="7">
        <f t="shared" si="54"/>
        <v>34089377</v>
      </c>
      <c r="BP36" s="7">
        <v>0</v>
      </c>
      <c r="BQ36" s="7">
        <v>2918777</v>
      </c>
      <c r="BR36" s="7">
        <v>8655533</v>
      </c>
      <c r="BS36" s="7">
        <v>12471449</v>
      </c>
      <c r="BT36" s="7">
        <v>15294277</v>
      </c>
      <c r="BU36" s="7">
        <v>17720411</v>
      </c>
      <c r="BV36" s="7">
        <v>19806946</v>
      </c>
      <c r="BW36" s="7">
        <v>21796811</v>
      </c>
      <c r="BX36" s="7">
        <v>24959259</v>
      </c>
      <c r="BY36" s="7">
        <v>30963792</v>
      </c>
      <c r="BZ36" s="7">
        <v>38358537</v>
      </c>
      <c r="CA36" s="7">
        <v>53939967</v>
      </c>
      <c r="CB36" s="7">
        <f t="shared" si="55"/>
        <v>53939967</v>
      </c>
      <c r="CC36" s="7">
        <v>303665</v>
      </c>
      <c r="CD36" s="7">
        <v>4282732</v>
      </c>
      <c r="CE36" s="7">
        <v>8015041</v>
      </c>
      <c r="CF36" s="7">
        <v>10962085</v>
      </c>
      <c r="CG36" s="7">
        <v>13797288</v>
      </c>
      <c r="CH36" s="7">
        <v>16103675</v>
      </c>
      <c r="CI36" s="7">
        <v>17499070</v>
      </c>
      <c r="CJ36" s="7">
        <v>18841178</v>
      </c>
      <c r="CK36" s="7">
        <v>20956225</v>
      </c>
      <c r="CL36" s="7">
        <v>26897713</v>
      </c>
      <c r="CM36" s="7">
        <v>39607854</v>
      </c>
      <c r="CN36" s="7">
        <v>58248413</v>
      </c>
      <c r="CO36" s="7">
        <f t="shared" si="56"/>
        <v>58248413</v>
      </c>
      <c r="CP36" s="7">
        <v>5238741</v>
      </c>
      <c r="CQ36" s="7">
        <v>10943486</v>
      </c>
      <c r="CR36" s="7">
        <v>18457428</v>
      </c>
      <c r="CS36" s="7">
        <v>27356255</v>
      </c>
      <c r="CT36" s="7">
        <v>33912011</v>
      </c>
      <c r="CU36" s="7">
        <v>39164650</v>
      </c>
      <c r="CV36" s="7">
        <v>41928107</v>
      </c>
      <c r="CW36" s="7">
        <v>45570244</v>
      </c>
      <c r="CX36" s="7">
        <v>48624248</v>
      </c>
      <c r="CY36" s="7">
        <v>50023582</v>
      </c>
      <c r="CZ36" s="7">
        <v>51847218</v>
      </c>
      <c r="DA36" s="7">
        <v>56686190</v>
      </c>
      <c r="DB36" s="7">
        <f t="shared" si="57"/>
        <v>56686190</v>
      </c>
      <c r="DC36" s="7">
        <v>839540</v>
      </c>
      <c r="DD36" s="7">
        <v>1930275</v>
      </c>
      <c r="DE36" s="7">
        <v>5065401</v>
      </c>
      <c r="DF36" s="7">
        <v>7642514</v>
      </c>
      <c r="DG36" s="7">
        <v>8217159</v>
      </c>
      <c r="DH36" s="7">
        <v>9505928</v>
      </c>
      <c r="DI36" s="7">
        <v>12107075</v>
      </c>
      <c r="DJ36" s="7">
        <v>14547935</v>
      </c>
      <c r="DK36" s="7">
        <v>17494128</v>
      </c>
      <c r="DL36" s="7">
        <v>27673768</v>
      </c>
      <c r="DM36" s="7">
        <v>40027308</v>
      </c>
      <c r="DN36" s="7">
        <v>65439532</v>
      </c>
      <c r="DO36" s="7">
        <f t="shared" si="58"/>
        <v>65439532</v>
      </c>
      <c r="DP36" s="7">
        <v>0</v>
      </c>
      <c r="DQ36" s="7">
        <v>13210998</v>
      </c>
      <c r="DR36" s="7">
        <v>26801255</v>
      </c>
      <c r="DS36" s="7">
        <v>34566510</v>
      </c>
      <c r="DT36" s="7">
        <v>40280060</v>
      </c>
      <c r="DU36" s="7">
        <v>46287111</v>
      </c>
      <c r="DV36" s="7">
        <v>50590434</v>
      </c>
      <c r="DW36" s="7">
        <v>60655017</v>
      </c>
      <c r="DX36" s="7">
        <v>67496353</v>
      </c>
      <c r="DY36" s="7">
        <v>74862435</v>
      </c>
      <c r="DZ36" s="7">
        <v>89687930</v>
      </c>
      <c r="EA36" s="7">
        <v>122803224</v>
      </c>
      <c r="EB36" s="7">
        <f t="shared" si="59"/>
        <v>122803224</v>
      </c>
      <c r="EC36" s="7">
        <v>0</v>
      </c>
      <c r="ED36" s="7">
        <v>10801902</v>
      </c>
      <c r="EE36" s="7">
        <v>21691356</v>
      </c>
      <c r="EF36" s="7">
        <v>33317068</v>
      </c>
      <c r="EG36" s="7">
        <v>44122345</v>
      </c>
      <c r="EH36" s="7">
        <v>59135603</v>
      </c>
      <c r="EI36" s="7">
        <v>66601938</v>
      </c>
      <c r="EJ36" s="7">
        <v>74752243</v>
      </c>
      <c r="EK36" s="7">
        <v>86852892</v>
      </c>
      <c r="EL36" s="7">
        <v>99348688</v>
      </c>
      <c r="EM36" s="7">
        <v>111690617</v>
      </c>
      <c r="EN36" s="7">
        <v>121236421</v>
      </c>
      <c r="EO36" s="7">
        <f t="shared" si="60"/>
        <v>121236421</v>
      </c>
      <c r="EP36" s="7">
        <v>5480453</v>
      </c>
      <c r="EQ36" s="7">
        <v>18789767</v>
      </c>
      <c r="ER36" s="7">
        <v>33876924</v>
      </c>
      <c r="ES36" s="7">
        <v>51049771</v>
      </c>
      <c r="ET36" s="7">
        <v>63060218</v>
      </c>
      <c r="EU36" s="7">
        <v>70081917</v>
      </c>
      <c r="EV36" s="7">
        <v>74458174</v>
      </c>
      <c r="EW36" s="7">
        <v>78656297</v>
      </c>
      <c r="EX36" s="7">
        <v>86517922</v>
      </c>
      <c r="EY36" s="7">
        <v>100099974</v>
      </c>
      <c r="EZ36" s="7">
        <v>112429460</v>
      </c>
      <c r="FA36" s="7">
        <v>142638019</v>
      </c>
      <c r="FB36" s="7">
        <f t="shared" si="61"/>
        <v>142638019</v>
      </c>
      <c r="FC36" s="7">
        <v>8605874</v>
      </c>
      <c r="FD36" s="7">
        <v>22342962</v>
      </c>
      <c r="FE36" s="7">
        <v>30219385</v>
      </c>
      <c r="FF36" s="7">
        <v>33540799</v>
      </c>
      <c r="FG36" s="7">
        <v>36963751</v>
      </c>
      <c r="FH36" s="7">
        <v>51185776</v>
      </c>
      <c r="FI36" s="7">
        <v>55356746</v>
      </c>
      <c r="FO36" s="7">
        <f t="shared" si="62"/>
        <v>55356746</v>
      </c>
    </row>
    <row r="37" spans="2:171" ht="28.05" customHeight="1" x14ac:dyDescent="0.3">
      <c r="B37" s="6" t="s">
        <v>51</v>
      </c>
      <c r="C37" s="7">
        <v>0</v>
      </c>
      <c r="D37" s="7">
        <v>57591</v>
      </c>
      <c r="E37" s="7">
        <v>2904221</v>
      </c>
      <c r="F37" s="7">
        <v>4181638</v>
      </c>
      <c r="G37" s="7">
        <v>8599963</v>
      </c>
      <c r="H37" s="7">
        <v>17353835</v>
      </c>
      <c r="I37" s="7">
        <v>19639160</v>
      </c>
      <c r="J37" s="7">
        <v>20130486</v>
      </c>
      <c r="K37" s="7">
        <v>20287005</v>
      </c>
      <c r="L37" s="7">
        <v>20566868</v>
      </c>
      <c r="M37" s="7">
        <v>23635450</v>
      </c>
      <c r="N37" s="7">
        <v>25363607</v>
      </c>
      <c r="O37" s="7">
        <f t="shared" si="50"/>
        <v>25363607</v>
      </c>
      <c r="P37" s="7">
        <v>298118</v>
      </c>
      <c r="Q37" s="7">
        <v>929191</v>
      </c>
      <c r="R37" s="7">
        <v>1348993</v>
      </c>
      <c r="S37" s="7">
        <v>1710614</v>
      </c>
      <c r="T37" s="7">
        <v>1997677</v>
      </c>
      <c r="U37" s="7">
        <v>2275739</v>
      </c>
      <c r="V37" s="7">
        <v>3467099</v>
      </c>
      <c r="W37" s="7">
        <v>4389984</v>
      </c>
      <c r="X37" s="7">
        <v>5606304</v>
      </c>
      <c r="Y37" s="7">
        <v>7175069</v>
      </c>
      <c r="Z37" s="7">
        <v>9072251</v>
      </c>
      <c r="AA37" s="7">
        <v>11974051</v>
      </c>
      <c r="AB37" s="7">
        <f t="shared" si="51"/>
        <v>11974051</v>
      </c>
      <c r="AC37" s="7">
        <v>0</v>
      </c>
      <c r="AD37" s="7">
        <v>1722584</v>
      </c>
      <c r="AE37" s="7">
        <v>2423350</v>
      </c>
      <c r="AF37" s="7">
        <v>4116924</v>
      </c>
      <c r="AG37" s="7">
        <v>5773095</v>
      </c>
      <c r="AH37" s="7">
        <v>7187484</v>
      </c>
      <c r="AI37" s="7">
        <v>8310819</v>
      </c>
      <c r="AJ37" s="7">
        <v>8643566</v>
      </c>
      <c r="AK37" s="7">
        <v>10276104</v>
      </c>
      <c r="AL37" s="7">
        <v>11991317</v>
      </c>
      <c r="AM37" s="7">
        <v>13830342</v>
      </c>
      <c r="AN37" s="7">
        <v>16091959</v>
      </c>
      <c r="AO37" s="7">
        <f t="shared" si="52"/>
        <v>16091959</v>
      </c>
      <c r="AP37" s="7">
        <v>0</v>
      </c>
      <c r="AQ37" s="7">
        <v>1930720</v>
      </c>
      <c r="AR37" s="7">
        <v>3039686</v>
      </c>
      <c r="AS37" s="7">
        <v>4280290</v>
      </c>
      <c r="AT37" s="7">
        <v>5593090</v>
      </c>
      <c r="AU37" s="7">
        <v>8744083</v>
      </c>
      <c r="AV37" s="7">
        <v>10181331</v>
      </c>
      <c r="AW37" s="7">
        <v>11686410</v>
      </c>
      <c r="AX37" s="7">
        <v>13119459</v>
      </c>
      <c r="AY37" s="7">
        <v>14292697</v>
      </c>
      <c r="AZ37" s="7">
        <v>15490579</v>
      </c>
      <c r="BA37" s="7">
        <v>21241804</v>
      </c>
      <c r="BB37" s="7">
        <f t="shared" si="53"/>
        <v>21241804</v>
      </c>
      <c r="BC37" s="7">
        <v>0</v>
      </c>
      <c r="BD37" s="7">
        <v>5886400</v>
      </c>
      <c r="BE37" s="7">
        <v>7481295</v>
      </c>
      <c r="BF37" s="7">
        <v>8719920</v>
      </c>
      <c r="BG37" s="7">
        <v>11153942</v>
      </c>
      <c r="BH37" s="7">
        <v>12155230</v>
      </c>
      <c r="BI37" s="7">
        <v>13134856</v>
      </c>
      <c r="BJ37" s="7">
        <v>14455606</v>
      </c>
      <c r="BK37" s="7">
        <v>16064457</v>
      </c>
      <c r="BL37" s="7">
        <v>17132589</v>
      </c>
      <c r="BM37" s="7">
        <v>17904381</v>
      </c>
      <c r="BN37" s="7">
        <v>20784765</v>
      </c>
      <c r="BO37" s="7">
        <f t="shared" si="54"/>
        <v>20784765</v>
      </c>
      <c r="BP37" s="7">
        <v>0</v>
      </c>
      <c r="BQ37" s="7">
        <v>1041613</v>
      </c>
      <c r="BR37" s="7">
        <v>1825993</v>
      </c>
      <c r="BS37" s="7">
        <v>2954492</v>
      </c>
      <c r="BT37" s="7">
        <v>3961108</v>
      </c>
      <c r="BU37" s="7">
        <v>4263265</v>
      </c>
      <c r="BV37" s="7">
        <v>5067001</v>
      </c>
      <c r="BW37" s="7">
        <v>5568722</v>
      </c>
      <c r="BX37" s="7">
        <v>6156946</v>
      </c>
      <c r="BY37" s="7">
        <v>7114240</v>
      </c>
      <c r="BZ37" s="7">
        <v>12100538</v>
      </c>
      <c r="CA37" s="7">
        <v>14179880</v>
      </c>
      <c r="CB37" s="7">
        <f t="shared" si="55"/>
        <v>14179880</v>
      </c>
      <c r="CC37" s="7">
        <v>0</v>
      </c>
      <c r="CD37" s="7">
        <v>30830</v>
      </c>
      <c r="CE37" s="7">
        <v>126373</v>
      </c>
      <c r="CF37" s="7">
        <v>260932</v>
      </c>
      <c r="CG37" s="7">
        <v>271532</v>
      </c>
      <c r="CH37" s="7">
        <v>391694</v>
      </c>
      <c r="CI37" s="7">
        <v>448090</v>
      </c>
      <c r="CJ37" s="7">
        <v>1130221</v>
      </c>
      <c r="CK37" s="7">
        <v>1726167</v>
      </c>
      <c r="CL37" s="7">
        <v>2486239</v>
      </c>
      <c r="CM37" s="7">
        <v>3563594</v>
      </c>
      <c r="CN37" s="7">
        <v>4911613</v>
      </c>
      <c r="CO37" s="7">
        <f t="shared" si="56"/>
        <v>4911613</v>
      </c>
      <c r="CP37" s="7">
        <v>0</v>
      </c>
      <c r="CQ37" s="7">
        <v>185308</v>
      </c>
      <c r="CR37" s="7">
        <v>472311</v>
      </c>
      <c r="CS37" s="7">
        <v>867432</v>
      </c>
      <c r="CT37" s="7">
        <v>1160606</v>
      </c>
      <c r="CU37" s="7">
        <v>1516702</v>
      </c>
      <c r="CV37" s="7">
        <v>2083480</v>
      </c>
      <c r="CW37" s="7">
        <v>2750574</v>
      </c>
      <c r="CX37" s="7">
        <v>3861743</v>
      </c>
      <c r="CY37" s="7">
        <v>4604946</v>
      </c>
      <c r="CZ37" s="7">
        <v>5590277</v>
      </c>
      <c r="DA37" s="7">
        <v>7136830</v>
      </c>
      <c r="DB37" s="7">
        <f t="shared" si="57"/>
        <v>7136830</v>
      </c>
      <c r="DC37" s="7">
        <v>0</v>
      </c>
      <c r="DD37" s="7">
        <v>0</v>
      </c>
      <c r="DE37" s="7">
        <v>112783</v>
      </c>
      <c r="DF37" s="7">
        <v>865235</v>
      </c>
      <c r="DG37" s="7">
        <v>1090968</v>
      </c>
      <c r="DH37" s="7">
        <v>1329914</v>
      </c>
      <c r="DI37" s="7">
        <v>1964401</v>
      </c>
      <c r="DJ37" s="7">
        <v>2518748</v>
      </c>
      <c r="DK37" s="7">
        <v>3753691</v>
      </c>
      <c r="DL37" s="7">
        <v>4505699</v>
      </c>
      <c r="DM37" s="7">
        <v>5158128</v>
      </c>
      <c r="DN37" s="7">
        <v>6961523</v>
      </c>
      <c r="DO37" s="7">
        <f t="shared" si="58"/>
        <v>6961523</v>
      </c>
      <c r="DP37" s="7">
        <v>0</v>
      </c>
      <c r="DQ37" s="7">
        <v>14295</v>
      </c>
      <c r="DR37" s="7">
        <v>519418</v>
      </c>
      <c r="DS37" s="7">
        <v>818017</v>
      </c>
      <c r="DT37" s="7">
        <v>1410647</v>
      </c>
      <c r="DU37" s="7">
        <v>2049207</v>
      </c>
      <c r="DV37" s="7">
        <v>2506834</v>
      </c>
      <c r="DW37" s="7">
        <v>3618243</v>
      </c>
      <c r="DX37" s="7">
        <v>4988476</v>
      </c>
      <c r="DY37" s="7">
        <v>5883654</v>
      </c>
      <c r="DZ37" s="7">
        <v>7168509</v>
      </c>
      <c r="EA37" s="7">
        <v>8421473</v>
      </c>
      <c r="EB37" s="7">
        <f t="shared" si="59"/>
        <v>8421473</v>
      </c>
      <c r="EC37" s="7">
        <v>0</v>
      </c>
      <c r="ED37" s="7">
        <v>1265774</v>
      </c>
      <c r="EE37" s="7">
        <v>2147162</v>
      </c>
      <c r="EF37" s="7">
        <v>4222816</v>
      </c>
      <c r="EG37" s="7">
        <v>6702483</v>
      </c>
      <c r="EH37" s="7">
        <v>11199330</v>
      </c>
      <c r="EI37" s="7">
        <v>13041635</v>
      </c>
      <c r="EJ37" s="7">
        <v>16175866</v>
      </c>
      <c r="EK37" s="7">
        <v>20074880</v>
      </c>
      <c r="EL37" s="7">
        <v>23775698</v>
      </c>
      <c r="EM37" s="7">
        <v>27727701</v>
      </c>
      <c r="EN37" s="7">
        <v>33523348</v>
      </c>
      <c r="EO37" s="7">
        <f t="shared" si="60"/>
        <v>33523348</v>
      </c>
      <c r="EP37" s="7">
        <v>1010340</v>
      </c>
      <c r="EQ37" s="7">
        <v>5400393</v>
      </c>
      <c r="ER37" s="7">
        <v>9140892</v>
      </c>
      <c r="ES37" s="7">
        <v>13609867</v>
      </c>
      <c r="ET37" s="7">
        <v>16763840</v>
      </c>
      <c r="EU37" s="7">
        <v>19193589</v>
      </c>
      <c r="EV37" s="7">
        <v>22131755</v>
      </c>
      <c r="EW37" s="7">
        <v>27614100</v>
      </c>
      <c r="EX37" s="7">
        <v>31105744</v>
      </c>
      <c r="EY37" s="7">
        <v>35933608</v>
      </c>
      <c r="EZ37" s="7">
        <v>40868830</v>
      </c>
      <c r="FA37" s="7">
        <v>48235342</v>
      </c>
      <c r="FB37" s="7">
        <f t="shared" si="61"/>
        <v>48235342</v>
      </c>
      <c r="FC37" s="7">
        <v>506557</v>
      </c>
      <c r="FD37" s="7">
        <v>3068948</v>
      </c>
      <c r="FE37" s="7">
        <v>4760248</v>
      </c>
      <c r="FF37" s="7">
        <v>6527517</v>
      </c>
      <c r="FG37" s="7">
        <v>9351673</v>
      </c>
      <c r="FH37" s="7">
        <v>11151630</v>
      </c>
      <c r="FI37" s="7">
        <v>13543806</v>
      </c>
      <c r="FO37" s="7">
        <f t="shared" si="62"/>
        <v>13543806</v>
      </c>
    </row>
    <row r="38" spans="2:171" ht="22.05" customHeight="1" x14ac:dyDescent="0.3">
      <c r="B38" s="4" t="s">
        <v>104</v>
      </c>
      <c r="C38" s="8">
        <f t="shared" ref="C38:AH38" si="63">SUM(C32:C37)</f>
        <v>0</v>
      </c>
      <c r="D38" s="8">
        <f t="shared" si="63"/>
        <v>120157156</v>
      </c>
      <c r="E38" s="8">
        <f t="shared" si="63"/>
        <v>212402104</v>
      </c>
      <c r="F38" s="8">
        <f t="shared" si="63"/>
        <v>322087022</v>
      </c>
      <c r="G38" s="8">
        <f t="shared" si="63"/>
        <v>412090967</v>
      </c>
      <c r="H38" s="8">
        <f t="shared" si="63"/>
        <v>498756864</v>
      </c>
      <c r="I38" s="8">
        <f t="shared" si="63"/>
        <v>570382828</v>
      </c>
      <c r="J38" s="8">
        <f t="shared" si="63"/>
        <v>649456359</v>
      </c>
      <c r="K38" s="8">
        <f t="shared" si="63"/>
        <v>726356908</v>
      </c>
      <c r="L38" s="8">
        <f t="shared" si="63"/>
        <v>812568537</v>
      </c>
      <c r="M38" s="8">
        <f t="shared" si="63"/>
        <v>927783445</v>
      </c>
      <c r="N38" s="8">
        <f t="shared" si="63"/>
        <v>1150621310</v>
      </c>
      <c r="O38" s="8">
        <f t="shared" si="63"/>
        <v>1150621310</v>
      </c>
      <c r="P38" s="8">
        <f t="shared" si="63"/>
        <v>48478804</v>
      </c>
      <c r="Q38" s="8">
        <f t="shared" si="63"/>
        <v>147816788</v>
      </c>
      <c r="R38" s="8">
        <f t="shared" si="63"/>
        <v>271994808</v>
      </c>
      <c r="S38" s="8">
        <f t="shared" si="63"/>
        <v>376369503</v>
      </c>
      <c r="T38" s="8">
        <f t="shared" si="63"/>
        <v>463657912</v>
      </c>
      <c r="U38" s="8">
        <f t="shared" si="63"/>
        <v>543066757</v>
      </c>
      <c r="V38" s="8">
        <f t="shared" si="63"/>
        <v>621752736</v>
      </c>
      <c r="W38" s="8">
        <f t="shared" si="63"/>
        <v>713380202</v>
      </c>
      <c r="X38" s="8">
        <f t="shared" si="63"/>
        <v>801522427</v>
      </c>
      <c r="Y38" s="8">
        <f t="shared" si="63"/>
        <v>904802028</v>
      </c>
      <c r="Z38" s="8">
        <f t="shared" si="63"/>
        <v>1025814269</v>
      </c>
      <c r="AA38" s="8">
        <f t="shared" si="63"/>
        <v>1310228736</v>
      </c>
      <c r="AB38" s="8">
        <f t="shared" si="63"/>
        <v>1310228736</v>
      </c>
      <c r="AC38" s="8">
        <f t="shared" si="63"/>
        <v>48188703</v>
      </c>
      <c r="AD38" s="8">
        <f t="shared" si="63"/>
        <v>147627040</v>
      </c>
      <c r="AE38" s="8">
        <f t="shared" si="63"/>
        <v>261051206</v>
      </c>
      <c r="AF38" s="8">
        <f t="shared" si="63"/>
        <v>363634085</v>
      </c>
      <c r="AG38" s="8">
        <f t="shared" si="63"/>
        <v>455683377</v>
      </c>
      <c r="AH38" s="8">
        <f t="shared" si="63"/>
        <v>554536524</v>
      </c>
      <c r="AI38" s="8">
        <f t="shared" ref="AI38:BN38" si="64">SUM(AI32:AI37)</f>
        <v>640887712</v>
      </c>
      <c r="AJ38" s="8">
        <f t="shared" si="64"/>
        <v>735181111</v>
      </c>
      <c r="AK38" s="8">
        <f t="shared" si="64"/>
        <v>826886740</v>
      </c>
      <c r="AL38" s="8">
        <f t="shared" si="64"/>
        <v>936441264</v>
      </c>
      <c r="AM38" s="8">
        <f t="shared" si="64"/>
        <v>1050473306</v>
      </c>
      <c r="AN38" s="8">
        <f t="shared" si="64"/>
        <v>1271620760</v>
      </c>
      <c r="AO38" s="8">
        <f t="shared" si="64"/>
        <v>1271620760</v>
      </c>
      <c r="AP38" s="8">
        <f t="shared" si="64"/>
        <v>48910458</v>
      </c>
      <c r="AQ38" s="8">
        <f t="shared" si="64"/>
        <v>137777583</v>
      </c>
      <c r="AR38" s="8">
        <f t="shared" si="64"/>
        <v>237726870</v>
      </c>
      <c r="AS38" s="8">
        <f t="shared" si="64"/>
        <v>330462055</v>
      </c>
      <c r="AT38" s="8">
        <f t="shared" si="64"/>
        <v>419627282</v>
      </c>
      <c r="AU38" s="8">
        <f t="shared" si="64"/>
        <v>502977079</v>
      </c>
      <c r="AV38" s="8">
        <f t="shared" si="64"/>
        <v>584861818</v>
      </c>
      <c r="AW38" s="8">
        <f t="shared" si="64"/>
        <v>678618721</v>
      </c>
      <c r="AX38" s="8">
        <f t="shared" si="64"/>
        <v>782063542</v>
      </c>
      <c r="AY38" s="8">
        <f t="shared" si="64"/>
        <v>882582269</v>
      </c>
      <c r="AZ38" s="8">
        <f t="shared" si="64"/>
        <v>1009942536</v>
      </c>
      <c r="BA38" s="8">
        <f t="shared" si="64"/>
        <v>1295752612</v>
      </c>
      <c r="BB38" s="8">
        <f t="shared" si="64"/>
        <v>1295752612</v>
      </c>
      <c r="BC38" s="8">
        <f t="shared" si="64"/>
        <v>6115750</v>
      </c>
      <c r="BD38" s="8">
        <f t="shared" si="64"/>
        <v>113105741</v>
      </c>
      <c r="BE38" s="8">
        <f t="shared" si="64"/>
        <v>224657820</v>
      </c>
      <c r="BF38" s="8">
        <f t="shared" si="64"/>
        <v>312374650</v>
      </c>
      <c r="BG38" s="8">
        <f t="shared" si="64"/>
        <v>411000762</v>
      </c>
      <c r="BH38" s="8">
        <f t="shared" si="64"/>
        <v>502507294</v>
      </c>
      <c r="BI38" s="8">
        <f t="shared" si="64"/>
        <v>588359002</v>
      </c>
      <c r="BJ38" s="8">
        <f t="shared" si="64"/>
        <v>668630698</v>
      </c>
      <c r="BK38" s="8">
        <f t="shared" si="64"/>
        <v>758487396</v>
      </c>
      <c r="BL38" s="8">
        <f t="shared" si="64"/>
        <v>869638190</v>
      </c>
      <c r="BM38" s="8">
        <f t="shared" si="64"/>
        <v>983146634</v>
      </c>
      <c r="BN38" s="8">
        <f t="shared" si="64"/>
        <v>1238500371</v>
      </c>
      <c r="BO38" s="8">
        <f t="shared" ref="BO38:CT38" si="65">SUM(BO32:BO37)</f>
        <v>1238500371</v>
      </c>
      <c r="BP38" s="8">
        <f t="shared" si="65"/>
        <v>0</v>
      </c>
      <c r="BQ38" s="8">
        <f t="shared" si="65"/>
        <v>120160160</v>
      </c>
      <c r="BR38" s="8">
        <f t="shared" si="65"/>
        <v>229435068</v>
      </c>
      <c r="BS38" s="8">
        <f t="shared" si="65"/>
        <v>355819037</v>
      </c>
      <c r="BT38" s="8">
        <f t="shared" si="65"/>
        <v>452704908</v>
      </c>
      <c r="BU38" s="8">
        <f t="shared" si="65"/>
        <v>540130361</v>
      </c>
      <c r="BV38" s="8">
        <f t="shared" si="65"/>
        <v>653413886</v>
      </c>
      <c r="BW38" s="8">
        <f t="shared" si="65"/>
        <v>765858846</v>
      </c>
      <c r="BX38" s="8">
        <f t="shared" si="65"/>
        <v>857993682</v>
      </c>
      <c r="BY38" s="8">
        <f t="shared" si="65"/>
        <v>983882886</v>
      </c>
      <c r="BZ38" s="8">
        <f t="shared" si="65"/>
        <v>1131301399</v>
      </c>
      <c r="CA38" s="8">
        <f t="shared" si="65"/>
        <v>1453847328</v>
      </c>
      <c r="CB38" s="8">
        <f t="shared" si="65"/>
        <v>1453847328</v>
      </c>
      <c r="CC38" s="8">
        <f t="shared" si="65"/>
        <v>2970915</v>
      </c>
      <c r="CD38" s="8">
        <f t="shared" si="65"/>
        <v>111229058</v>
      </c>
      <c r="CE38" s="8">
        <f t="shared" si="65"/>
        <v>248250888</v>
      </c>
      <c r="CF38" s="8">
        <f t="shared" si="65"/>
        <v>355394901</v>
      </c>
      <c r="CG38" s="8">
        <f t="shared" si="65"/>
        <v>432766880</v>
      </c>
      <c r="CH38" s="8">
        <f t="shared" si="65"/>
        <v>548692149</v>
      </c>
      <c r="CI38" s="8">
        <f t="shared" si="65"/>
        <v>657121403</v>
      </c>
      <c r="CJ38" s="8">
        <f t="shared" si="65"/>
        <v>757759373</v>
      </c>
      <c r="CK38" s="8">
        <f t="shared" si="65"/>
        <v>847799800</v>
      </c>
      <c r="CL38" s="8">
        <f t="shared" si="65"/>
        <v>974315454</v>
      </c>
      <c r="CM38" s="8">
        <f t="shared" si="65"/>
        <v>1124163387</v>
      </c>
      <c r="CN38" s="8">
        <f t="shared" si="65"/>
        <v>1365206889</v>
      </c>
      <c r="CO38" s="8">
        <f t="shared" si="65"/>
        <v>1365206889</v>
      </c>
      <c r="CP38" s="8">
        <f t="shared" si="65"/>
        <v>9063922</v>
      </c>
      <c r="CQ38" s="8">
        <f t="shared" si="65"/>
        <v>137668399</v>
      </c>
      <c r="CR38" s="8">
        <f t="shared" si="65"/>
        <v>273072995</v>
      </c>
      <c r="CS38" s="8">
        <f t="shared" si="65"/>
        <v>395305506</v>
      </c>
      <c r="CT38" s="8">
        <f t="shared" si="65"/>
        <v>505627376</v>
      </c>
      <c r="CU38" s="8">
        <f t="shared" ref="CU38:DZ38" si="66">SUM(CU32:CU37)</f>
        <v>609717355</v>
      </c>
      <c r="CV38" s="8">
        <f t="shared" si="66"/>
        <v>705026463</v>
      </c>
      <c r="CW38" s="8">
        <f t="shared" si="66"/>
        <v>816718978</v>
      </c>
      <c r="CX38" s="8">
        <f t="shared" si="66"/>
        <v>916540925</v>
      </c>
      <c r="CY38" s="8">
        <f t="shared" si="66"/>
        <v>1011248601</v>
      </c>
      <c r="CZ38" s="8">
        <f t="shared" si="66"/>
        <v>1136280194</v>
      </c>
      <c r="DA38" s="8">
        <f t="shared" si="66"/>
        <v>1385315227</v>
      </c>
      <c r="DB38" s="8">
        <f t="shared" si="66"/>
        <v>1385315227</v>
      </c>
      <c r="DC38" s="8">
        <f t="shared" si="66"/>
        <v>839540</v>
      </c>
      <c r="DD38" s="8">
        <f t="shared" si="66"/>
        <v>69075861</v>
      </c>
      <c r="DE38" s="8">
        <f t="shared" si="66"/>
        <v>174677845</v>
      </c>
      <c r="DF38" s="8">
        <f t="shared" si="66"/>
        <v>268489493</v>
      </c>
      <c r="DG38" s="8">
        <f t="shared" si="66"/>
        <v>364043518</v>
      </c>
      <c r="DH38" s="8">
        <f t="shared" si="66"/>
        <v>446788276</v>
      </c>
      <c r="DI38" s="8">
        <f t="shared" si="66"/>
        <v>531004823</v>
      </c>
      <c r="DJ38" s="8">
        <f t="shared" si="66"/>
        <v>618188557</v>
      </c>
      <c r="DK38" s="8">
        <f t="shared" si="66"/>
        <v>788061866</v>
      </c>
      <c r="DL38" s="8">
        <f t="shared" si="66"/>
        <v>891621308</v>
      </c>
      <c r="DM38" s="8">
        <f t="shared" si="66"/>
        <v>1016652485</v>
      </c>
      <c r="DN38" s="8">
        <f t="shared" si="66"/>
        <v>1329021310</v>
      </c>
      <c r="DO38" s="8">
        <f t="shared" si="66"/>
        <v>1329021310</v>
      </c>
      <c r="DP38" s="8">
        <f t="shared" si="66"/>
        <v>0</v>
      </c>
      <c r="DQ38" s="8">
        <f t="shared" si="66"/>
        <v>50017462</v>
      </c>
      <c r="DR38" s="8">
        <f t="shared" si="66"/>
        <v>235697520</v>
      </c>
      <c r="DS38" s="8">
        <f t="shared" si="66"/>
        <v>454791585</v>
      </c>
      <c r="DT38" s="8">
        <f t="shared" si="66"/>
        <v>629245834</v>
      </c>
      <c r="DU38" s="8">
        <f t="shared" si="66"/>
        <v>784682314</v>
      </c>
      <c r="DV38" s="8">
        <f t="shared" si="66"/>
        <v>929563819</v>
      </c>
      <c r="DW38" s="8">
        <f t="shared" si="66"/>
        <v>1067413867</v>
      </c>
      <c r="DX38" s="8">
        <f t="shared" si="66"/>
        <v>1203577006</v>
      </c>
      <c r="DY38" s="8">
        <f t="shared" si="66"/>
        <v>1364182299</v>
      </c>
      <c r="DZ38" s="8">
        <f t="shared" si="66"/>
        <v>1584829070</v>
      </c>
      <c r="EA38" s="8">
        <f t="shared" ref="EA38:FF38" si="67">SUM(EA32:EA37)</f>
        <v>2092965249</v>
      </c>
      <c r="EB38" s="8">
        <f t="shared" si="67"/>
        <v>2092965249</v>
      </c>
      <c r="EC38" s="8">
        <f t="shared" si="67"/>
        <v>0</v>
      </c>
      <c r="ED38" s="8">
        <f t="shared" si="67"/>
        <v>158842881</v>
      </c>
      <c r="EE38" s="8">
        <f t="shared" si="67"/>
        <v>342142583</v>
      </c>
      <c r="EF38" s="8">
        <f t="shared" si="67"/>
        <v>535821081</v>
      </c>
      <c r="EG38" s="8">
        <f t="shared" si="67"/>
        <v>735379893</v>
      </c>
      <c r="EH38" s="8">
        <f t="shared" si="67"/>
        <v>1102584586</v>
      </c>
      <c r="EI38" s="8">
        <f t="shared" si="67"/>
        <v>1230811804</v>
      </c>
      <c r="EJ38" s="8">
        <f t="shared" si="67"/>
        <v>1373175282</v>
      </c>
      <c r="EK38" s="8">
        <f t="shared" si="67"/>
        <v>1563902332</v>
      </c>
      <c r="EL38" s="8">
        <f t="shared" si="67"/>
        <v>1761995655</v>
      </c>
      <c r="EM38" s="8">
        <f t="shared" si="67"/>
        <v>2021453346</v>
      </c>
      <c r="EN38" s="8">
        <f t="shared" si="67"/>
        <v>2314939413</v>
      </c>
      <c r="EO38" s="8">
        <f t="shared" si="67"/>
        <v>2314939413</v>
      </c>
      <c r="EP38" s="8">
        <f t="shared" si="67"/>
        <v>23332450</v>
      </c>
      <c r="EQ38" s="8">
        <f t="shared" si="67"/>
        <v>341398159</v>
      </c>
      <c r="ER38" s="8">
        <f t="shared" si="67"/>
        <v>625983482</v>
      </c>
      <c r="ES38" s="8">
        <f t="shared" si="67"/>
        <v>880971205</v>
      </c>
      <c r="ET38" s="8">
        <f t="shared" si="67"/>
        <v>1113168929</v>
      </c>
      <c r="EU38" s="8">
        <f t="shared" si="67"/>
        <v>1318401784</v>
      </c>
      <c r="EV38" s="8">
        <f t="shared" si="67"/>
        <v>1496809902</v>
      </c>
      <c r="EW38" s="8">
        <f t="shared" si="67"/>
        <v>1665089460</v>
      </c>
      <c r="EX38" s="8">
        <f t="shared" si="67"/>
        <v>1878525524</v>
      </c>
      <c r="EY38" s="8">
        <f t="shared" si="67"/>
        <v>2072015046</v>
      </c>
      <c r="EZ38" s="8">
        <f t="shared" si="67"/>
        <v>2288692805</v>
      </c>
      <c r="FA38" s="8">
        <f t="shared" si="67"/>
        <v>2763864492</v>
      </c>
      <c r="FB38" s="8">
        <f t="shared" si="67"/>
        <v>2763864492</v>
      </c>
      <c r="FC38" s="8">
        <f t="shared" si="67"/>
        <v>14447155</v>
      </c>
      <c r="FD38" s="8">
        <f t="shared" si="67"/>
        <v>235514599</v>
      </c>
      <c r="FE38" s="8">
        <f t="shared" si="67"/>
        <v>451239479</v>
      </c>
      <c r="FF38" s="8">
        <f t="shared" si="67"/>
        <v>645570032</v>
      </c>
      <c r="FG38" s="8">
        <f t="shared" ref="FG38:GL38" si="68">SUM(FG32:FG37)</f>
        <v>838467578</v>
      </c>
      <c r="FH38" s="8">
        <f t="shared" si="68"/>
        <v>1055666950</v>
      </c>
      <c r="FI38" s="8">
        <f t="shared" si="68"/>
        <v>1237018963</v>
      </c>
      <c r="FJ38" s="8">
        <f t="shared" si="68"/>
        <v>0</v>
      </c>
      <c r="FK38" s="8">
        <f t="shared" si="68"/>
        <v>0</v>
      </c>
      <c r="FL38" s="8">
        <f t="shared" si="68"/>
        <v>0</v>
      </c>
      <c r="FM38" s="8">
        <f t="shared" si="68"/>
        <v>0</v>
      </c>
      <c r="FN38" s="8">
        <f t="shared" si="68"/>
        <v>0</v>
      </c>
      <c r="FO38" s="8">
        <f t="shared" si="68"/>
        <v>1237018963</v>
      </c>
    </row>
    <row r="39" spans="2:171" x14ac:dyDescent="0.3">
      <c r="B39" s="2" t="s">
        <v>109</v>
      </c>
    </row>
    <row r="42" spans="2:171" ht="25.95" customHeight="1" x14ac:dyDescent="0.3">
      <c r="B42" s="56" t="s">
        <v>110</v>
      </c>
      <c r="C42" s="57"/>
      <c r="D42" s="57"/>
      <c r="E42" s="57"/>
      <c r="F42" s="57"/>
      <c r="G42" s="57"/>
      <c r="H42" s="57"/>
      <c r="I42" s="57"/>
      <c r="J42" s="57"/>
      <c r="K42" s="57"/>
      <c r="L42" s="57"/>
      <c r="M42" s="57"/>
      <c r="N42" s="57"/>
      <c r="O42" s="57"/>
      <c r="P42" s="57"/>
      <c r="Q42" s="57"/>
      <c r="R42" s="57"/>
      <c r="S42" s="57"/>
      <c r="T42" s="57"/>
      <c r="U42" s="57"/>
      <c r="V42" s="57"/>
      <c r="W42" s="57"/>
      <c r="X42" s="57"/>
      <c r="Y42" s="57"/>
      <c r="Z42" s="57"/>
      <c r="AA42" s="57"/>
      <c r="AB42" s="57"/>
      <c r="AC42" s="57"/>
      <c r="AD42" s="57"/>
      <c r="AE42" s="57"/>
      <c r="AF42" s="57"/>
      <c r="AG42" s="57"/>
      <c r="AH42" s="57"/>
      <c r="AI42" s="57"/>
      <c r="AJ42" s="57"/>
      <c r="AK42" s="57"/>
      <c r="AL42" s="57"/>
      <c r="AM42" s="57"/>
      <c r="AN42" s="57"/>
      <c r="AO42" s="57"/>
      <c r="AP42" s="57"/>
      <c r="AQ42" s="57"/>
      <c r="AR42" s="57"/>
      <c r="AS42" s="57"/>
      <c r="AT42" s="57"/>
      <c r="AU42" s="57"/>
      <c r="AV42" s="57"/>
      <c r="AW42" s="57"/>
      <c r="AX42" s="57"/>
      <c r="AY42" s="57"/>
      <c r="AZ42" s="57"/>
      <c r="BA42" s="57"/>
      <c r="BB42" s="57"/>
      <c r="BC42" s="57"/>
      <c r="BD42" s="57"/>
      <c r="BE42" s="57"/>
      <c r="BF42" s="57"/>
      <c r="BG42" s="57"/>
      <c r="BH42" s="57"/>
      <c r="BI42" s="57"/>
      <c r="BJ42" s="57"/>
      <c r="BK42" s="57"/>
      <c r="BL42" s="57"/>
      <c r="BM42" s="57"/>
      <c r="BN42" s="57"/>
      <c r="BO42" s="57"/>
      <c r="BP42" s="57"/>
      <c r="BQ42" s="57"/>
      <c r="BR42" s="57"/>
      <c r="BS42" s="57"/>
      <c r="BT42" s="57"/>
      <c r="BU42" s="57"/>
      <c r="BV42" s="57"/>
      <c r="BW42" s="57"/>
      <c r="BX42" s="57"/>
      <c r="BY42" s="57"/>
      <c r="BZ42" s="57"/>
      <c r="CA42" s="57"/>
      <c r="CB42" s="57"/>
      <c r="CC42" s="57"/>
      <c r="CD42" s="57"/>
      <c r="CE42" s="57"/>
      <c r="CF42" s="57"/>
      <c r="CG42" s="57"/>
      <c r="CH42" s="57"/>
      <c r="CI42" s="57"/>
      <c r="CJ42" s="57"/>
      <c r="CK42" s="57"/>
      <c r="CL42" s="57"/>
      <c r="CM42" s="57"/>
      <c r="CN42" s="57"/>
      <c r="CO42" s="57"/>
      <c r="CP42" s="57"/>
      <c r="CQ42" s="57"/>
      <c r="CR42" s="57"/>
      <c r="CS42" s="57"/>
      <c r="CT42" s="57"/>
      <c r="CU42" s="57"/>
      <c r="CV42" s="57"/>
      <c r="CW42" s="57"/>
      <c r="CX42" s="57"/>
      <c r="CY42" s="57"/>
      <c r="CZ42" s="57"/>
      <c r="DA42" s="57"/>
      <c r="DB42" s="57"/>
      <c r="DC42" s="57"/>
      <c r="DD42" s="57"/>
      <c r="DE42" s="57"/>
      <c r="DF42" s="57"/>
      <c r="DG42" s="57"/>
      <c r="DH42" s="57"/>
      <c r="DI42" s="57"/>
      <c r="DJ42" s="57"/>
      <c r="DK42" s="57"/>
      <c r="DL42" s="57"/>
      <c r="DM42" s="57"/>
      <c r="DN42" s="57"/>
      <c r="DO42" s="57"/>
      <c r="DP42" s="57"/>
      <c r="DQ42" s="57"/>
      <c r="DR42" s="57"/>
      <c r="DS42" s="57"/>
      <c r="DT42" s="57"/>
      <c r="DU42" s="57"/>
      <c r="DV42" s="57"/>
      <c r="DW42" s="57"/>
      <c r="DX42" s="57"/>
      <c r="DY42" s="57"/>
      <c r="DZ42" s="57"/>
      <c r="EA42" s="57"/>
      <c r="EB42" s="57"/>
      <c r="EC42" s="57"/>
      <c r="ED42" s="57"/>
      <c r="EE42" s="57"/>
      <c r="EF42" s="57"/>
      <c r="EG42" s="57"/>
      <c r="EH42" s="57"/>
      <c r="EI42" s="57"/>
      <c r="EJ42" s="57"/>
      <c r="EK42" s="57"/>
      <c r="EL42" s="57"/>
      <c r="EM42" s="57"/>
      <c r="EN42" s="57"/>
      <c r="EO42" s="57"/>
      <c r="EP42" s="57"/>
      <c r="EQ42" s="57"/>
      <c r="ER42" s="57"/>
      <c r="ES42" s="57"/>
      <c r="ET42" s="57"/>
      <c r="EU42" s="57"/>
      <c r="EV42" s="57"/>
      <c r="EW42" s="57"/>
      <c r="EX42" s="57"/>
      <c r="EY42" s="57"/>
      <c r="EZ42" s="57"/>
      <c r="FA42" s="57"/>
      <c r="FB42" s="57"/>
      <c r="FC42" s="57"/>
      <c r="FD42" s="57"/>
      <c r="FE42" s="57"/>
      <c r="FF42" s="57"/>
      <c r="FG42" s="57"/>
      <c r="FH42" s="57"/>
      <c r="FI42" s="57"/>
      <c r="FJ42" s="57"/>
      <c r="FK42" s="57"/>
      <c r="FL42" s="57"/>
      <c r="FM42" s="57"/>
      <c r="FN42" s="57"/>
      <c r="FO42" s="57"/>
    </row>
    <row r="44" spans="2:171" ht="16.05" customHeight="1" x14ac:dyDescent="0.3">
      <c r="B44" s="60" t="s">
        <v>111</v>
      </c>
      <c r="C44" s="57"/>
      <c r="D44" s="57"/>
      <c r="E44" s="57"/>
      <c r="F44" s="57"/>
      <c r="G44" s="57"/>
      <c r="H44" s="57"/>
      <c r="I44" s="57"/>
      <c r="J44" s="57"/>
      <c r="K44" s="57"/>
      <c r="L44" s="57"/>
      <c r="M44" s="57"/>
      <c r="N44" s="57"/>
      <c r="O44" s="57"/>
      <c r="P44" s="57"/>
      <c r="Q44" s="57"/>
      <c r="R44" s="57"/>
      <c r="S44" s="57"/>
      <c r="T44" s="57"/>
      <c r="U44" s="57"/>
      <c r="V44" s="57"/>
      <c r="W44" s="57"/>
      <c r="X44" s="57"/>
      <c r="Y44" s="57"/>
      <c r="Z44" s="57"/>
      <c r="AA44" s="57"/>
      <c r="AB44" s="57"/>
      <c r="AC44" s="57"/>
      <c r="AD44" s="57"/>
      <c r="AE44" s="57"/>
      <c r="AF44" s="57"/>
      <c r="AG44" s="57"/>
      <c r="AH44" s="57"/>
      <c r="AI44" s="57"/>
      <c r="AJ44" s="57"/>
      <c r="AK44" s="57"/>
      <c r="AL44" s="57"/>
      <c r="AM44" s="57"/>
      <c r="AN44" s="57"/>
      <c r="AO44" s="57"/>
      <c r="AP44" s="57"/>
      <c r="AQ44" s="57"/>
      <c r="AR44" s="57"/>
      <c r="AS44" s="57"/>
      <c r="AT44" s="57"/>
      <c r="AU44" s="57"/>
      <c r="AV44" s="57"/>
      <c r="AW44" s="57"/>
      <c r="AX44" s="57"/>
      <c r="AY44" s="57"/>
      <c r="AZ44" s="57"/>
      <c r="BA44" s="57"/>
      <c r="BB44" s="57"/>
      <c r="BC44" s="57"/>
      <c r="BD44" s="57"/>
      <c r="BE44" s="57"/>
      <c r="BF44" s="57"/>
      <c r="BG44" s="57"/>
      <c r="BH44" s="57"/>
      <c r="BI44" s="57"/>
      <c r="BJ44" s="57"/>
      <c r="BK44" s="57"/>
      <c r="BL44" s="57"/>
      <c r="BM44" s="57"/>
      <c r="BN44" s="57"/>
      <c r="BO44" s="57"/>
      <c r="BP44" s="57"/>
      <c r="BQ44" s="57"/>
      <c r="BR44" s="57"/>
      <c r="BS44" s="57"/>
      <c r="BT44" s="57"/>
      <c r="BU44" s="57"/>
      <c r="BV44" s="57"/>
      <c r="BW44" s="57"/>
      <c r="BX44" s="57"/>
      <c r="BY44" s="57"/>
      <c r="BZ44" s="57"/>
      <c r="CA44" s="57"/>
      <c r="CB44" s="57"/>
      <c r="CC44" s="57"/>
      <c r="CD44" s="57"/>
      <c r="CE44" s="57"/>
      <c r="CF44" s="57"/>
      <c r="CG44" s="57"/>
      <c r="CH44" s="57"/>
      <c r="CI44" s="57"/>
      <c r="CJ44" s="57"/>
      <c r="CK44" s="57"/>
      <c r="CL44" s="57"/>
      <c r="CM44" s="57"/>
      <c r="CN44" s="57"/>
      <c r="CO44" s="57"/>
      <c r="CP44" s="57"/>
      <c r="CQ44" s="57"/>
      <c r="CR44" s="57"/>
      <c r="CS44" s="57"/>
      <c r="CT44" s="57"/>
      <c r="CU44" s="57"/>
      <c r="CV44" s="57"/>
      <c r="CW44" s="57"/>
      <c r="CX44" s="57"/>
      <c r="CY44" s="57"/>
      <c r="CZ44" s="57"/>
      <c r="DA44" s="57"/>
      <c r="DB44" s="57"/>
      <c r="DC44" s="57"/>
      <c r="DD44" s="57"/>
      <c r="DE44" s="57"/>
      <c r="DF44" s="57"/>
      <c r="DG44" s="57"/>
      <c r="DH44" s="57"/>
      <c r="DI44" s="57"/>
      <c r="DJ44" s="57"/>
      <c r="DK44" s="57"/>
      <c r="DL44" s="57"/>
      <c r="DM44" s="57"/>
      <c r="DN44" s="57"/>
      <c r="DO44" s="57"/>
      <c r="DP44" s="57"/>
      <c r="DQ44" s="57"/>
      <c r="DR44" s="57"/>
      <c r="DS44" s="57"/>
      <c r="DT44" s="57"/>
      <c r="DU44" s="57"/>
      <c r="DV44" s="57"/>
      <c r="DW44" s="57"/>
      <c r="DX44" s="57"/>
      <c r="DY44" s="57"/>
      <c r="DZ44" s="57"/>
      <c r="EA44" s="57"/>
      <c r="EB44" s="57"/>
      <c r="EC44" s="57"/>
      <c r="ED44" s="57"/>
      <c r="EE44" s="57"/>
      <c r="EF44" s="57"/>
      <c r="EG44" s="57"/>
      <c r="EH44" s="57"/>
      <c r="EI44" s="57"/>
      <c r="EJ44" s="57"/>
      <c r="EK44" s="57"/>
      <c r="EL44" s="57"/>
      <c r="EM44" s="57"/>
      <c r="EN44" s="57"/>
      <c r="EO44" s="57"/>
      <c r="EP44" s="57"/>
      <c r="EQ44" s="57"/>
      <c r="ER44" s="57"/>
      <c r="ES44" s="57"/>
      <c r="ET44" s="57"/>
      <c r="EU44" s="57"/>
      <c r="EV44" s="57"/>
      <c r="EW44" s="57"/>
      <c r="EX44" s="57"/>
      <c r="EY44" s="57"/>
      <c r="EZ44" s="57"/>
      <c r="FA44" s="57"/>
      <c r="FB44" s="57"/>
      <c r="FC44" s="57"/>
      <c r="FD44" s="57"/>
      <c r="FE44" s="57"/>
      <c r="FF44" s="57"/>
      <c r="FG44" s="57"/>
      <c r="FH44" s="57"/>
      <c r="FI44" s="57"/>
      <c r="FJ44" s="57"/>
      <c r="FK44" s="57"/>
      <c r="FL44" s="57"/>
      <c r="FM44" s="57"/>
      <c r="FN44" s="57"/>
      <c r="FO44" s="57"/>
    </row>
    <row r="45" spans="2:171" ht="22.05" customHeight="1" x14ac:dyDescent="0.3">
      <c r="B45" s="3"/>
      <c r="C45" s="58" t="s">
        <v>77</v>
      </c>
      <c r="D45" s="59"/>
      <c r="E45" s="59"/>
      <c r="F45" s="59"/>
      <c r="G45" s="59"/>
      <c r="H45" s="59"/>
      <c r="I45" s="59"/>
      <c r="J45" s="59"/>
      <c r="K45" s="59"/>
      <c r="L45" s="59"/>
      <c r="M45" s="59"/>
      <c r="N45" s="59"/>
      <c r="O45" s="59"/>
      <c r="P45" s="58" t="s">
        <v>78</v>
      </c>
      <c r="Q45" s="59"/>
      <c r="R45" s="59"/>
      <c r="S45" s="59"/>
      <c r="T45" s="59"/>
      <c r="U45" s="59"/>
      <c r="V45" s="59"/>
      <c r="W45" s="59"/>
      <c r="X45" s="59"/>
      <c r="Y45" s="59"/>
      <c r="Z45" s="59"/>
      <c r="AA45" s="59"/>
      <c r="AB45" s="59"/>
      <c r="AC45" s="58" t="s">
        <v>79</v>
      </c>
      <c r="AD45" s="59"/>
      <c r="AE45" s="59"/>
      <c r="AF45" s="59"/>
      <c r="AG45" s="59"/>
      <c r="AH45" s="59"/>
      <c r="AI45" s="59"/>
      <c r="AJ45" s="59"/>
      <c r="AK45" s="59"/>
      <c r="AL45" s="59"/>
      <c r="AM45" s="59"/>
      <c r="AN45" s="59"/>
      <c r="AO45" s="59"/>
      <c r="AP45" s="58" t="s">
        <v>80</v>
      </c>
      <c r="AQ45" s="59"/>
      <c r="AR45" s="59"/>
      <c r="AS45" s="59"/>
      <c r="AT45" s="59"/>
      <c r="AU45" s="59"/>
      <c r="AV45" s="59"/>
      <c r="AW45" s="59"/>
      <c r="AX45" s="59"/>
      <c r="AY45" s="59"/>
      <c r="AZ45" s="59"/>
      <c r="BA45" s="59"/>
      <c r="BB45" s="59"/>
      <c r="BC45" s="58" t="s">
        <v>81</v>
      </c>
      <c r="BD45" s="59"/>
      <c r="BE45" s="59"/>
      <c r="BF45" s="59"/>
      <c r="BG45" s="59"/>
      <c r="BH45" s="59"/>
      <c r="BI45" s="59"/>
      <c r="BJ45" s="59"/>
      <c r="BK45" s="59"/>
      <c r="BL45" s="59"/>
      <c r="BM45" s="59"/>
      <c r="BN45" s="59"/>
      <c r="BO45" s="59"/>
      <c r="BP45" s="58" t="s">
        <v>82</v>
      </c>
      <c r="BQ45" s="59"/>
      <c r="BR45" s="59"/>
      <c r="BS45" s="59"/>
      <c r="BT45" s="59"/>
      <c r="BU45" s="59"/>
      <c r="BV45" s="59"/>
      <c r="BW45" s="59"/>
      <c r="BX45" s="59"/>
      <c r="BY45" s="59"/>
      <c r="BZ45" s="59"/>
      <c r="CA45" s="59"/>
      <c r="CB45" s="59"/>
      <c r="CC45" s="58" t="s">
        <v>83</v>
      </c>
      <c r="CD45" s="59"/>
      <c r="CE45" s="59"/>
      <c r="CF45" s="59"/>
      <c r="CG45" s="59"/>
      <c r="CH45" s="59"/>
      <c r="CI45" s="59"/>
      <c r="CJ45" s="59"/>
      <c r="CK45" s="59"/>
      <c r="CL45" s="59"/>
      <c r="CM45" s="59"/>
      <c r="CN45" s="59"/>
      <c r="CO45" s="59"/>
      <c r="CP45" s="58" t="s">
        <v>112</v>
      </c>
      <c r="CQ45" s="59"/>
      <c r="CR45" s="59"/>
      <c r="CS45" s="59"/>
      <c r="CT45" s="59"/>
      <c r="CU45" s="59"/>
      <c r="CV45" s="59"/>
      <c r="CW45" s="59"/>
      <c r="CX45" s="59"/>
      <c r="CY45" s="59"/>
      <c r="CZ45" s="59"/>
      <c r="DA45" s="59"/>
      <c r="DB45" s="59"/>
      <c r="DC45" s="58" t="s">
        <v>113</v>
      </c>
      <c r="DD45" s="59"/>
      <c r="DE45" s="59"/>
      <c r="DF45" s="59"/>
      <c r="DG45" s="59"/>
      <c r="DH45" s="59"/>
      <c r="DI45" s="59"/>
      <c r="DJ45" s="59"/>
      <c r="DK45" s="59"/>
      <c r="DL45" s="59"/>
      <c r="DM45" s="59"/>
      <c r="DN45" s="59"/>
      <c r="DO45" s="59"/>
      <c r="DP45" s="58" t="s">
        <v>86</v>
      </c>
      <c r="DQ45" s="59"/>
      <c r="DR45" s="59"/>
      <c r="DS45" s="59"/>
      <c r="DT45" s="59"/>
      <c r="DU45" s="59"/>
      <c r="DV45" s="59"/>
      <c r="DW45" s="59"/>
      <c r="DX45" s="59"/>
      <c r="DY45" s="59"/>
      <c r="DZ45" s="59"/>
      <c r="EA45" s="59"/>
      <c r="EB45" s="59"/>
      <c r="EC45" s="58" t="s">
        <v>87</v>
      </c>
      <c r="ED45" s="59"/>
      <c r="EE45" s="59"/>
      <c r="EF45" s="59"/>
      <c r="EG45" s="59"/>
      <c r="EH45" s="59"/>
      <c r="EI45" s="59"/>
      <c r="EJ45" s="59"/>
      <c r="EK45" s="59"/>
      <c r="EL45" s="59"/>
      <c r="EM45" s="59"/>
      <c r="EN45" s="59"/>
      <c r="EO45" s="59"/>
      <c r="EP45" s="58" t="s">
        <v>88</v>
      </c>
      <c r="EQ45" s="59"/>
      <c r="ER45" s="59"/>
      <c r="ES45" s="59"/>
      <c r="ET45" s="59"/>
      <c r="EU45" s="59"/>
      <c r="EV45" s="59"/>
      <c r="EW45" s="59"/>
      <c r="EX45" s="59"/>
      <c r="EY45" s="59"/>
      <c r="EZ45" s="59"/>
      <c r="FA45" s="59"/>
      <c r="FB45" s="59"/>
      <c r="FC45" s="58" t="s">
        <v>89</v>
      </c>
      <c r="FD45" s="59"/>
      <c r="FE45" s="59"/>
      <c r="FF45" s="59"/>
      <c r="FG45" s="59"/>
      <c r="FH45" s="59"/>
      <c r="FI45" s="59"/>
      <c r="FJ45" s="59"/>
      <c r="FK45" s="59"/>
      <c r="FL45" s="59"/>
      <c r="FM45" s="59"/>
      <c r="FN45" s="59"/>
      <c r="FO45" s="59"/>
    </row>
    <row r="46" spans="2:171" ht="28.05" customHeight="1" x14ac:dyDescent="0.3">
      <c r="B46" s="4" t="s">
        <v>90</v>
      </c>
      <c r="C46" s="5" t="s">
        <v>55</v>
      </c>
      <c r="D46" s="5" t="s">
        <v>56</v>
      </c>
      <c r="E46" s="5" t="s">
        <v>57</v>
      </c>
      <c r="F46" s="5" t="s">
        <v>58</v>
      </c>
      <c r="G46" s="5" t="s">
        <v>59</v>
      </c>
      <c r="H46" s="5" t="s">
        <v>60</v>
      </c>
      <c r="I46" s="5" t="s">
        <v>61</v>
      </c>
      <c r="J46" s="5" t="s">
        <v>62</v>
      </c>
      <c r="K46" s="5" t="s">
        <v>63</v>
      </c>
      <c r="L46" s="5" t="s">
        <v>64</v>
      </c>
      <c r="M46" s="5" t="s">
        <v>65</v>
      </c>
      <c r="N46" s="5" t="s">
        <v>66</v>
      </c>
      <c r="O46" s="5" t="s">
        <v>91</v>
      </c>
      <c r="P46" s="5" t="s">
        <v>55</v>
      </c>
      <c r="Q46" s="5" t="s">
        <v>56</v>
      </c>
      <c r="R46" s="5" t="s">
        <v>57</v>
      </c>
      <c r="S46" s="5" t="s">
        <v>58</v>
      </c>
      <c r="T46" s="5" t="s">
        <v>59</v>
      </c>
      <c r="U46" s="5" t="s">
        <v>60</v>
      </c>
      <c r="V46" s="5" t="s">
        <v>61</v>
      </c>
      <c r="W46" s="5" t="s">
        <v>62</v>
      </c>
      <c r="X46" s="5" t="s">
        <v>63</v>
      </c>
      <c r="Y46" s="5" t="s">
        <v>64</v>
      </c>
      <c r="Z46" s="5" t="s">
        <v>65</v>
      </c>
      <c r="AA46" s="5" t="s">
        <v>66</v>
      </c>
      <c r="AB46" s="5" t="s">
        <v>92</v>
      </c>
      <c r="AC46" s="5" t="s">
        <v>55</v>
      </c>
      <c r="AD46" s="5" t="s">
        <v>56</v>
      </c>
      <c r="AE46" s="5" t="s">
        <v>57</v>
      </c>
      <c r="AF46" s="5" t="s">
        <v>58</v>
      </c>
      <c r="AG46" s="5" t="s">
        <v>59</v>
      </c>
      <c r="AH46" s="5" t="s">
        <v>60</v>
      </c>
      <c r="AI46" s="5" t="s">
        <v>61</v>
      </c>
      <c r="AJ46" s="5" t="s">
        <v>62</v>
      </c>
      <c r="AK46" s="5" t="s">
        <v>63</v>
      </c>
      <c r="AL46" s="5" t="s">
        <v>64</v>
      </c>
      <c r="AM46" s="5" t="s">
        <v>65</v>
      </c>
      <c r="AN46" s="5" t="s">
        <v>66</v>
      </c>
      <c r="AO46" s="5" t="s">
        <v>93</v>
      </c>
      <c r="AP46" s="5" t="s">
        <v>55</v>
      </c>
      <c r="AQ46" s="5" t="s">
        <v>56</v>
      </c>
      <c r="AR46" s="5" t="s">
        <v>57</v>
      </c>
      <c r="AS46" s="5" t="s">
        <v>58</v>
      </c>
      <c r="AT46" s="5" t="s">
        <v>59</v>
      </c>
      <c r="AU46" s="5" t="s">
        <v>60</v>
      </c>
      <c r="AV46" s="5" t="s">
        <v>61</v>
      </c>
      <c r="AW46" s="5" t="s">
        <v>62</v>
      </c>
      <c r="AX46" s="5" t="s">
        <v>63</v>
      </c>
      <c r="AY46" s="5" t="s">
        <v>64</v>
      </c>
      <c r="AZ46" s="5" t="s">
        <v>65</v>
      </c>
      <c r="BA46" s="5" t="s">
        <v>66</v>
      </c>
      <c r="BB46" s="5" t="s">
        <v>94</v>
      </c>
      <c r="BC46" s="5" t="s">
        <v>55</v>
      </c>
      <c r="BD46" s="5" t="s">
        <v>56</v>
      </c>
      <c r="BE46" s="5" t="s">
        <v>57</v>
      </c>
      <c r="BF46" s="5" t="s">
        <v>58</v>
      </c>
      <c r="BG46" s="5" t="s">
        <v>59</v>
      </c>
      <c r="BH46" s="5" t="s">
        <v>60</v>
      </c>
      <c r="BI46" s="5" t="s">
        <v>61</v>
      </c>
      <c r="BJ46" s="5" t="s">
        <v>62</v>
      </c>
      <c r="BK46" s="5" t="s">
        <v>63</v>
      </c>
      <c r="BL46" s="5" t="s">
        <v>64</v>
      </c>
      <c r="BM46" s="5" t="s">
        <v>65</v>
      </c>
      <c r="BN46" s="5" t="s">
        <v>66</v>
      </c>
      <c r="BO46" s="5" t="s">
        <v>95</v>
      </c>
      <c r="BP46" s="5" t="s">
        <v>55</v>
      </c>
      <c r="BQ46" s="5" t="s">
        <v>56</v>
      </c>
      <c r="BR46" s="5" t="s">
        <v>57</v>
      </c>
      <c r="BS46" s="5" t="s">
        <v>58</v>
      </c>
      <c r="BT46" s="5" t="s">
        <v>59</v>
      </c>
      <c r="BU46" s="5" t="s">
        <v>60</v>
      </c>
      <c r="BV46" s="5" t="s">
        <v>61</v>
      </c>
      <c r="BW46" s="5" t="s">
        <v>62</v>
      </c>
      <c r="BX46" s="5" t="s">
        <v>63</v>
      </c>
      <c r="BY46" s="5" t="s">
        <v>64</v>
      </c>
      <c r="BZ46" s="5" t="s">
        <v>65</v>
      </c>
      <c r="CA46" s="5" t="s">
        <v>66</v>
      </c>
      <c r="CB46" s="5" t="s">
        <v>96</v>
      </c>
      <c r="CC46" s="5" t="s">
        <v>55</v>
      </c>
      <c r="CD46" s="5" t="s">
        <v>56</v>
      </c>
      <c r="CE46" s="5" t="s">
        <v>57</v>
      </c>
      <c r="CF46" s="5" t="s">
        <v>58</v>
      </c>
      <c r="CG46" s="5" t="s">
        <v>59</v>
      </c>
      <c r="CH46" s="5" t="s">
        <v>60</v>
      </c>
      <c r="CI46" s="5" t="s">
        <v>61</v>
      </c>
      <c r="CJ46" s="5" t="s">
        <v>62</v>
      </c>
      <c r="CK46" s="5" t="s">
        <v>63</v>
      </c>
      <c r="CL46" s="5" t="s">
        <v>64</v>
      </c>
      <c r="CM46" s="5" t="s">
        <v>65</v>
      </c>
      <c r="CN46" s="5" t="s">
        <v>66</v>
      </c>
      <c r="CO46" s="5" t="s">
        <v>97</v>
      </c>
      <c r="CP46" s="5" t="s">
        <v>55</v>
      </c>
      <c r="CQ46" s="5" t="s">
        <v>56</v>
      </c>
      <c r="CR46" s="5" t="s">
        <v>57</v>
      </c>
      <c r="CS46" s="5" t="s">
        <v>58</v>
      </c>
      <c r="CT46" s="5" t="s">
        <v>59</v>
      </c>
      <c r="CU46" s="5" t="s">
        <v>60</v>
      </c>
      <c r="CV46" s="5" t="s">
        <v>61</v>
      </c>
      <c r="CW46" s="5" t="s">
        <v>62</v>
      </c>
      <c r="CX46" s="5" t="s">
        <v>63</v>
      </c>
      <c r="CY46" s="5" t="s">
        <v>64</v>
      </c>
      <c r="CZ46" s="5" t="s">
        <v>65</v>
      </c>
      <c r="DA46" s="5" t="s">
        <v>66</v>
      </c>
      <c r="DB46" s="5" t="s">
        <v>98</v>
      </c>
      <c r="DC46" s="5" t="s">
        <v>55</v>
      </c>
      <c r="DD46" s="5" t="s">
        <v>56</v>
      </c>
      <c r="DE46" s="5" t="s">
        <v>57</v>
      </c>
      <c r="DF46" s="5" t="s">
        <v>58</v>
      </c>
      <c r="DG46" s="5" t="s">
        <v>59</v>
      </c>
      <c r="DH46" s="5" t="s">
        <v>60</v>
      </c>
      <c r="DI46" s="5" t="s">
        <v>61</v>
      </c>
      <c r="DJ46" s="5" t="s">
        <v>62</v>
      </c>
      <c r="DK46" s="5" t="s">
        <v>63</v>
      </c>
      <c r="DL46" s="5" t="s">
        <v>64</v>
      </c>
      <c r="DM46" s="5" t="s">
        <v>65</v>
      </c>
      <c r="DN46" s="5" t="s">
        <v>66</v>
      </c>
      <c r="DO46" s="5" t="s">
        <v>99</v>
      </c>
      <c r="DP46" s="5" t="s">
        <v>55</v>
      </c>
      <c r="DQ46" s="5" t="s">
        <v>56</v>
      </c>
      <c r="DR46" s="5" t="s">
        <v>57</v>
      </c>
      <c r="DS46" s="5" t="s">
        <v>58</v>
      </c>
      <c r="DT46" s="5" t="s">
        <v>59</v>
      </c>
      <c r="DU46" s="5" t="s">
        <v>60</v>
      </c>
      <c r="DV46" s="5" t="s">
        <v>61</v>
      </c>
      <c r="DW46" s="5" t="s">
        <v>62</v>
      </c>
      <c r="DX46" s="5" t="s">
        <v>63</v>
      </c>
      <c r="DY46" s="5" t="s">
        <v>64</v>
      </c>
      <c r="DZ46" s="5" t="s">
        <v>65</v>
      </c>
      <c r="EA46" s="5" t="s">
        <v>66</v>
      </c>
      <c r="EB46" s="5" t="s">
        <v>100</v>
      </c>
      <c r="EC46" s="5" t="s">
        <v>55</v>
      </c>
      <c r="ED46" s="5" t="s">
        <v>56</v>
      </c>
      <c r="EE46" s="5" t="s">
        <v>57</v>
      </c>
      <c r="EF46" s="5" t="s">
        <v>58</v>
      </c>
      <c r="EG46" s="5" t="s">
        <v>59</v>
      </c>
      <c r="EH46" s="5" t="s">
        <v>60</v>
      </c>
      <c r="EI46" s="5" t="s">
        <v>61</v>
      </c>
      <c r="EJ46" s="5" t="s">
        <v>62</v>
      </c>
      <c r="EK46" s="5" t="s">
        <v>63</v>
      </c>
      <c r="EL46" s="5" t="s">
        <v>64</v>
      </c>
      <c r="EM46" s="5" t="s">
        <v>65</v>
      </c>
      <c r="EN46" s="5" t="s">
        <v>66</v>
      </c>
      <c r="EO46" s="5" t="s">
        <v>101</v>
      </c>
      <c r="EP46" s="5" t="s">
        <v>55</v>
      </c>
      <c r="EQ46" s="5" t="s">
        <v>56</v>
      </c>
      <c r="ER46" s="5" t="s">
        <v>57</v>
      </c>
      <c r="ES46" s="5" t="s">
        <v>58</v>
      </c>
      <c r="ET46" s="5" t="s">
        <v>59</v>
      </c>
      <c r="EU46" s="5" t="s">
        <v>60</v>
      </c>
      <c r="EV46" s="5" t="s">
        <v>61</v>
      </c>
      <c r="EW46" s="5" t="s">
        <v>62</v>
      </c>
      <c r="EX46" s="5" t="s">
        <v>63</v>
      </c>
      <c r="EY46" s="5" t="s">
        <v>64</v>
      </c>
      <c r="EZ46" s="5" t="s">
        <v>65</v>
      </c>
      <c r="FA46" s="5" t="s">
        <v>66</v>
      </c>
      <c r="FB46" s="5" t="s">
        <v>102</v>
      </c>
      <c r="FC46" s="5" t="s">
        <v>55</v>
      </c>
      <c r="FD46" s="5" t="s">
        <v>56</v>
      </c>
      <c r="FE46" s="5" t="s">
        <v>57</v>
      </c>
      <c r="FF46" s="5" t="s">
        <v>58</v>
      </c>
      <c r="FG46" s="5" t="s">
        <v>59</v>
      </c>
      <c r="FH46" s="5" t="s">
        <v>60</v>
      </c>
      <c r="FI46" s="5" t="s">
        <v>61</v>
      </c>
      <c r="FJ46" s="5" t="s">
        <v>62</v>
      </c>
      <c r="FK46" s="5" t="s">
        <v>63</v>
      </c>
      <c r="FL46" s="5" t="s">
        <v>64</v>
      </c>
      <c r="FM46" s="5" t="s">
        <v>65</v>
      </c>
      <c r="FN46" s="5" t="s">
        <v>66</v>
      </c>
      <c r="FO46" s="5" t="s">
        <v>103</v>
      </c>
    </row>
    <row r="47" spans="2:171" ht="28.05" customHeight="1" x14ac:dyDescent="0.3">
      <c r="B47" s="6" t="s">
        <v>46</v>
      </c>
      <c r="C47" s="7">
        <v>2953248</v>
      </c>
      <c r="D47" s="7">
        <v>2953248</v>
      </c>
      <c r="E47" s="7">
        <v>2953248</v>
      </c>
      <c r="F47" s="7">
        <v>2953248</v>
      </c>
      <c r="G47" s="7">
        <v>2953248</v>
      </c>
      <c r="H47" s="7">
        <v>2953248</v>
      </c>
      <c r="I47" s="7">
        <v>2953248</v>
      </c>
      <c r="J47" s="7">
        <v>2953248</v>
      </c>
      <c r="K47" s="7">
        <v>2953248</v>
      </c>
      <c r="L47" s="7">
        <v>2953248</v>
      </c>
      <c r="M47" s="7">
        <v>2953248</v>
      </c>
      <c r="N47" s="7">
        <v>2953248</v>
      </c>
      <c r="O47" s="7">
        <f t="shared" ref="O47:O52" si="69">N47</f>
        <v>2953248</v>
      </c>
      <c r="P47" s="7">
        <v>1753030</v>
      </c>
      <c r="Q47" s="7">
        <v>1753030</v>
      </c>
      <c r="R47" s="7">
        <v>1753030</v>
      </c>
      <c r="S47" s="7">
        <v>1753030</v>
      </c>
      <c r="T47" s="7">
        <v>1753030</v>
      </c>
      <c r="U47" s="7">
        <v>1753030</v>
      </c>
      <c r="V47" s="7">
        <v>1753030</v>
      </c>
      <c r="W47" s="7">
        <v>1753030</v>
      </c>
      <c r="X47" s="7">
        <v>1753030</v>
      </c>
      <c r="Y47" s="7">
        <v>1753030</v>
      </c>
      <c r="Z47" s="7">
        <v>1753030</v>
      </c>
      <c r="AA47" s="7">
        <v>1753030</v>
      </c>
      <c r="AB47" s="7">
        <f t="shared" ref="AB47:AB52" si="70">AA47</f>
        <v>1753030</v>
      </c>
      <c r="AC47" s="7">
        <v>1791359</v>
      </c>
      <c r="AD47" s="7">
        <v>1791359</v>
      </c>
      <c r="AE47" s="7">
        <v>1791359</v>
      </c>
      <c r="AF47" s="7">
        <v>1791359</v>
      </c>
      <c r="AG47" s="7">
        <v>1791359</v>
      </c>
      <c r="AH47" s="7">
        <v>1791359</v>
      </c>
      <c r="AI47" s="7">
        <v>1791359</v>
      </c>
      <c r="AJ47" s="7">
        <v>1791359</v>
      </c>
      <c r="AK47" s="7">
        <v>1791359</v>
      </c>
      <c r="AL47" s="7">
        <v>1791359</v>
      </c>
      <c r="AM47" s="7">
        <v>1791359</v>
      </c>
      <c r="AN47" s="7">
        <v>1791359</v>
      </c>
      <c r="AO47" s="7">
        <f t="shared" ref="AO47:AO52" si="71">AN47</f>
        <v>1791359</v>
      </c>
      <c r="AP47" s="7">
        <v>1779405</v>
      </c>
      <c r="AQ47" s="7">
        <v>1779405</v>
      </c>
      <c r="AR47" s="7">
        <v>1779405</v>
      </c>
      <c r="AS47" s="7">
        <v>1779405</v>
      </c>
      <c r="AT47" s="7">
        <v>1779405</v>
      </c>
      <c r="AU47" s="7">
        <v>1779405</v>
      </c>
      <c r="AV47" s="7">
        <v>1779405</v>
      </c>
      <c r="AW47" s="7">
        <v>1779405</v>
      </c>
      <c r="AX47" s="7">
        <v>1779405</v>
      </c>
      <c r="AY47" s="7">
        <v>1779405</v>
      </c>
      <c r="AZ47" s="7">
        <v>1779405</v>
      </c>
      <c r="BA47" s="7">
        <v>1779405</v>
      </c>
      <c r="BB47" s="7">
        <f t="shared" ref="BB47:BB52" si="72">BA47</f>
        <v>1779405</v>
      </c>
      <c r="BC47" s="7">
        <v>1606877</v>
      </c>
      <c r="BD47" s="7">
        <v>1606877</v>
      </c>
      <c r="BE47" s="7">
        <v>1606877</v>
      </c>
      <c r="BF47" s="7">
        <v>1606877</v>
      </c>
      <c r="BG47" s="7">
        <v>1606877</v>
      </c>
      <c r="BH47" s="7">
        <v>1606877</v>
      </c>
      <c r="BI47" s="7">
        <v>1606877</v>
      </c>
      <c r="BJ47" s="7">
        <v>1606877</v>
      </c>
      <c r="BK47" s="7">
        <v>1606877</v>
      </c>
      <c r="BL47" s="7">
        <v>1606877</v>
      </c>
      <c r="BM47" s="7">
        <v>1606877</v>
      </c>
      <c r="BN47" s="7">
        <v>1606877</v>
      </c>
      <c r="BO47" s="7">
        <f t="shared" ref="BO47:BO52" si="73">BN47</f>
        <v>1606877</v>
      </c>
      <c r="BP47" s="7">
        <v>1639746</v>
      </c>
      <c r="BQ47" s="7">
        <v>1639746</v>
      </c>
      <c r="BR47" s="7">
        <v>1639746</v>
      </c>
      <c r="BS47" s="7">
        <v>1639746</v>
      </c>
      <c r="BT47" s="7">
        <v>1639746</v>
      </c>
      <c r="BU47" s="7">
        <v>1639746</v>
      </c>
      <c r="BV47" s="7">
        <v>1639746</v>
      </c>
      <c r="BW47" s="7">
        <v>1639746</v>
      </c>
      <c r="BX47" s="7">
        <v>1639746</v>
      </c>
      <c r="BY47" s="7">
        <v>1639746</v>
      </c>
      <c r="BZ47" s="7">
        <v>1639746</v>
      </c>
      <c r="CA47" s="7">
        <v>1639746</v>
      </c>
      <c r="CB47" s="7">
        <f t="shared" ref="CB47:CB52" si="74">CA47</f>
        <v>1639746</v>
      </c>
      <c r="CC47" s="7">
        <v>1704539</v>
      </c>
      <c r="CD47" s="7">
        <v>1704539</v>
      </c>
      <c r="CE47" s="7">
        <v>1704539</v>
      </c>
      <c r="CF47" s="7">
        <v>1704539</v>
      </c>
      <c r="CG47" s="7">
        <v>1704539</v>
      </c>
      <c r="CH47" s="7">
        <v>1704539</v>
      </c>
      <c r="CI47" s="7">
        <v>1704539</v>
      </c>
      <c r="CJ47" s="7">
        <v>1704539</v>
      </c>
      <c r="CK47" s="7">
        <v>1704539</v>
      </c>
      <c r="CL47" s="7">
        <v>1704539</v>
      </c>
      <c r="CM47" s="7">
        <v>1704539</v>
      </c>
      <c r="CN47" s="7">
        <v>1704539</v>
      </c>
      <c r="CO47" s="7">
        <f t="shared" ref="CO47:CO52" si="75">CN47</f>
        <v>1704539</v>
      </c>
      <c r="CP47" s="7">
        <v>1930914</v>
      </c>
      <c r="CQ47" s="7">
        <v>1930914</v>
      </c>
      <c r="CR47" s="7">
        <v>1930914</v>
      </c>
      <c r="CS47" s="7">
        <v>1930914</v>
      </c>
      <c r="CT47" s="7">
        <v>1930914</v>
      </c>
      <c r="CU47" s="7">
        <v>1930914</v>
      </c>
      <c r="CV47" s="7">
        <v>1930914</v>
      </c>
      <c r="CW47" s="7">
        <v>1930914</v>
      </c>
      <c r="CX47" s="7">
        <v>1930914</v>
      </c>
      <c r="CY47" s="7">
        <v>1930914</v>
      </c>
      <c r="CZ47" s="7">
        <v>1930914</v>
      </c>
      <c r="DA47" s="7">
        <v>1930914</v>
      </c>
      <c r="DB47" s="7">
        <f t="shared" ref="DB47:DB52" si="76">DA47</f>
        <v>1930914</v>
      </c>
      <c r="DC47" s="7">
        <v>298233</v>
      </c>
      <c r="DD47" s="7">
        <v>298233</v>
      </c>
      <c r="DE47" s="7">
        <v>298233</v>
      </c>
      <c r="DF47" s="7">
        <v>298233</v>
      </c>
      <c r="DG47" s="7">
        <v>298233</v>
      </c>
      <c r="DH47" s="7">
        <v>298233</v>
      </c>
      <c r="DI47" s="7">
        <v>298233</v>
      </c>
      <c r="DJ47" s="7">
        <v>298233</v>
      </c>
      <c r="DK47" s="7">
        <v>298233</v>
      </c>
      <c r="DL47" s="7">
        <v>298233</v>
      </c>
      <c r="DM47" s="7">
        <v>298233</v>
      </c>
      <c r="DN47" s="7">
        <v>298233</v>
      </c>
      <c r="DO47" s="7">
        <f t="shared" ref="DO47:DO52" si="77">DN47</f>
        <v>298233</v>
      </c>
      <c r="DP47" s="7">
        <v>22089448</v>
      </c>
      <c r="DQ47" s="7">
        <v>22089448</v>
      </c>
      <c r="DR47" s="7">
        <v>22089448</v>
      </c>
      <c r="DS47" s="7">
        <v>22089448</v>
      </c>
      <c r="DT47" s="7">
        <v>22089448</v>
      </c>
      <c r="DU47" s="7">
        <v>22089448</v>
      </c>
      <c r="DV47" s="7">
        <v>22089448</v>
      </c>
      <c r="DW47" s="7">
        <v>22089448</v>
      </c>
      <c r="DX47" s="7">
        <v>22089448</v>
      </c>
      <c r="DY47" s="7">
        <v>22089448</v>
      </c>
      <c r="DZ47" s="7">
        <v>22089448</v>
      </c>
      <c r="EA47" s="7">
        <v>22089448</v>
      </c>
      <c r="EB47" s="7">
        <f t="shared" ref="EB47:EB52" si="78">EA47</f>
        <v>22089448</v>
      </c>
      <c r="EC47" s="7">
        <v>1135861</v>
      </c>
      <c r="ED47" s="7">
        <v>1135861</v>
      </c>
      <c r="EE47" s="7">
        <v>1135861</v>
      </c>
      <c r="EF47" s="7">
        <v>1135861</v>
      </c>
      <c r="EG47" s="7">
        <v>1135861</v>
      </c>
      <c r="EH47" s="7">
        <v>1135861</v>
      </c>
      <c r="EI47" s="7">
        <v>1135861</v>
      </c>
      <c r="EJ47" s="7">
        <v>1135861</v>
      </c>
      <c r="EK47" s="7">
        <v>1135861</v>
      </c>
      <c r="EL47" s="7">
        <v>1135861</v>
      </c>
      <c r="EM47" s="7">
        <v>1135861</v>
      </c>
      <c r="EN47" s="7">
        <v>1135861</v>
      </c>
      <c r="EO47" s="7">
        <f t="shared" ref="EO47:EO52" si="79">EN47</f>
        <v>1135861</v>
      </c>
      <c r="EP47" s="7">
        <v>6540884</v>
      </c>
      <c r="EQ47" s="7">
        <v>6540884</v>
      </c>
      <c r="ER47" s="7">
        <v>6540884</v>
      </c>
      <c r="ES47" s="7">
        <v>6540884</v>
      </c>
      <c r="ET47" s="7">
        <v>6540884</v>
      </c>
      <c r="EU47" s="7">
        <v>6540884</v>
      </c>
      <c r="EV47" s="7">
        <v>6540884</v>
      </c>
      <c r="EW47" s="7">
        <v>6540884</v>
      </c>
      <c r="EX47" s="7">
        <v>6540884</v>
      </c>
      <c r="EY47" s="7">
        <v>6540884</v>
      </c>
      <c r="EZ47" s="7">
        <v>6540884</v>
      </c>
      <c r="FA47" s="7">
        <v>6540884</v>
      </c>
      <c r="FB47" s="7">
        <f t="shared" ref="FB47:FB52" si="80">FA47</f>
        <v>6540884</v>
      </c>
      <c r="FC47" s="7">
        <v>1062955</v>
      </c>
      <c r="FD47" s="7">
        <v>1062955</v>
      </c>
      <c r="FE47" s="7">
        <v>1062955</v>
      </c>
      <c r="FF47" s="7">
        <v>1062955</v>
      </c>
      <c r="FG47" s="7">
        <v>1062955</v>
      </c>
      <c r="FH47" s="7">
        <v>1062955</v>
      </c>
      <c r="FI47" s="7">
        <v>1062955</v>
      </c>
      <c r="FO47" s="7">
        <f t="shared" ref="FO47:FO52" si="81">FI47</f>
        <v>1062955</v>
      </c>
    </row>
    <row r="48" spans="2:171" ht="28.05" customHeight="1" x14ac:dyDescent="0.3">
      <c r="B48" s="6" t="s">
        <v>47</v>
      </c>
      <c r="C48" s="7">
        <v>381750</v>
      </c>
      <c r="D48" s="7">
        <v>381750</v>
      </c>
      <c r="E48" s="7">
        <v>381750</v>
      </c>
      <c r="F48" s="7">
        <v>381750</v>
      </c>
      <c r="G48" s="7">
        <v>381750</v>
      </c>
      <c r="H48" s="7">
        <v>381750</v>
      </c>
      <c r="I48" s="7">
        <v>381750</v>
      </c>
      <c r="J48" s="7">
        <v>381750</v>
      </c>
      <c r="K48" s="7">
        <v>381750</v>
      </c>
      <c r="L48" s="7">
        <v>381750</v>
      </c>
      <c r="M48" s="7">
        <v>381750</v>
      </c>
      <c r="N48" s="7">
        <v>381750</v>
      </c>
      <c r="O48" s="7">
        <f t="shared" si="69"/>
        <v>381750</v>
      </c>
      <c r="P48" s="7">
        <v>362280</v>
      </c>
      <c r="Q48" s="7">
        <v>362280</v>
      </c>
      <c r="R48" s="7">
        <v>362280</v>
      </c>
      <c r="S48" s="7">
        <v>362280</v>
      </c>
      <c r="T48" s="7">
        <v>362280</v>
      </c>
      <c r="U48" s="7">
        <v>362280</v>
      </c>
      <c r="V48" s="7">
        <v>362280</v>
      </c>
      <c r="W48" s="7">
        <v>362280</v>
      </c>
      <c r="X48" s="7">
        <v>362280</v>
      </c>
      <c r="Y48" s="7">
        <v>362280</v>
      </c>
      <c r="Z48" s="7">
        <v>362280</v>
      </c>
      <c r="AA48" s="7">
        <v>362280</v>
      </c>
      <c r="AB48" s="7">
        <f t="shared" si="70"/>
        <v>362280</v>
      </c>
      <c r="AC48" s="7">
        <v>327142</v>
      </c>
      <c r="AD48" s="7">
        <v>327142</v>
      </c>
      <c r="AE48" s="7">
        <v>327142</v>
      </c>
      <c r="AF48" s="7">
        <v>327142</v>
      </c>
      <c r="AG48" s="7">
        <v>327142</v>
      </c>
      <c r="AH48" s="7">
        <v>327142</v>
      </c>
      <c r="AI48" s="7">
        <v>327142</v>
      </c>
      <c r="AJ48" s="7">
        <v>327142</v>
      </c>
      <c r="AK48" s="7">
        <v>327142</v>
      </c>
      <c r="AL48" s="7">
        <v>327142</v>
      </c>
      <c r="AM48" s="7">
        <v>327142</v>
      </c>
      <c r="AN48" s="7">
        <v>327142</v>
      </c>
      <c r="AO48" s="7">
        <f t="shared" si="71"/>
        <v>327142</v>
      </c>
      <c r="AP48" s="7">
        <v>174624</v>
      </c>
      <c r="AQ48" s="7">
        <v>174624</v>
      </c>
      <c r="AR48" s="7">
        <v>174624</v>
      </c>
      <c r="AS48" s="7">
        <v>174624</v>
      </c>
      <c r="AT48" s="7">
        <v>174624</v>
      </c>
      <c r="AU48" s="7">
        <v>174624</v>
      </c>
      <c r="AV48" s="7">
        <v>174624</v>
      </c>
      <c r="AW48" s="7">
        <v>174624</v>
      </c>
      <c r="AX48" s="7">
        <v>174624</v>
      </c>
      <c r="AY48" s="7">
        <v>174624</v>
      </c>
      <c r="AZ48" s="7">
        <v>174624</v>
      </c>
      <c r="BA48" s="7">
        <v>174624</v>
      </c>
      <c r="BB48" s="7">
        <f t="shared" si="72"/>
        <v>174624</v>
      </c>
      <c r="BC48" s="7">
        <v>139517</v>
      </c>
      <c r="BD48" s="7">
        <v>139517</v>
      </c>
      <c r="BE48" s="7">
        <v>139517</v>
      </c>
      <c r="BF48" s="7">
        <v>139517</v>
      </c>
      <c r="BG48" s="7">
        <v>139517</v>
      </c>
      <c r="BH48" s="7">
        <v>139517</v>
      </c>
      <c r="BI48" s="7">
        <v>139517</v>
      </c>
      <c r="BJ48" s="7">
        <v>139517</v>
      </c>
      <c r="BK48" s="7">
        <v>139517</v>
      </c>
      <c r="BL48" s="7">
        <v>139517</v>
      </c>
      <c r="BM48" s="7">
        <v>139517</v>
      </c>
      <c r="BN48" s="7">
        <v>139517</v>
      </c>
      <c r="BO48" s="7">
        <f t="shared" si="73"/>
        <v>139517</v>
      </c>
      <c r="BP48" s="7">
        <v>115465</v>
      </c>
      <c r="BQ48" s="7">
        <v>115465</v>
      </c>
      <c r="BR48" s="7">
        <v>115465</v>
      </c>
      <c r="BS48" s="7">
        <v>115465</v>
      </c>
      <c r="BT48" s="7">
        <v>115465</v>
      </c>
      <c r="BU48" s="7">
        <v>115465</v>
      </c>
      <c r="BV48" s="7">
        <v>115465</v>
      </c>
      <c r="BW48" s="7">
        <v>115465</v>
      </c>
      <c r="BX48" s="7">
        <v>115465</v>
      </c>
      <c r="BY48" s="7">
        <v>115465</v>
      </c>
      <c r="BZ48" s="7">
        <v>115465</v>
      </c>
      <c r="CA48" s="7">
        <v>115465</v>
      </c>
      <c r="CB48" s="7">
        <f t="shared" si="74"/>
        <v>115465</v>
      </c>
      <c r="CC48" s="7">
        <v>188388</v>
      </c>
      <c r="CD48" s="7">
        <v>188388</v>
      </c>
      <c r="CE48" s="7">
        <v>188388</v>
      </c>
      <c r="CF48" s="7">
        <v>188388</v>
      </c>
      <c r="CG48" s="7">
        <v>188388</v>
      </c>
      <c r="CH48" s="7">
        <v>188388</v>
      </c>
      <c r="CI48" s="7">
        <v>188388</v>
      </c>
      <c r="CJ48" s="7">
        <v>188388</v>
      </c>
      <c r="CK48" s="7">
        <v>188388</v>
      </c>
      <c r="CL48" s="7">
        <v>188388</v>
      </c>
      <c r="CM48" s="7">
        <v>188388</v>
      </c>
      <c r="CN48" s="7">
        <v>188388</v>
      </c>
      <c r="CO48" s="7">
        <f t="shared" si="75"/>
        <v>188388</v>
      </c>
      <c r="CP48" s="7">
        <v>128859</v>
      </c>
      <c r="CQ48" s="7">
        <v>128859</v>
      </c>
      <c r="CR48" s="7">
        <v>128859</v>
      </c>
      <c r="CS48" s="7">
        <v>128859</v>
      </c>
      <c r="CT48" s="7">
        <v>128859</v>
      </c>
      <c r="CU48" s="7">
        <v>128859</v>
      </c>
      <c r="CV48" s="7">
        <v>128859</v>
      </c>
      <c r="CW48" s="7">
        <v>128859</v>
      </c>
      <c r="CX48" s="7">
        <v>128859</v>
      </c>
      <c r="CY48" s="7">
        <v>128859</v>
      </c>
      <c r="CZ48" s="7">
        <v>128859</v>
      </c>
      <c r="DA48" s="7">
        <v>128859</v>
      </c>
      <c r="DB48" s="7">
        <f t="shared" si="76"/>
        <v>128859</v>
      </c>
      <c r="DC48" s="7">
        <v>130362</v>
      </c>
      <c r="DD48" s="7">
        <v>130362</v>
      </c>
      <c r="DE48" s="7">
        <v>130362</v>
      </c>
      <c r="DF48" s="7">
        <v>130362</v>
      </c>
      <c r="DG48" s="7">
        <v>130362</v>
      </c>
      <c r="DH48" s="7">
        <v>130362</v>
      </c>
      <c r="DI48" s="7">
        <v>130362</v>
      </c>
      <c r="DJ48" s="7">
        <v>130362</v>
      </c>
      <c r="DK48" s="7">
        <v>130362</v>
      </c>
      <c r="DL48" s="7">
        <v>130362</v>
      </c>
      <c r="DM48" s="7">
        <v>130362</v>
      </c>
      <c r="DN48" s="7">
        <v>130362</v>
      </c>
      <c r="DO48" s="7">
        <f t="shared" si="77"/>
        <v>130362</v>
      </c>
      <c r="DP48" s="7">
        <v>647086</v>
      </c>
      <c r="DQ48" s="7">
        <v>647086</v>
      </c>
      <c r="DR48" s="7">
        <v>647086</v>
      </c>
      <c r="DS48" s="7">
        <v>647086</v>
      </c>
      <c r="DT48" s="7">
        <v>647086</v>
      </c>
      <c r="DU48" s="7">
        <v>647086</v>
      </c>
      <c r="DV48" s="7">
        <v>647086</v>
      </c>
      <c r="DW48" s="7">
        <v>647086</v>
      </c>
      <c r="DX48" s="7">
        <v>647086</v>
      </c>
      <c r="DY48" s="7">
        <v>647086</v>
      </c>
      <c r="DZ48" s="7">
        <v>647086</v>
      </c>
      <c r="EA48" s="7">
        <v>647086</v>
      </c>
      <c r="EB48" s="7">
        <f t="shared" si="78"/>
        <v>647086</v>
      </c>
      <c r="EC48" s="7">
        <v>856525</v>
      </c>
      <c r="ED48" s="7">
        <v>856525</v>
      </c>
      <c r="EE48" s="7">
        <v>856525</v>
      </c>
      <c r="EF48" s="7">
        <v>856525</v>
      </c>
      <c r="EG48" s="7">
        <v>856525</v>
      </c>
      <c r="EH48" s="7">
        <v>856525</v>
      </c>
      <c r="EI48" s="7">
        <v>856525</v>
      </c>
      <c r="EJ48" s="7">
        <v>856525</v>
      </c>
      <c r="EK48" s="7">
        <v>856525</v>
      </c>
      <c r="EL48" s="7">
        <v>856525</v>
      </c>
      <c r="EM48" s="7">
        <v>856525</v>
      </c>
      <c r="EN48" s="7">
        <v>856525</v>
      </c>
      <c r="EO48" s="7">
        <f t="shared" si="79"/>
        <v>856525</v>
      </c>
      <c r="EP48" s="7">
        <v>1233864</v>
      </c>
      <c r="EQ48" s="7">
        <v>1233864</v>
      </c>
      <c r="ER48" s="7">
        <v>1233864</v>
      </c>
      <c r="ES48" s="7">
        <v>1233864</v>
      </c>
      <c r="ET48" s="7">
        <v>1233864</v>
      </c>
      <c r="EU48" s="7">
        <v>1233864</v>
      </c>
      <c r="EV48" s="7">
        <v>1233864</v>
      </c>
      <c r="EW48" s="7">
        <v>1233864</v>
      </c>
      <c r="EX48" s="7">
        <v>1233864</v>
      </c>
      <c r="EY48" s="7">
        <v>1233864</v>
      </c>
      <c r="EZ48" s="7">
        <v>1233864</v>
      </c>
      <c r="FA48" s="7">
        <v>1233864</v>
      </c>
      <c r="FB48" s="7">
        <f t="shared" si="80"/>
        <v>1233864</v>
      </c>
      <c r="FC48" s="7">
        <v>651088</v>
      </c>
      <c r="FD48" s="7">
        <v>651088</v>
      </c>
      <c r="FE48" s="7">
        <v>651088</v>
      </c>
      <c r="FF48" s="7">
        <v>651088</v>
      </c>
      <c r="FG48" s="7">
        <v>651088</v>
      </c>
      <c r="FH48" s="7">
        <v>651088</v>
      </c>
      <c r="FI48" s="7">
        <v>651088</v>
      </c>
      <c r="FO48" s="7">
        <f t="shared" si="81"/>
        <v>651088</v>
      </c>
    </row>
    <row r="49" spans="2:171" ht="28.05" customHeight="1" x14ac:dyDescent="0.3">
      <c r="B49" s="6" t="s">
        <v>48</v>
      </c>
      <c r="C49" s="7">
        <v>40007</v>
      </c>
      <c r="D49" s="7">
        <v>40007</v>
      </c>
      <c r="E49" s="7">
        <v>40007</v>
      </c>
      <c r="F49" s="7">
        <v>40007</v>
      </c>
      <c r="G49" s="7">
        <v>40007</v>
      </c>
      <c r="H49" s="7">
        <v>40007</v>
      </c>
      <c r="I49" s="7">
        <v>40007</v>
      </c>
      <c r="J49" s="7">
        <v>40007</v>
      </c>
      <c r="K49" s="7">
        <v>40007</v>
      </c>
      <c r="L49" s="7">
        <v>40007</v>
      </c>
      <c r="M49" s="7">
        <v>40007</v>
      </c>
      <c r="N49" s="7">
        <v>40007</v>
      </c>
      <c r="O49" s="7">
        <f t="shared" si="69"/>
        <v>40007</v>
      </c>
      <c r="P49" s="7">
        <v>78467</v>
      </c>
      <c r="Q49" s="7">
        <v>78467</v>
      </c>
      <c r="R49" s="7">
        <v>78467</v>
      </c>
      <c r="S49" s="7">
        <v>78467</v>
      </c>
      <c r="T49" s="7">
        <v>78467</v>
      </c>
      <c r="U49" s="7">
        <v>78467</v>
      </c>
      <c r="V49" s="7">
        <v>78467</v>
      </c>
      <c r="W49" s="7">
        <v>78467</v>
      </c>
      <c r="X49" s="7">
        <v>78467</v>
      </c>
      <c r="Y49" s="7">
        <v>78467</v>
      </c>
      <c r="Z49" s="7">
        <v>78467</v>
      </c>
      <c r="AA49" s="7">
        <v>78467</v>
      </c>
      <c r="AB49" s="7">
        <f t="shared" si="70"/>
        <v>78467</v>
      </c>
      <c r="AC49" s="7">
        <v>62947</v>
      </c>
      <c r="AD49" s="7">
        <v>62947</v>
      </c>
      <c r="AE49" s="7">
        <v>62947</v>
      </c>
      <c r="AF49" s="7">
        <v>62947</v>
      </c>
      <c r="AG49" s="7">
        <v>62947</v>
      </c>
      <c r="AH49" s="7">
        <v>62947</v>
      </c>
      <c r="AI49" s="7">
        <v>62947</v>
      </c>
      <c r="AJ49" s="7">
        <v>62947</v>
      </c>
      <c r="AK49" s="7">
        <v>62947</v>
      </c>
      <c r="AL49" s="7">
        <v>62947</v>
      </c>
      <c r="AM49" s="7">
        <v>62947</v>
      </c>
      <c r="AN49" s="7">
        <v>62947</v>
      </c>
      <c r="AO49" s="7">
        <f t="shared" si="71"/>
        <v>62947</v>
      </c>
      <c r="AP49" s="7">
        <v>49257</v>
      </c>
      <c r="AQ49" s="7">
        <v>49257</v>
      </c>
      <c r="AR49" s="7">
        <v>49257</v>
      </c>
      <c r="AS49" s="7">
        <v>49257</v>
      </c>
      <c r="AT49" s="7">
        <v>49257</v>
      </c>
      <c r="AU49" s="7">
        <v>49257</v>
      </c>
      <c r="AV49" s="7">
        <v>49257</v>
      </c>
      <c r="AW49" s="7">
        <v>49257</v>
      </c>
      <c r="AX49" s="7">
        <v>49257</v>
      </c>
      <c r="AY49" s="7">
        <v>49257</v>
      </c>
      <c r="AZ49" s="7">
        <v>49257</v>
      </c>
      <c r="BA49" s="7">
        <v>49257</v>
      </c>
      <c r="BB49" s="7">
        <f t="shared" si="72"/>
        <v>49257</v>
      </c>
      <c r="BC49" s="7">
        <v>610722</v>
      </c>
      <c r="BD49" s="7">
        <v>610722</v>
      </c>
      <c r="BE49" s="7">
        <v>610722</v>
      </c>
      <c r="BF49" s="7">
        <v>610722</v>
      </c>
      <c r="BG49" s="7">
        <v>610722</v>
      </c>
      <c r="BH49" s="7">
        <v>610722</v>
      </c>
      <c r="BI49" s="7">
        <v>610722</v>
      </c>
      <c r="BJ49" s="7">
        <v>610722</v>
      </c>
      <c r="BK49" s="7">
        <v>610722</v>
      </c>
      <c r="BL49" s="7">
        <v>610722</v>
      </c>
      <c r="BM49" s="7">
        <v>610722</v>
      </c>
      <c r="BN49" s="7">
        <v>610722</v>
      </c>
      <c r="BO49" s="7">
        <f t="shared" si="73"/>
        <v>610722</v>
      </c>
      <c r="BP49" s="7">
        <v>166534</v>
      </c>
      <c r="BQ49" s="7">
        <v>166534</v>
      </c>
      <c r="BR49" s="7">
        <v>166534</v>
      </c>
      <c r="BS49" s="7">
        <v>166534</v>
      </c>
      <c r="BT49" s="7">
        <v>166534</v>
      </c>
      <c r="BU49" s="7">
        <v>166534</v>
      </c>
      <c r="BV49" s="7">
        <v>166534</v>
      </c>
      <c r="BW49" s="7">
        <v>166534</v>
      </c>
      <c r="BX49" s="7">
        <v>166534</v>
      </c>
      <c r="BY49" s="7">
        <v>166534</v>
      </c>
      <c r="BZ49" s="7">
        <v>166534</v>
      </c>
      <c r="CA49" s="7">
        <v>166534</v>
      </c>
      <c r="CB49" s="7">
        <f t="shared" si="74"/>
        <v>166534</v>
      </c>
      <c r="CC49" s="7">
        <v>206665</v>
      </c>
      <c r="CD49" s="7">
        <v>206665</v>
      </c>
      <c r="CE49" s="7">
        <v>206665</v>
      </c>
      <c r="CF49" s="7">
        <v>206665</v>
      </c>
      <c r="CG49" s="7">
        <v>206665</v>
      </c>
      <c r="CH49" s="7">
        <v>206665</v>
      </c>
      <c r="CI49" s="7">
        <v>206665</v>
      </c>
      <c r="CJ49" s="7">
        <v>206665</v>
      </c>
      <c r="CK49" s="7">
        <v>206665</v>
      </c>
      <c r="CL49" s="7">
        <v>206665</v>
      </c>
      <c r="CM49" s="7">
        <v>206665</v>
      </c>
      <c r="CN49" s="7">
        <v>206665</v>
      </c>
      <c r="CO49" s="7">
        <f t="shared" si="75"/>
        <v>206665</v>
      </c>
      <c r="CP49" s="7">
        <v>160447</v>
      </c>
      <c r="CQ49" s="7">
        <v>160447</v>
      </c>
      <c r="CR49" s="7">
        <v>160447</v>
      </c>
      <c r="CS49" s="7">
        <v>160447</v>
      </c>
      <c r="CT49" s="7">
        <v>160447</v>
      </c>
      <c r="CU49" s="7">
        <v>160447</v>
      </c>
      <c r="CV49" s="7">
        <v>160447</v>
      </c>
      <c r="CW49" s="7">
        <v>160447</v>
      </c>
      <c r="CX49" s="7">
        <v>160447</v>
      </c>
      <c r="CY49" s="7">
        <v>160447</v>
      </c>
      <c r="CZ49" s="7">
        <v>160447</v>
      </c>
      <c r="DA49" s="7">
        <v>160447</v>
      </c>
      <c r="DB49" s="7">
        <f t="shared" si="76"/>
        <v>160447</v>
      </c>
      <c r="DC49" s="7">
        <v>455326</v>
      </c>
      <c r="DD49" s="7">
        <v>455326</v>
      </c>
      <c r="DE49" s="7">
        <v>455326</v>
      </c>
      <c r="DF49" s="7">
        <v>455326</v>
      </c>
      <c r="DG49" s="7">
        <v>455326</v>
      </c>
      <c r="DH49" s="7">
        <v>455326</v>
      </c>
      <c r="DI49" s="7">
        <v>455326</v>
      </c>
      <c r="DJ49" s="7">
        <v>455326</v>
      </c>
      <c r="DK49" s="7">
        <v>455326</v>
      </c>
      <c r="DL49" s="7">
        <v>455326</v>
      </c>
      <c r="DM49" s="7">
        <v>455326</v>
      </c>
      <c r="DN49" s="7">
        <v>455326</v>
      </c>
      <c r="DO49" s="7">
        <f t="shared" si="77"/>
        <v>455326</v>
      </c>
      <c r="DP49" s="7">
        <v>622609</v>
      </c>
      <c r="DQ49" s="7">
        <v>622609</v>
      </c>
      <c r="DR49" s="7">
        <v>622609</v>
      </c>
      <c r="DS49" s="7">
        <v>622609</v>
      </c>
      <c r="DT49" s="7">
        <v>622609</v>
      </c>
      <c r="DU49" s="7">
        <v>622609</v>
      </c>
      <c r="DV49" s="7">
        <v>622609</v>
      </c>
      <c r="DW49" s="7">
        <v>622609</v>
      </c>
      <c r="DX49" s="7">
        <v>622609</v>
      </c>
      <c r="DY49" s="7">
        <v>622609</v>
      </c>
      <c r="DZ49" s="7">
        <v>622609</v>
      </c>
      <c r="EA49" s="7">
        <v>622609</v>
      </c>
      <c r="EB49" s="7">
        <f t="shared" si="78"/>
        <v>622609</v>
      </c>
      <c r="EC49" s="7">
        <v>636104</v>
      </c>
      <c r="ED49" s="7">
        <v>636104</v>
      </c>
      <c r="EE49" s="7">
        <v>636104</v>
      </c>
      <c r="EF49" s="7">
        <v>636104</v>
      </c>
      <c r="EG49" s="7">
        <v>636104</v>
      </c>
      <c r="EH49" s="7">
        <v>636104</v>
      </c>
      <c r="EI49" s="7">
        <v>636104</v>
      </c>
      <c r="EJ49" s="7">
        <v>636104</v>
      </c>
      <c r="EK49" s="7">
        <v>636104</v>
      </c>
      <c r="EL49" s="7">
        <v>636104</v>
      </c>
      <c r="EM49" s="7">
        <v>636104</v>
      </c>
      <c r="EN49" s="7">
        <v>636104</v>
      </c>
      <c r="EO49" s="7">
        <f t="shared" si="79"/>
        <v>636104</v>
      </c>
      <c r="EP49" s="7">
        <v>1352415</v>
      </c>
      <c r="EQ49" s="7">
        <v>1352415</v>
      </c>
      <c r="ER49" s="7">
        <v>1352415</v>
      </c>
      <c r="ES49" s="7">
        <v>1352415</v>
      </c>
      <c r="ET49" s="7">
        <v>1352415</v>
      </c>
      <c r="EU49" s="7">
        <v>1352415</v>
      </c>
      <c r="EV49" s="7">
        <v>1352415</v>
      </c>
      <c r="EW49" s="7">
        <v>1352415</v>
      </c>
      <c r="EX49" s="7">
        <v>1352415</v>
      </c>
      <c r="EY49" s="7">
        <v>1352415</v>
      </c>
      <c r="EZ49" s="7">
        <v>1352415</v>
      </c>
      <c r="FA49" s="7">
        <v>1352415</v>
      </c>
      <c r="FB49" s="7">
        <f t="shared" si="80"/>
        <v>1352415</v>
      </c>
      <c r="FC49" s="7">
        <v>667445</v>
      </c>
      <c r="FD49" s="7">
        <v>667445</v>
      </c>
      <c r="FE49" s="7">
        <v>667445</v>
      </c>
      <c r="FF49" s="7">
        <v>667445</v>
      </c>
      <c r="FG49" s="7">
        <v>667445</v>
      </c>
      <c r="FH49" s="7">
        <v>667445</v>
      </c>
      <c r="FI49" s="7">
        <v>667445</v>
      </c>
      <c r="FO49" s="7">
        <f t="shared" si="81"/>
        <v>667445</v>
      </c>
    </row>
    <row r="50" spans="2:171" ht="28.05" customHeight="1" x14ac:dyDescent="0.3">
      <c r="B50" s="6" t="s">
        <v>49</v>
      </c>
      <c r="C50" s="7">
        <v>166373</v>
      </c>
      <c r="D50" s="7">
        <v>166373</v>
      </c>
      <c r="E50" s="7">
        <v>166373</v>
      </c>
      <c r="F50" s="7">
        <v>166373</v>
      </c>
      <c r="G50" s="7">
        <v>166373</v>
      </c>
      <c r="H50" s="7">
        <v>166373</v>
      </c>
      <c r="I50" s="7">
        <v>166373</v>
      </c>
      <c r="J50" s="7">
        <v>166373</v>
      </c>
      <c r="K50" s="7">
        <v>166373</v>
      </c>
      <c r="L50" s="7">
        <v>166373</v>
      </c>
      <c r="M50" s="7">
        <v>166373</v>
      </c>
      <c r="N50" s="7">
        <v>166373</v>
      </c>
      <c r="O50" s="7">
        <f t="shared" si="69"/>
        <v>166373</v>
      </c>
      <c r="P50" s="7">
        <v>1590037</v>
      </c>
      <c r="Q50" s="7">
        <v>1590037</v>
      </c>
      <c r="R50" s="7">
        <v>1590037</v>
      </c>
      <c r="S50" s="7">
        <v>1590037</v>
      </c>
      <c r="T50" s="7">
        <v>1590037</v>
      </c>
      <c r="U50" s="7">
        <v>1590037</v>
      </c>
      <c r="V50" s="7">
        <v>1590037</v>
      </c>
      <c r="W50" s="7">
        <v>1590037</v>
      </c>
      <c r="X50" s="7">
        <v>1590037</v>
      </c>
      <c r="Y50" s="7">
        <v>1590037</v>
      </c>
      <c r="Z50" s="7">
        <v>1590037</v>
      </c>
      <c r="AA50" s="7">
        <v>1590037</v>
      </c>
      <c r="AB50" s="7">
        <f t="shared" si="70"/>
        <v>1590037</v>
      </c>
      <c r="AC50" s="7">
        <v>6130543</v>
      </c>
      <c r="AD50" s="7">
        <v>6130543</v>
      </c>
      <c r="AE50" s="7">
        <v>6130543</v>
      </c>
      <c r="AF50" s="7">
        <v>6130543</v>
      </c>
      <c r="AG50" s="7">
        <v>6130543</v>
      </c>
      <c r="AH50" s="7">
        <v>6130543</v>
      </c>
      <c r="AI50" s="7">
        <v>6130543</v>
      </c>
      <c r="AJ50" s="7">
        <v>6130543</v>
      </c>
      <c r="AK50" s="7">
        <v>6130543</v>
      </c>
      <c r="AL50" s="7">
        <v>6130543</v>
      </c>
      <c r="AM50" s="7">
        <v>6130543</v>
      </c>
      <c r="AN50" s="7">
        <v>6130543</v>
      </c>
      <c r="AO50" s="7">
        <f t="shared" si="71"/>
        <v>6130543</v>
      </c>
      <c r="AP50" s="7">
        <v>3892493</v>
      </c>
      <c r="AQ50" s="7">
        <v>3892493</v>
      </c>
      <c r="AR50" s="7">
        <v>3892493</v>
      </c>
      <c r="AS50" s="7">
        <v>3892493</v>
      </c>
      <c r="AT50" s="7">
        <v>3892493</v>
      </c>
      <c r="AU50" s="7">
        <v>3892493</v>
      </c>
      <c r="AV50" s="7">
        <v>3892493</v>
      </c>
      <c r="AW50" s="7">
        <v>3892493</v>
      </c>
      <c r="AX50" s="7">
        <v>3892493</v>
      </c>
      <c r="AY50" s="7">
        <v>3892493</v>
      </c>
      <c r="AZ50" s="7">
        <v>3892493</v>
      </c>
      <c r="BA50" s="7">
        <v>3892493</v>
      </c>
      <c r="BB50" s="7">
        <f t="shared" si="72"/>
        <v>3892493</v>
      </c>
      <c r="BC50" s="7">
        <v>1987092</v>
      </c>
      <c r="BD50" s="7">
        <v>1987092</v>
      </c>
      <c r="BE50" s="7">
        <v>1987092</v>
      </c>
      <c r="BF50" s="7">
        <v>1987092</v>
      </c>
      <c r="BG50" s="7">
        <v>1987092</v>
      </c>
      <c r="BH50" s="7">
        <v>1987092</v>
      </c>
      <c r="BI50" s="7">
        <v>1987092</v>
      </c>
      <c r="BJ50" s="7">
        <v>1987092</v>
      </c>
      <c r="BK50" s="7">
        <v>1987092</v>
      </c>
      <c r="BL50" s="7">
        <v>1987092</v>
      </c>
      <c r="BM50" s="7">
        <v>1987092</v>
      </c>
      <c r="BN50" s="7">
        <v>1987092</v>
      </c>
      <c r="BO50" s="7">
        <f t="shared" si="73"/>
        <v>1987092</v>
      </c>
      <c r="BP50" s="7">
        <v>2440271</v>
      </c>
      <c r="BQ50" s="7">
        <v>2440271</v>
      </c>
      <c r="BR50" s="7">
        <v>2440271</v>
      </c>
      <c r="BS50" s="7">
        <v>2440271</v>
      </c>
      <c r="BT50" s="7">
        <v>2440271</v>
      </c>
      <c r="BU50" s="7">
        <v>2440271</v>
      </c>
      <c r="BV50" s="7">
        <v>2440271</v>
      </c>
      <c r="BW50" s="7">
        <v>2440271</v>
      </c>
      <c r="BX50" s="7">
        <v>2440271</v>
      </c>
      <c r="BY50" s="7">
        <v>2440271</v>
      </c>
      <c r="BZ50" s="7">
        <v>2440271</v>
      </c>
      <c r="CA50" s="7">
        <v>2440271</v>
      </c>
      <c r="CB50" s="7">
        <f t="shared" si="74"/>
        <v>2440271</v>
      </c>
      <c r="CC50" s="7">
        <v>2488259</v>
      </c>
      <c r="CD50" s="7">
        <v>2488259</v>
      </c>
      <c r="CE50" s="7">
        <v>2488259</v>
      </c>
      <c r="CF50" s="7">
        <v>2488259</v>
      </c>
      <c r="CG50" s="7">
        <v>2488259</v>
      </c>
      <c r="CH50" s="7">
        <v>2488259</v>
      </c>
      <c r="CI50" s="7">
        <v>2488259</v>
      </c>
      <c r="CJ50" s="7">
        <v>2488259</v>
      </c>
      <c r="CK50" s="7">
        <v>2488259</v>
      </c>
      <c r="CL50" s="7">
        <v>2488259</v>
      </c>
      <c r="CM50" s="7">
        <v>2488259</v>
      </c>
      <c r="CN50" s="7">
        <v>2488259</v>
      </c>
      <c r="CO50" s="7">
        <f t="shared" si="75"/>
        <v>2488259</v>
      </c>
      <c r="CP50" s="7">
        <v>2902086</v>
      </c>
      <c r="CQ50" s="7">
        <v>2902086</v>
      </c>
      <c r="CR50" s="7">
        <v>2902086</v>
      </c>
      <c r="CS50" s="7">
        <v>2902086</v>
      </c>
      <c r="CT50" s="7">
        <v>2902086</v>
      </c>
      <c r="CU50" s="7">
        <v>2902086</v>
      </c>
      <c r="CV50" s="7">
        <v>2902086</v>
      </c>
      <c r="CW50" s="7">
        <v>2902086</v>
      </c>
      <c r="CX50" s="7">
        <v>2902086</v>
      </c>
      <c r="CY50" s="7">
        <v>2902086</v>
      </c>
      <c r="CZ50" s="7">
        <v>2902086</v>
      </c>
      <c r="DA50" s="7">
        <v>2902086</v>
      </c>
      <c r="DB50" s="7">
        <f t="shared" si="76"/>
        <v>2902086</v>
      </c>
      <c r="DC50" s="7">
        <v>1322297</v>
      </c>
      <c r="DD50" s="7">
        <v>1322297</v>
      </c>
      <c r="DE50" s="7">
        <v>1322297</v>
      </c>
      <c r="DF50" s="7">
        <v>1322297</v>
      </c>
      <c r="DG50" s="7">
        <v>1322297</v>
      </c>
      <c r="DH50" s="7">
        <v>1322297</v>
      </c>
      <c r="DI50" s="7">
        <v>1322297</v>
      </c>
      <c r="DJ50" s="7">
        <v>1322297</v>
      </c>
      <c r="DK50" s="7">
        <v>1322297</v>
      </c>
      <c r="DL50" s="7">
        <v>1322297</v>
      </c>
      <c r="DM50" s="7">
        <v>1322297</v>
      </c>
      <c r="DN50" s="7">
        <v>1322297</v>
      </c>
      <c r="DO50" s="7">
        <f t="shared" si="77"/>
        <v>1322297</v>
      </c>
      <c r="DP50" s="7">
        <v>1814843</v>
      </c>
      <c r="DQ50" s="7">
        <v>1814843</v>
      </c>
      <c r="DR50" s="7">
        <v>1814843</v>
      </c>
      <c r="DS50" s="7">
        <v>1814843</v>
      </c>
      <c r="DT50" s="7">
        <v>1814843</v>
      </c>
      <c r="DU50" s="7">
        <v>1814843</v>
      </c>
      <c r="DV50" s="7">
        <v>1814843</v>
      </c>
      <c r="DW50" s="7">
        <v>1814843</v>
      </c>
      <c r="DX50" s="7">
        <v>1814843</v>
      </c>
      <c r="DY50" s="7">
        <v>1814843</v>
      </c>
      <c r="DZ50" s="7">
        <v>1814843</v>
      </c>
      <c r="EA50" s="7">
        <v>1814843</v>
      </c>
      <c r="EB50" s="7">
        <f t="shared" si="78"/>
        <v>1814843</v>
      </c>
      <c r="EC50" s="7">
        <v>5152528</v>
      </c>
      <c r="ED50" s="7">
        <v>5152528</v>
      </c>
      <c r="EE50" s="7">
        <v>5152528</v>
      </c>
      <c r="EF50" s="7">
        <v>5152528</v>
      </c>
      <c r="EG50" s="7">
        <v>5152528</v>
      </c>
      <c r="EH50" s="7">
        <v>5152528</v>
      </c>
      <c r="EI50" s="7">
        <v>5152528</v>
      </c>
      <c r="EJ50" s="7">
        <v>5152528</v>
      </c>
      <c r="EK50" s="7">
        <v>5152528</v>
      </c>
      <c r="EL50" s="7">
        <v>5152528</v>
      </c>
      <c r="EM50" s="7">
        <v>5152528</v>
      </c>
      <c r="EN50" s="7">
        <v>5152528</v>
      </c>
      <c r="EO50" s="7">
        <f t="shared" si="79"/>
        <v>5152528</v>
      </c>
      <c r="EP50" s="7">
        <v>2635679</v>
      </c>
      <c r="EQ50" s="7">
        <v>2635679</v>
      </c>
      <c r="ER50" s="7">
        <v>2635679</v>
      </c>
      <c r="ES50" s="7">
        <v>2635679</v>
      </c>
      <c r="ET50" s="7">
        <v>2635679</v>
      </c>
      <c r="EU50" s="7">
        <v>2635679</v>
      </c>
      <c r="EV50" s="7">
        <v>2635679</v>
      </c>
      <c r="EW50" s="7">
        <v>2635679</v>
      </c>
      <c r="EX50" s="7">
        <v>2635679</v>
      </c>
      <c r="EY50" s="7">
        <v>2635679</v>
      </c>
      <c r="EZ50" s="7">
        <v>2635679</v>
      </c>
      <c r="FA50" s="7">
        <v>2635679</v>
      </c>
      <c r="FB50" s="7">
        <f t="shared" si="80"/>
        <v>2635679</v>
      </c>
      <c r="FC50" s="7">
        <v>2135157</v>
      </c>
      <c r="FD50" s="7">
        <v>2135157</v>
      </c>
      <c r="FE50" s="7">
        <v>2135157</v>
      </c>
      <c r="FF50" s="7">
        <v>2135157</v>
      </c>
      <c r="FG50" s="7">
        <v>2135157</v>
      </c>
      <c r="FH50" s="7">
        <v>2135157</v>
      </c>
      <c r="FI50" s="7">
        <v>2135157</v>
      </c>
      <c r="FO50" s="7">
        <f t="shared" si="81"/>
        <v>2135157</v>
      </c>
    </row>
    <row r="51" spans="2:171" ht="28.05" customHeight="1" x14ac:dyDescent="0.3">
      <c r="B51" s="6" t="s">
        <v>50</v>
      </c>
      <c r="C51" s="7">
        <v>231070</v>
      </c>
      <c r="D51" s="7">
        <v>231070</v>
      </c>
      <c r="E51" s="7">
        <v>231070</v>
      </c>
      <c r="F51" s="7">
        <v>231070</v>
      </c>
      <c r="G51" s="7">
        <v>231070</v>
      </c>
      <c r="H51" s="7">
        <v>231070</v>
      </c>
      <c r="I51" s="7">
        <v>231070</v>
      </c>
      <c r="J51" s="7">
        <v>231070</v>
      </c>
      <c r="K51" s="7">
        <v>231070</v>
      </c>
      <c r="L51" s="7">
        <v>231070</v>
      </c>
      <c r="M51" s="7">
        <v>231070</v>
      </c>
      <c r="N51" s="7">
        <v>231070</v>
      </c>
      <c r="O51" s="7">
        <f t="shared" si="69"/>
        <v>231070</v>
      </c>
      <c r="P51" s="7">
        <v>467863</v>
      </c>
      <c r="Q51" s="7">
        <v>467863</v>
      </c>
      <c r="R51" s="7">
        <v>467863</v>
      </c>
      <c r="S51" s="7">
        <v>467863</v>
      </c>
      <c r="T51" s="7">
        <v>467863</v>
      </c>
      <c r="U51" s="7">
        <v>467863</v>
      </c>
      <c r="V51" s="7">
        <v>467863</v>
      </c>
      <c r="W51" s="7">
        <v>467863</v>
      </c>
      <c r="X51" s="7">
        <v>467863</v>
      </c>
      <c r="Y51" s="7">
        <v>467863</v>
      </c>
      <c r="Z51" s="7">
        <v>467863</v>
      </c>
      <c r="AA51" s="7">
        <v>467863</v>
      </c>
      <c r="AB51" s="7">
        <f t="shared" si="70"/>
        <v>467863</v>
      </c>
      <c r="AC51" s="7">
        <v>173175</v>
      </c>
      <c r="AD51" s="7">
        <v>173175</v>
      </c>
      <c r="AE51" s="7">
        <v>173175</v>
      </c>
      <c r="AF51" s="7">
        <v>173175</v>
      </c>
      <c r="AG51" s="7">
        <v>173175</v>
      </c>
      <c r="AH51" s="7">
        <v>173175</v>
      </c>
      <c r="AI51" s="7">
        <v>173175</v>
      </c>
      <c r="AJ51" s="7">
        <v>173175</v>
      </c>
      <c r="AK51" s="7">
        <v>173175</v>
      </c>
      <c r="AL51" s="7">
        <v>173175</v>
      </c>
      <c r="AM51" s="7">
        <v>173175</v>
      </c>
      <c r="AN51" s="7">
        <v>173175</v>
      </c>
      <c r="AO51" s="7">
        <f t="shared" si="71"/>
        <v>173175</v>
      </c>
      <c r="AP51" s="7">
        <v>100131</v>
      </c>
      <c r="AQ51" s="7">
        <v>100131</v>
      </c>
      <c r="AR51" s="7">
        <v>100131</v>
      </c>
      <c r="AS51" s="7">
        <v>100131</v>
      </c>
      <c r="AT51" s="7">
        <v>100131</v>
      </c>
      <c r="AU51" s="7">
        <v>100131</v>
      </c>
      <c r="AV51" s="7">
        <v>100131</v>
      </c>
      <c r="AW51" s="7">
        <v>100131</v>
      </c>
      <c r="AX51" s="7">
        <v>100131</v>
      </c>
      <c r="AY51" s="7">
        <v>100131</v>
      </c>
      <c r="AZ51" s="7">
        <v>100131</v>
      </c>
      <c r="BA51" s="7">
        <v>100131</v>
      </c>
      <c r="BB51" s="7">
        <f t="shared" si="72"/>
        <v>100131</v>
      </c>
      <c r="BC51" s="7">
        <v>95500</v>
      </c>
      <c r="BD51" s="7">
        <v>95500</v>
      </c>
      <c r="BE51" s="7">
        <v>95500</v>
      </c>
      <c r="BF51" s="7">
        <v>95500</v>
      </c>
      <c r="BG51" s="7">
        <v>95500</v>
      </c>
      <c r="BH51" s="7">
        <v>95500</v>
      </c>
      <c r="BI51" s="7">
        <v>95500</v>
      </c>
      <c r="BJ51" s="7">
        <v>95500</v>
      </c>
      <c r="BK51" s="7">
        <v>95500</v>
      </c>
      <c r="BL51" s="7">
        <v>95500</v>
      </c>
      <c r="BM51" s="7">
        <v>95500</v>
      </c>
      <c r="BN51" s="7">
        <v>95500</v>
      </c>
      <c r="BO51" s="7">
        <f t="shared" si="73"/>
        <v>95500</v>
      </c>
      <c r="BP51" s="7">
        <v>97653</v>
      </c>
      <c r="BQ51" s="7">
        <v>97653</v>
      </c>
      <c r="BR51" s="7">
        <v>97653</v>
      </c>
      <c r="BS51" s="7">
        <v>97653</v>
      </c>
      <c r="BT51" s="7">
        <v>97653</v>
      </c>
      <c r="BU51" s="7">
        <v>97653</v>
      </c>
      <c r="BV51" s="7">
        <v>97653</v>
      </c>
      <c r="BW51" s="7">
        <v>97653</v>
      </c>
      <c r="BX51" s="7">
        <v>97653</v>
      </c>
      <c r="BY51" s="7">
        <v>97653</v>
      </c>
      <c r="BZ51" s="7">
        <v>97653</v>
      </c>
      <c r="CA51" s="7">
        <v>97653</v>
      </c>
      <c r="CB51" s="7">
        <f t="shared" si="74"/>
        <v>97653</v>
      </c>
      <c r="CC51" s="7">
        <v>72183</v>
      </c>
      <c r="CD51" s="7">
        <v>72183</v>
      </c>
      <c r="CE51" s="7">
        <v>72183</v>
      </c>
      <c r="CF51" s="7">
        <v>72183</v>
      </c>
      <c r="CG51" s="7">
        <v>72183</v>
      </c>
      <c r="CH51" s="7">
        <v>72183</v>
      </c>
      <c r="CI51" s="7">
        <v>72183</v>
      </c>
      <c r="CJ51" s="7">
        <v>72183</v>
      </c>
      <c r="CK51" s="7">
        <v>72183</v>
      </c>
      <c r="CL51" s="7">
        <v>72183</v>
      </c>
      <c r="CM51" s="7">
        <v>72183</v>
      </c>
      <c r="CN51" s="7">
        <v>72183</v>
      </c>
      <c r="CO51" s="7">
        <f t="shared" si="75"/>
        <v>72183</v>
      </c>
      <c r="CP51" s="7">
        <v>103404</v>
      </c>
      <c r="CQ51" s="7">
        <v>103404</v>
      </c>
      <c r="CR51" s="7">
        <v>103404</v>
      </c>
      <c r="CS51" s="7">
        <v>103404</v>
      </c>
      <c r="CT51" s="7">
        <v>103404</v>
      </c>
      <c r="CU51" s="7">
        <v>103404</v>
      </c>
      <c r="CV51" s="7">
        <v>103404</v>
      </c>
      <c r="CW51" s="7">
        <v>103404</v>
      </c>
      <c r="CX51" s="7">
        <v>103404</v>
      </c>
      <c r="CY51" s="7">
        <v>103404</v>
      </c>
      <c r="CZ51" s="7">
        <v>103404</v>
      </c>
      <c r="DA51" s="7">
        <v>103404</v>
      </c>
      <c r="DB51" s="7">
        <f t="shared" si="76"/>
        <v>103404</v>
      </c>
      <c r="DC51" s="7">
        <v>76973</v>
      </c>
      <c r="DD51" s="7">
        <v>76973</v>
      </c>
      <c r="DE51" s="7">
        <v>76973</v>
      </c>
      <c r="DF51" s="7">
        <v>76973</v>
      </c>
      <c r="DG51" s="7">
        <v>76973</v>
      </c>
      <c r="DH51" s="7">
        <v>76973</v>
      </c>
      <c r="DI51" s="7">
        <v>76973</v>
      </c>
      <c r="DJ51" s="7">
        <v>76973</v>
      </c>
      <c r="DK51" s="7">
        <v>76973</v>
      </c>
      <c r="DL51" s="7">
        <v>76973</v>
      </c>
      <c r="DM51" s="7">
        <v>76973</v>
      </c>
      <c r="DN51" s="7">
        <v>76973</v>
      </c>
      <c r="DO51" s="7">
        <f t="shared" si="77"/>
        <v>76973</v>
      </c>
      <c r="DP51" s="7">
        <v>240323</v>
      </c>
      <c r="DQ51" s="7">
        <v>240323</v>
      </c>
      <c r="DR51" s="7">
        <v>240323</v>
      </c>
      <c r="DS51" s="7">
        <v>240323</v>
      </c>
      <c r="DT51" s="7">
        <v>240323</v>
      </c>
      <c r="DU51" s="7">
        <v>240323</v>
      </c>
      <c r="DV51" s="7">
        <v>240323</v>
      </c>
      <c r="DW51" s="7">
        <v>240323</v>
      </c>
      <c r="DX51" s="7">
        <v>240323</v>
      </c>
      <c r="DY51" s="7">
        <v>240323</v>
      </c>
      <c r="DZ51" s="7">
        <v>240323</v>
      </c>
      <c r="EA51" s="7">
        <v>240323</v>
      </c>
      <c r="EB51" s="7">
        <f t="shared" si="78"/>
        <v>240323</v>
      </c>
      <c r="EC51" s="7">
        <v>251537</v>
      </c>
      <c r="ED51" s="7">
        <v>251537</v>
      </c>
      <c r="EE51" s="7">
        <v>251537</v>
      </c>
      <c r="EF51" s="7">
        <v>251537</v>
      </c>
      <c r="EG51" s="7">
        <v>251537</v>
      </c>
      <c r="EH51" s="7">
        <v>251537</v>
      </c>
      <c r="EI51" s="7">
        <v>251537</v>
      </c>
      <c r="EJ51" s="7">
        <v>251537</v>
      </c>
      <c r="EK51" s="7">
        <v>251537</v>
      </c>
      <c r="EL51" s="7">
        <v>251537</v>
      </c>
      <c r="EM51" s="7">
        <v>251537</v>
      </c>
      <c r="EN51" s="7">
        <v>251537</v>
      </c>
      <c r="EO51" s="7">
        <f t="shared" si="79"/>
        <v>251537</v>
      </c>
      <c r="EP51" s="7">
        <v>924967</v>
      </c>
      <c r="EQ51" s="7">
        <v>924967</v>
      </c>
      <c r="ER51" s="7">
        <v>924967</v>
      </c>
      <c r="ES51" s="7">
        <v>924967</v>
      </c>
      <c r="ET51" s="7">
        <v>924967</v>
      </c>
      <c r="EU51" s="7">
        <v>924967</v>
      </c>
      <c r="EV51" s="7">
        <v>924967</v>
      </c>
      <c r="EW51" s="7">
        <v>924967</v>
      </c>
      <c r="EX51" s="7">
        <v>924967</v>
      </c>
      <c r="EY51" s="7">
        <v>924967</v>
      </c>
      <c r="EZ51" s="7">
        <v>924967</v>
      </c>
      <c r="FA51" s="7">
        <v>924967</v>
      </c>
      <c r="FB51" s="7">
        <f t="shared" si="80"/>
        <v>924967</v>
      </c>
      <c r="FC51" s="7">
        <v>294239</v>
      </c>
      <c r="FD51" s="7">
        <v>294239</v>
      </c>
      <c r="FE51" s="7">
        <v>294239</v>
      </c>
      <c r="FF51" s="7">
        <v>294239</v>
      </c>
      <c r="FG51" s="7">
        <v>294239</v>
      </c>
      <c r="FH51" s="7">
        <v>294239</v>
      </c>
      <c r="FI51" s="7">
        <v>294239</v>
      </c>
      <c r="FO51" s="7">
        <f t="shared" si="81"/>
        <v>294239</v>
      </c>
    </row>
    <row r="52" spans="2:171" ht="28.05" customHeight="1" x14ac:dyDescent="0.3">
      <c r="B52" s="6" t="s">
        <v>51</v>
      </c>
      <c r="C52" s="7">
        <v>104782</v>
      </c>
      <c r="D52" s="7">
        <v>104782</v>
      </c>
      <c r="E52" s="7">
        <v>104782</v>
      </c>
      <c r="F52" s="7">
        <v>104782</v>
      </c>
      <c r="G52" s="7">
        <v>104782</v>
      </c>
      <c r="H52" s="7">
        <v>104782</v>
      </c>
      <c r="I52" s="7">
        <v>104782</v>
      </c>
      <c r="J52" s="7">
        <v>104782</v>
      </c>
      <c r="K52" s="7">
        <v>104782</v>
      </c>
      <c r="L52" s="7">
        <v>104782</v>
      </c>
      <c r="M52" s="7">
        <v>104782</v>
      </c>
      <c r="N52" s="7">
        <v>104782</v>
      </c>
      <c r="O52" s="7">
        <f t="shared" si="69"/>
        <v>104782</v>
      </c>
      <c r="P52" s="7">
        <v>95648</v>
      </c>
      <c r="Q52" s="7">
        <v>95648</v>
      </c>
      <c r="R52" s="7">
        <v>95648</v>
      </c>
      <c r="S52" s="7">
        <v>95648</v>
      </c>
      <c r="T52" s="7">
        <v>95648</v>
      </c>
      <c r="U52" s="7">
        <v>95648</v>
      </c>
      <c r="V52" s="7">
        <v>95648</v>
      </c>
      <c r="W52" s="7">
        <v>95648</v>
      </c>
      <c r="X52" s="7">
        <v>95648</v>
      </c>
      <c r="Y52" s="7">
        <v>95648</v>
      </c>
      <c r="Z52" s="7">
        <v>95648</v>
      </c>
      <c r="AA52" s="7">
        <v>95648</v>
      </c>
      <c r="AB52" s="7">
        <f t="shared" si="70"/>
        <v>95648</v>
      </c>
      <c r="AC52" s="7">
        <v>96011</v>
      </c>
      <c r="AD52" s="7">
        <v>96011</v>
      </c>
      <c r="AE52" s="7">
        <v>96011</v>
      </c>
      <c r="AF52" s="7">
        <v>96011</v>
      </c>
      <c r="AG52" s="7">
        <v>96011</v>
      </c>
      <c r="AH52" s="7">
        <v>96011</v>
      </c>
      <c r="AI52" s="7">
        <v>96011</v>
      </c>
      <c r="AJ52" s="7">
        <v>96011</v>
      </c>
      <c r="AK52" s="7">
        <v>96011</v>
      </c>
      <c r="AL52" s="7">
        <v>96011</v>
      </c>
      <c r="AM52" s="7">
        <v>96011</v>
      </c>
      <c r="AN52" s="7">
        <v>96011</v>
      </c>
      <c r="AO52" s="7">
        <f t="shared" si="71"/>
        <v>96011</v>
      </c>
      <c r="AP52" s="7">
        <v>123692</v>
      </c>
      <c r="AQ52" s="7">
        <v>123692</v>
      </c>
      <c r="AR52" s="7">
        <v>123692</v>
      </c>
      <c r="AS52" s="7">
        <v>123692</v>
      </c>
      <c r="AT52" s="7">
        <v>123692</v>
      </c>
      <c r="AU52" s="7">
        <v>123692</v>
      </c>
      <c r="AV52" s="7">
        <v>123692</v>
      </c>
      <c r="AW52" s="7">
        <v>123692</v>
      </c>
      <c r="AX52" s="7">
        <v>123692</v>
      </c>
      <c r="AY52" s="7">
        <v>123692</v>
      </c>
      <c r="AZ52" s="7">
        <v>123692</v>
      </c>
      <c r="BA52" s="7">
        <v>123692</v>
      </c>
      <c r="BB52" s="7">
        <f t="shared" si="72"/>
        <v>123692</v>
      </c>
      <c r="BC52" s="7">
        <v>101075</v>
      </c>
      <c r="BD52" s="7">
        <v>101075</v>
      </c>
      <c r="BE52" s="7">
        <v>101075</v>
      </c>
      <c r="BF52" s="7">
        <v>101075</v>
      </c>
      <c r="BG52" s="7">
        <v>101075</v>
      </c>
      <c r="BH52" s="7">
        <v>101075</v>
      </c>
      <c r="BI52" s="7">
        <v>101075</v>
      </c>
      <c r="BJ52" s="7">
        <v>101075</v>
      </c>
      <c r="BK52" s="7">
        <v>101075</v>
      </c>
      <c r="BL52" s="7">
        <v>101075</v>
      </c>
      <c r="BM52" s="7">
        <v>101075</v>
      </c>
      <c r="BN52" s="7">
        <v>101075</v>
      </c>
      <c r="BO52" s="7">
        <f t="shared" si="73"/>
        <v>101075</v>
      </c>
      <c r="BP52" s="7">
        <v>111887</v>
      </c>
      <c r="BQ52" s="7">
        <v>111887</v>
      </c>
      <c r="BR52" s="7">
        <v>111887</v>
      </c>
      <c r="BS52" s="7">
        <v>111887</v>
      </c>
      <c r="BT52" s="7">
        <v>111887</v>
      </c>
      <c r="BU52" s="7">
        <v>111887</v>
      </c>
      <c r="BV52" s="7">
        <v>111887</v>
      </c>
      <c r="BW52" s="7">
        <v>111887</v>
      </c>
      <c r="BX52" s="7">
        <v>111887</v>
      </c>
      <c r="BY52" s="7">
        <v>111887</v>
      </c>
      <c r="BZ52" s="7">
        <v>111887</v>
      </c>
      <c r="CA52" s="7">
        <v>111887</v>
      </c>
      <c r="CB52" s="7">
        <f t="shared" si="74"/>
        <v>111887</v>
      </c>
      <c r="CC52" s="7">
        <v>185782</v>
      </c>
      <c r="CD52" s="7">
        <v>185782</v>
      </c>
      <c r="CE52" s="7">
        <v>185782</v>
      </c>
      <c r="CF52" s="7">
        <v>185782</v>
      </c>
      <c r="CG52" s="7">
        <v>185782</v>
      </c>
      <c r="CH52" s="7">
        <v>185782</v>
      </c>
      <c r="CI52" s="7">
        <v>185782</v>
      </c>
      <c r="CJ52" s="7">
        <v>185782</v>
      </c>
      <c r="CK52" s="7">
        <v>185782</v>
      </c>
      <c r="CL52" s="7">
        <v>185782</v>
      </c>
      <c r="CM52" s="7">
        <v>185782</v>
      </c>
      <c r="CN52" s="7">
        <v>185782</v>
      </c>
      <c r="CO52" s="7">
        <f t="shared" si="75"/>
        <v>185782</v>
      </c>
      <c r="CP52" s="7">
        <v>107372</v>
      </c>
      <c r="CQ52" s="7">
        <v>107372</v>
      </c>
      <c r="CR52" s="7">
        <v>107372</v>
      </c>
      <c r="CS52" s="7">
        <v>107372</v>
      </c>
      <c r="CT52" s="7">
        <v>107372</v>
      </c>
      <c r="CU52" s="7">
        <v>107372</v>
      </c>
      <c r="CV52" s="7">
        <v>107372</v>
      </c>
      <c r="CW52" s="7">
        <v>107372</v>
      </c>
      <c r="CX52" s="7">
        <v>107372</v>
      </c>
      <c r="CY52" s="7">
        <v>107372</v>
      </c>
      <c r="CZ52" s="7">
        <v>107372</v>
      </c>
      <c r="DA52" s="7">
        <v>107372</v>
      </c>
      <c r="DB52" s="7">
        <f t="shared" si="76"/>
        <v>107372</v>
      </c>
      <c r="DC52" s="7">
        <v>169485</v>
      </c>
      <c r="DD52" s="7">
        <v>169485</v>
      </c>
      <c r="DE52" s="7">
        <v>169485</v>
      </c>
      <c r="DF52" s="7">
        <v>169485</v>
      </c>
      <c r="DG52" s="7">
        <v>169485</v>
      </c>
      <c r="DH52" s="7">
        <v>169485</v>
      </c>
      <c r="DI52" s="7">
        <v>169485</v>
      </c>
      <c r="DJ52" s="7">
        <v>169485</v>
      </c>
      <c r="DK52" s="7">
        <v>169485</v>
      </c>
      <c r="DL52" s="7">
        <v>169485</v>
      </c>
      <c r="DM52" s="7">
        <v>169485</v>
      </c>
      <c r="DN52" s="7">
        <v>169485</v>
      </c>
      <c r="DO52" s="7">
        <f t="shared" si="77"/>
        <v>169485</v>
      </c>
      <c r="DP52" s="7">
        <v>556957</v>
      </c>
      <c r="DQ52" s="7">
        <v>556957</v>
      </c>
      <c r="DR52" s="7">
        <v>556957</v>
      </c>
      <c r="DS52" s="7">
        <v>556957</v>
      </c>
      <c r="DT52" s="7">
        <v>556957</v>
      </c>
      <c r="DU52" s="7">
        <v>556957</v>
      </c>
      <c r="DV52" s="7">
        <v>556957</v>
      </c>
      <c r="DW52" s="7">
        <v>556957</v>
      </c>
      <c r="DX52" s="7">
        <v>556957</v>
      </c>
      <c r="DY52" s="7">
        <v>556957</v>
      </c>
      <c r="DZ52" s="7">
        <v>556957</v>
      </c>
      <c r="EA52" s="7">
        <v>556957</v>
      </c>
      <c r="EB52" s="7">
        <f t="shared" si="78"/>
        <v>556957</v>
      </c>
      <c r="EC52" s="7">
        <v>615757</v>
      </c>
      <c r="ED52" s="7">
        <v>615757</v>
      </c>
      <c r="EE52" s="7">
        <v>615757</v>
      </c>
      <c r="EF52" s="7">
        <v>615757</v>
      </c>
      <c r="EG52" s="7">
        <v>615757</v>
      </c>
      <c r="EH52" s="7">
        <v>615757</v>
      </c>
      <c r="EI52" s="7">
        <v>615757</v>
      </c>
      <c r="EJ52" s="7">
        <v>615757</v>
      </c>
      <c r="EK52" s="7">
        <v>615757</v>
      </c>
      <c r="EL52" s="7">
        <v>615757</v>
      </c>
      <c r="EM52" s="7">
        <v>615757</v>
      </c>
      <c r="EN52" s="7">
        <v>615757</v>
      </c>
      <c r="EO52" s="7">
        <f t="shared" si="79"/>
        <v>615757</v>
      </c>
      <c r="EP52" s="7">
        <v>555640</v>
      </c>
      <c r="EQ52" s="7">
        <v>555640</v>
      </c>
      <c r="ER52" s="7">
        <v>555640</v>
      </c>
      <c r="ES52" s="7">
        <v>555640</v>
      </c>
      <c r="ET52" s="7">
        <v>555640</v>
      </c>
      <c r="EU52" s="7">
        <v>555640</v>
      </c>
      <c r="EV52" s="7">
        <v>555640</v>
      </c>
      <c r="EW52" s="7">
        <v>555640</v>
      </c>
      <c r="EX52" s="7">
        <v>555640</v>
      </c>
      <c r="EY52" s="7">
        <v>555640</v>
      </c>
      <c r="EZ52" s="7">
        <v>555640</v>
      </c>
      <c r="FA52" s="7">
        <v>555640</v>
      </c>
      <c r="FB52" s="7">
        <f t="shared" si="80"/>
        <v>555640</v>
      </c>
      <c r="FC52" s="7">
        <v>392933</v>
      </c>
      <c r="FD52" s="7">
        <v>392933</v>
      </c>
      <c r="FE52" s="7">
        <v>392933</v>
      </c>
      <c r="FF52" s="7">
        <v>392933</v>
      </c>
      <c r="FG52" s="7">
        <v>392933</v>
      </c>
      <c r="FH52" s="7">
        <v>392933</v>
      </c>
      <c r="FI52" s="7">
        <v>392933</v>
      </c>
      <c r="FO52" s="7">
        <f t="shared" si="81"/>
        <v>392933</v>
      </c>
    </row>
    <row r="53" spans="2:171" ht="22.05" customHeight="1" x14ac:dyDescent="0.3">
      <c r="B53" s="4" t="s">
        <v>104</v>
      </c>
      <c r="C53" s="8">
        <f t="shared" ref="C53:AH53" si="82">SUM(C47:C52)</f>
        <v>3877230</v>
      </c>
      <c r="D53" s="8">
        <f t="shared" si="82"/>
        <v>3877230</v>
      </c>
      <c r="E53" s="8">
        <f t="shared" si="82"/>
        <v>3877230</v>
      </c>
      <c r="F53" s="8">
        <f t="shared" si="82"/>
        <v>3877230</v>
      </c>
      <c r="G53" s="8">
        <f t="shared" si="82"/>
        <v>3877230</v>
      </c>
      <c r="H53" s="8">
        <f t="shared" si="82"/>
        <v>3877230</v>
      </c>
      <c r="I53" s="8">
        <f t="shared" si="82"/>
        <v>3877230</v>
      </c>
      <c r="J53" s="8">
        <f t="shared" si="82"/>
        <v>3877230</v>
      </c>
      <c r="K53" s="8">
        <f t="shared" si="82"/>
        <v>3877230</v>
      </c>
      <c r="L53" s="8">
        <f t="shared" si="82"/>
        <v>3877230</v>
      </c>
      <c r="M53" s="8">
        <f t="shared" si="82"/>
        <v>3877230</v>
      </c>
      <c r="N53" s="8">
        <f t="shared" si="82"/>
        <v>3877230</v>
      </c>
      <c r="O53" s="8">
        <f t="shared" si="82"/>
        <v>3877230</v>
      </c>
      <c r="P53" s="8">
        <f t="shared" si="82"/>
        <v>4347325</v>
      </c>
      <c r="Q53" s="8">
        <f t="shared" si="82"/>
        <v>4347325</v>
      </c>
      <c r="R53" s="8">
        <f t="shared" si="82"/>
        <v>4347325</v>
      </c>
      <c r="S53" s="8">
        <f t="shared" si="82"/>
        <v>4347325</v>
      </c>
      <c r="T53" s="8">
        <f t="shared" si="82"/>
        <v>4347325</v>
      </c>
      <c r="U53" s="8">
        <f t="shared" si="82"/>
        <v>4347325</v>
      </c>
      <c r="V53" s="8">
        <f t="shared" si="82"/>
        <v>4347325</v>
      </c>
      <c r="W53" s="8">
        <f t="shared" si="82"/>
        <v>4347325</v>
      </c>
      <c r="X53" s="8">
        <f t="shared" si="82"/>
        <v>4347325</v>
      </c>
      <c r="Y53" s="8">
        <f t="shared" si="82"/>
        <v>4347325</v>
      </c>
      <c r="Z53" s="8">
        <f t="shared" si="82"/>
        <v>4347325</v>
      </c>
      <c r="AA53" s="8">
        <f t="shared" si="82"/>
        <v>4347325</v>
      </c>
      <c r="AB53" s="8">
        <f t="shared" si="82"/>
        <v>4347325</v>
      </c>
      <c r="AC53" s="8">
        <f t="shared" si="82"/>
        <v>8581177</v>
      </c>
      <c r="AD53" s="8">
        <f t="shared" si="82"/>
        <v>8581177</v>
      </c>
      <c r="AE53" s="8">
        <f t="shared" si="82"/>
        <v>8581177</v>
      </c>
      <c r="AF53" s="8">
        <f t="shared" si="82"/>
        <v>8581177</v>
      </c>
      <c r="AG53" s="8">
        <f t="shared" si="82"/>
        <v>8581177</v>
      </c>
      <c r="AH53" s="8">
        <f t="shared" si="82"/>
        <v>8581177</v>
      </c>
      <c r="AI53" s="8">
        <f t="shared" ref="AI53:BN53" si="83">SUM(AI47:AI52)</f>
        <v>8581177</v>
      </c>
      <c r="AJ53" s="8">
        <f t="shared" si="83"/>
        <v>8581177</v>
      </c>
      <c r="AK53" s="8">
        <f t="shared" si="83"/>
        <v>8581177</v>
      </c>
      <c r="AL53" s="8">
        <f t="shared" si="83"/>
        <v>8581177</v>
      </c>
      <c r="AM53" s="8">
        <f t="shared" si="83"/>
        <v>8581177</v>
      </c>
      <c r="AN53" s="8">
        <f t="shared" si="83"/>
        <v>8581177</v>
      </c>
      <c r="AO53" s="8">
        <f t="shared" si="83"/>
        <v>8581177</v>
      </c>
      <c r="AP53" s="8">
        <f t="shared" si="83"/>
        <v>6119602</v>
      </c>
      <c r="AQ53" s="8">
        <f t="shared" si="83"/>
        <v>6119602</v>
      </c>
      <c r="AR53" s="8">
        <f t="shared" si="83"/>
        <v>6119602</v>
      </c>
      <c r="AS53" s="8">
        <f t="shared" si="83"/>
        <v>6119602</v>
      </c>
      <c r="AT53" s="8">
        <f t="shared" si="83"/>
        <v>6119602</v>
      </c>
      <c r="AU53" s="8">
        <f t="shared" si="83"/>
        <v>6119602</v>
      </c>
      <c r="AV53" s="8">
        <f t="shared" si="83"/>
        <v>6119602</v>
      </c>
      <c r="AW53" s="8">
        <f t="shared" si="83"/>
        <v>6119602</v>
      </c>
      <c r="AX53" s="8">
        <f t="shared" si="83"/>
        <v>6119602</v>
      </c>
      <c r="AY53" s="8">
        <f t="shared" si="83"/>
        <v>6119602</v>
      </c>
      <c r="AZ53" s="8">
        <f t="shared" si="83"/>
        <v>6119602</v>
      </c>
      <c r="BA53" s="8">
        <f t="shared" si="83"/>
        <v>6119602</v>
      </c>
      <c r="BB53" s="8">
        <f t="shared" si="83"/>
        <v>6119602</v>
      </c>
      <c r="BC53" s="8">
        <f t="shared" si="83"/>
        <v>4540783</v>
      </c>
      <c r="BD53" s="8">
        <f t="shared" si="83"/>
        <v>4540783</v>
      </c>
      <c r="BE53" s="8">
        <f t="shared" si="83"/>
        <v>4540783</v>
      </c>
      <c r="BF53" s="8">
        <f t="shared" si="83"/>
        <v>4540783</v>
      </c>
      <c r="BG53" s="8">
        <f t="shared" si="83"/>
        <v>4540783</v>
      </c>
      <c r="BH53" s="8">
        <f t="shared" si="83"/>
        <v>4540783</v>
      </c>
      <c r="BI53" s="8">
        <f t="shared" si="83"/>
        <v>4540783</v>
      </c>
      <c r="BJ53" s="8">
        <f t="shared" si="83"/>
        <v>4540783</v>
      </c>
      <c r="BK53" s="8">
        <f t="shared" si="83"/>
        <v>4540783</v>
      </c>
      <c r="BL53" s="8">
        <f t="shared" si="83"/>
        <v>4540783</v>
      </c>
      <c r="BM53" s="8">
        <f t="shared" si="83"/>
        <v>4540783</v>
      </c>
      <c r="BN53" s="8">
        <f t="shared" si="83"/>
        <v>4540783</v>
      </c>
      <c r="BO53" s="8">
        <f t="shared" ref="BO53:CT53" si="84">SUM(BO47:BO52)</f>
        <v>4540783</v>
      </c>
      <c r="BP53" s="8">
        <f t="shared" si="84"/>
        <v>4571556</v>
      </c>
      <c r="BQ53" s="8">
        <f t="shared" si="84"/>
        <v>4571556</v>
      </c>
      <c r="BR53" s="8">
        <f t="shared" si="84"/>
        <v>4571556</v>
      </c>
      <c r="BS53" s="8">
        <f t="shared" si="84"/>
        <v>4571556</v>
      </c>
      <c r="BT53" s="8">
        <f t="shared" si="84"/>
        <v>4571556</v>
      </c>
      <c r="BU53" s="8">
        <f t="shared" si="84"/>
        <v>4571556</v>
      </c>
      <c r="BV53" s="8">
        <f t="shared" si="84"/>
        <v>4571556</v>
      </c>
      <c r="BW53" s="8">
        <f t="shared" si="84"/>
        <v>4571556</v>
      </c>
      <c r="BX53" s="8">
        <f t="shared" si="84"/>
        <v>4571556</v>
      </c>
      <c r="BY53" s="8">
        <f t="shared" si="84"/>
        <v>4571556</v>
      </c>
      <c r="BZ53" s="8">
        <f t="shared" si="84"/>
        <v>4571556</v>
      </c>
      <c r="CA53" s="8">
        <f t="shared" si="84"/>
        <v>4571556</v>
      </c>
      <c r="CB53" s="8">
        <f t="shared" si="84"/>
        <v>4571556</v>
      </c>
      <c r="CC53" s="8">
        <f t="shared" si="84"/>
        <v>4845816</v>
      </c>
      <c r="CD53" s="8">
        <f t="shared" si="84"/>
        <v>4845816</v>
      </c>
      <c r="CE53" s="8">
        <f t="shared" si="84"/>
        <v>4845816</v>
      </c>
      <c r="CF53" s="8">
        <f t="shared" si="84"/>
        <v>4845816</v>
      </c>
      <c r="CG53" s="8">
        <f t="shared" si="84"/>
        <v>4845816</v>
      </c>
      <c r="CH53" s="8">
        <f t="shared" si="84"/>
        <v>4845816</v>
      </c>
      <c r="CI53" s="8">
        <f t="shared" si="84"/>
        <v>4845816</v>
      </c>
      <c r="CJ53" s="8">
        <f t="shared" si="84"/>
        <v>4845816</v>
      </c>
      <c r="CK53" s="8">
        <f t="shared" si="84"/>
        <v>4845816</v>
      </c>
      <c r="CL53" s="8">
        <f t="shared" si="84"/>
        <v>4845816</v>
      </c>
      <c r="CM53" s="8">
        <f t="shared" si="84"/>
        <v>4845816</v>
      </c>
      <c r="CN53" s="8">
        <f t="shared" si="84"/>
        <v>4845816</v>
      </c>
      <c r="CO53" s="8">
        <f t="shared" si="84"/>
        <v>4845816</v>
      </c>
      <c r="CP53" s="8">
        <f t="shared" si="84"/>
        <v>5333082</v>
      </c>
      <c r="CQ53" s="8">
        <f t="shared" si="84"/>
        <v>5333082</v>
      </c>
      <c r="CR53" s="8">
        <f t="shared" si="84"/>
        <v>5333082</v>
      </c>
      <c r="CS53" s="8">
        <f t="shared" si="84"/>
        <v>5333082</v>
      </c>
      <c r="CT53" s="8">
        <f t="shared" si="84"/>
        <v>5333082</v>
      </c>
      <c r="CU53" s="8">
        <f t="shared" ref="CU53:DZ53" si="85">SUM(CU47:CU52)</f>
        <v>5333082</v>
      </c>
      <c r="CV53" s="8">
        <f t="shared" si="85"/>
        <v>5333082</v>
      </c>
      <c r="CW53" s="8">
        <f t="shared" si="85"/>
        <v>5333082</v>
      </c>
      <c r="CX53" s="8">
        <f t="shared" si="85"/>
        <v>5333082</v>
      </c>
      <c r="CY53" s="8">
        <f t="shared" si="85"/>
        <v>5333082</v>
      </c>
      <c r="CZ53" s="8">
        <f t="shared" si="85"/>
        <v>5333082</v>
      </c>
      <c r="DA53" s="8">
        <f t="shared" si="85"/>
        <v>5333082</v>
      </c>
      <c r="DB53" s="8">
        <f t="shared" si="85"/>
        <v>5333082</v>
      </c>
      <c r="DC53" s="8">
        <f t="shared" si="85"/>
        <v>2452676</v>
      </c>
      <c r="DD53" s="8">
        <f t="shared" si="85"/>
        <v>2452676</v>
      </c>
      <c r="DE53" s="8">
        <f t="shared" si="85"/>
        <v>2452676</v>
      </c>
      <c r="DF53" s="8">
        <f t="shared" si="85"/>
        <v>2452676</v>
      </c>
      <c r="DG53" s="8">
        <f t="shared" si="85"/>
        <v>2452676</v>
      </c>
      <c r="DH53" s="8">
        <f t="shared" si="85"/>
        <v>2452676</v>
      </c>
      <c r="DI53" s="8">
        <f t="shared" si="85"/>
        <v>2452676</v>
      </c>
      <c r="DJ53" s="8">
        <f t="shared" si="85"/>
        <v>2452676</v>
      </c>
      <c r="DK53" s="8">
        <f t="shared" si="85"/>
        <v>2452676</v>
      </c>
      <c r="DL53" s="8">
        <f t="shared" si="85"/>
        <v>2452676</v>
      </c>
      <c r="DM53" s="8">
        <f t="shared" si="85"/>
        <v>2452676</v>
      </c>
      <c r="DN53" s="8">
        <f t="shared" si="85"/>
        <v>2452676</v>
      </c>
      <c r="DO53" s="8">
        <f t="shared" si="85"/>
        <v>2452676</v>
      </c>
      <c r="DP53" s="8">
        <f t="shared" si="85"/>
        <v>25971266</v>
      </c>
      <c r="DQ53" s="8">
        <f t="shared" si="85"/>
        <v>25971266</v>
      </c>
      <c r="DR53" s="8">
        <f t="shared" si="85"/>
        <v>25971266</v>
      </c>
      <c r="DS53" s="8">
        <f t="shared" si="85"/>
        <v>25971266</v>
      </c>
      <c r="DT53" s="8">
        <f t="shared" si="85"/>
        <v>25971266</v>
      </c>
      <c r="DU53" s="8">
        <f t="shared" si="85"/>
        <v>25971266</v>
      </c>
      <c r="DV53" s="8">
        <f t="shared" si="85"/>
        <v>25971266</v>
      </c>
      <c r="DW53" s="8">
        <f t="shared" si="85"/>
        <v>25971266</v>
      </c>
      <c r="DX53" s="8">
        <f t="shared" si="85"/>
        <v>25971266</v>
      </c>
      <c r="DY53" s="8">
        <f t="shared" si="85"/>
        <v>25971266</v>
      </c>
      <c r="DZ53" s="8">
        <f t="shared" si="85"/>
        <v>25971266</v>
      </c>
      <c r="EA53" s="8">
        <f t="shared" ref="EA53:FF53" si="86">SUM(EA47:EA52)</f>
        <v>25971266</v>
      </c>
      <c r="EB53" s="8">
        <f t="shared" si="86"/>
        <v>25971266</v>
      </c>
      <c r="EC53" s="8">
        <f t="shared" si="86"/>
        <v>8648312</v>
      </c>
      <c r="ED53" s="8">
        <f t="shared" si="86"/>
        <v>8648312</v>
      </c>
      <c r="EE53" s="8">
        <f t="shared" si="86"/>
        <v>8648312</v>
      </c>
      <c r="EF53" s="8">
        <f t="shared" si="86"/>
        <v>8648312</v>
      </c>
      <c r="EG53" s="8">
        <f t="shared" si="86"/>
        <v>8648312</v>
      </c>
      <c r="EH53" s="8">
        <f t="shared" si="86"/>
        <v>8648312</v>
      </c>
      <c r="EI53" s="8">
        <f t="shared" si="86"/>
        <v>8648312</v>
      </c>
      <c r="EJ53" s="8">
        <f t="shared" si="86"/>
        <v>8648312</v>
      </c>
      <c r="EK53" s="8">
        <f t="shared" si="86"/>
        <v>8648312</v>
      </c>
      <c r="EL53" s="8">
        <f t="shared" si="86"/>
        <v>8648312</v>
      </c>
      <c r="EM53" s="8">
        <f t="shared" si="86"/>
        <v>8648312</v>
      </c>
      <c r="EN53" s="8">
        <f t="shared" si="86"/>
        <v>8648312</v>
      </c>
      <c r="EO53" s="8">
        <f t="shared" si="86"/>
        <v>8648312</v>
      </c>
      <c r="EP53" s="8">
        <f t="shared" si="86"/>
        <v>13243449</v>
      </c>
      <c r="EQ53" s="8">
        <f t="shared" si="86"/>
        <v>13243449</v>
      </c>
      <c r="ER53" s="8">
        <f t="shared" si="86"/>
        <v>13243449</v>
      </c>
      <c r="ES53" s="8">
        <f t="shared" si="86"/>
        <v>13243449</v>
      </c>
      <c r="ET53" s="8">
        <f t="shared" si="86"/>
        <v>13243449</v>
      </c>
      <c r="EU53" s="8">
        <f t="shared" si="86"/>
        <v>13243449</v>
      </c>
      <c r="EV53" s="8">
        <f t="shared" si="86"/>
        <v>13243449</v>
      </c>
      <c r="EW53" s="8">
        <f t="shared" si="86"/>
        <v>13243449</v>
      </c>
      <c r="EX53" s="8">
        <f t="shared" si="86"/>
        <v>13243449</v>
      </c>
      <c r="EY53" s="8">
        <f t="shared" si="86"/>
        <v>13243449</v>
      </c>
      <c r="EZ53" s="8">
        <f t="shared" si="86"/>
        <v>13243449</v>
      </c>
      <c r="FA53" s="8">
        <f t="shared" si="86"/>
        <v>13243449</v>
      </c>
      <c r="FB53" s="8">
        <f t="shared" si="86"/>
        <v>13243449</v>
      </c>
      <c r="FC53" s="8">
        <f t="shared" si="86"/>
        <v>5203817</v>
      </c>
      <c r="FD53" s="8">
        <f t="shared" si="86"/>
        <v>5203817</v>
      </c>
      <c r="FE53" s="8">
        <f t="shared" si="86"/>
        <v>5203817</v>
      </c>
      <c r="FF53" s="8">
        <f t="shared" si="86"/>
        <v>5203817</v>
      </c>
      <c r="FG53" s="8">
        <f t="shared" ref="FG53:GL53" si="87">SUM(FG47:FG52)</f>
        <v>5203817</v>
      </c>
      <c r="FH53" s="8">
        <f t="shared" si="87"/>
        <v>5203817</v>
      </c>
      <c r="FI53" s="8">
        <f t="shared" si="87"/>
        <v>5203817</v>
      </c>
      <c r="FJ53" s="8">
        <f t="shared" si="87"/>
        <v>0</v>
      </c>
      <c r="FK53" s="8">
        <f t="shared" si="87"/>
        <v>0</v>
      </c>
      <c r="FL53" s="8">
        <f t="shared" si="87"/>
        <v>0</v>
      </c>
      <c r="FM53" s="8">
        <f t="shared" si="87"/>
        <v>0</v>
      </c>
      <c r="FN53" s="8">
        <f t="shared" si="87"/>
        <v>0</v>
      </c>
      <c r="FO53" s="8">
        <f t="shared" si="87"/>
        <v>5203817</v>
      </c>
    </row>
    <row r="54" spans="2:171" x14ac:dyDescent="0.3">
      <c r="B54" s="2" t="s">
        <v>109</v>
      </c>
    </row>
    <row r="56" spans="2:171" ht="16.05" customHeight="1" x14ac:dyDescent="0.3">
      <c r="B56" s="60" t="s">
        <v>114</v>
      </c>
      <c r="C56" s="57"/>
      <c r="D56" s="57"/>
      <c r="E56" s="57"/>
      <c r="F56" s="57"/>
      <c r="G56" s="57"/>
      <c r="H56" s="57"/>
      <c r="I56" s="57"/>
      <c r="J56" s="57"/>
      <c r="K56" s="57"/>
      <c r="L56" s="57"/>
      <c r="M56" s="57"/>
      <c r="N56" s="57"/>
      <c r="O56" s="57"/>
      <c r="P56" s="57"/>
      <c r="Q56" s="57"/>
      <c r="R56" s="57"/>
      <c r="S56" s="57"/>
      <c r="T56" s="57"/>
      <c r="U56" s="57"/>
      <c r="V56" s="57"/>
      <c r="W56" s="57"/>
      <c r="X56" s="57"/>
      <c r="Y56" s="57"/>
      <c r="Z56" s="57"/>
      <c r="AA56" s="57"/>
      <c r="AB56" s="57"/>
      <c r="AC56" s="57"/>
      <c r="AD56" s="57"/>
      <c r="AE56" s="57"/>
      <c r="AF56" s="57"/>
      <c r="AG56" s="57"/>
      <c r="AH56" s="57"/>
      <c r="AI56" s="57"/>
      <c r="AJ56" s="57"/>
      <c r="AK56" s="57"/>
      <c r="AL56" s="57"/>
      <c r="AM56" s="57"/>
      <c r="AN56" s="57"/>
      <c r="AO56" s="57"/>
      <c r="AP56" s="57"/>
      <c r="AQ56" s="57"/>
      <c r="AR56" s="57"/>
      <c r="AS56" s="57"/>
      <c r="AT56" s="57"/>
      <c r="AU56" s="57"/>
      <c r="AV56" s="57"/>
      <c r="AW56" s="57"/>
      <c r="AX56" s="57"/>
      <c r="AY56" s="57"/>
      <c r="AZ56" s="57"/>
      <c r="BA56" s="57"/>
      <c r="BB56" s="57"/>
      <c r="BC56" s="57"/>
      <c r="BD56" s="57"/>
      <c r="BE56" s="57"/>
      <c r="BF56" s="57"/>
      <c r="BG56" s="57"/>
      <c r="BH56" s="57"/>
      <c r="BI56" s="57"/>
      <c r="BJ56" s="57"/>
      <c r="BK56" s="57"/>
      <c r="BL56" s="57"/>
      <c r="BM56" s="57"/>
      <c r="BN56" s="57"/>
      <c r="BO56" s="57"/>
      <c r="BP56" s="57"/>
      <c r="BQ56" s="57"/>
      <c r="BR56" s="57"/>
      <c r="BS56" s="57"/>
      <c r="BT56" s="57"/>
      <c r="BU56" s="57"/>
      <c r="BV56" s="57"/>
      <c r="BW56" s="57"/>
      <c r="BX56" s="57"/>
      <c r="BY56" s="57"/>
      <c r="BZ56" s="57"/>
      <c r="CA56" s="57"/>
      <c r="CB56" s="57"/>
      <c r="CC56" s="57"/>
      <c r="CD56" s="57"/>
      <c r="CE56" s="57"/>
      <c r="CF56" s="57"/>
      <c r="CG56" s="57"/>
      <c r="CH56" s="57"/>
      <c r="CI56" s="57"/>
      <c r="CJ56" s="57"/>
      <c r="CK56" s="57"/>
      <c r="CL56" s="57"/>
      <c r="CM56" s="57"/>
      <c r="CN56" s="57"/>
      <c r="CO56" s="57"/>
      <c r="CP56" s="57"/>
      <c r="CQ56" s="57"/>
      <c r="CR56" s="57"/>
      <c r="CS56" s="57"/>
      <c r="CT56" s="57"/>
      <c r="CU56" s="57"/>
      <c r="CV56" s="57"/>
      <c r="CW56" s="57"/>
      <c r="CX56" s="57"/>
      <c r="CY56" s="57"/>
      <c r="CZ56" s="57"/>
      <c r="DA56" s="57"/>
      <c r="DB56" s="57"/>
      <c r="DC56" s="57"/>
      <c r="DD56" s="57"/>
      <c r="DE56" s="57"/>
      <c r="DF56" s="57"/>
      <c r="DG56" s="57"/>
      <c r="DH56" s="57"/>
      <c r="DI56" s="57"/>
      <c r="DJ56" s="57"/>
      <c r="DK56" s="57"/>
      <c r="DL56" s="57"/>
      <c r="DM56" s="57"/>
      <c r="DN56" s="57"/>
      <c r="DO56" s="57"/>
      <c r="DP56" s="57"/>
      <c r="DQ56" s="57"/>
      <c r="DR56" s="57"/>
      <c r="DS56" s="57"/>
      <c r="DT56" s="57"/>
      <c r="DU56" s="57"/>
      <c r="DV56" s="57"/>
      <c r="DW56" s="57"/>
      <c r="DX56" s="57"/>
      <c r="DY56" s="57"/>
      <c r="DZ56" s="57"/>
      <c r="EA56" s="57"/>
      <c r="EB56" s="57"/>
      <c r="EC56" s="57"/>
      <c r="ED56" s="57"/>
      <c r="EE56" s="57"/>
      <c r="EF56" s="57"/>
      <c r="EG56" s="57"/>
      <c r="EH56" s="57"/>
      <c r="EI56" s="57"/>
      <c r="EJ56" s="57"/>
      <c r="EK56" s="57"/>
      <c r="EL56" s="57"/>
      <c r="EM56" s="57"/>
      <c r="EN56" s="57"/>
      <c r="EO56" s="57"/>
      <c r="EP56" s="57"/>
      <c r="EQ56" s="57"/>
      <c r="ER56" s="57"/>
      <c r="ES56" s="57"/>
      <c r="ET56" s="57"/>
      <c r="EU56" s="57"/>
      <c r="EV56" s="57"/>
      <c r="EW56" s="57"/>
      <c r="EX56" s="57"/>
      <c r="EY56" s="57"/>
      <c r="EZ56" s="57"/>
      <c r="FA56" s="57"/>
      <c r="FB56" s="57"/>
      <c r="FC56" s="57"/>
      <c r="FD56" s="57"/>
      <c r="FE56" s="57"/>
      <c r="FF56" s="57"/>
      <c r="FG56" s="57"/>
      <c r="FH56" s="57"/>
      <c r="FI56" s="57"/>
      <c r="FJ56" s="57"/>
      <c r="FK56" s="57"/>
      <c r="FL56" s="57"/>
      <c r="FM56" s="57"/>
      <c r="FN56" s="57"/>
      <c r="FO56" s="57"/>
    </row>
    <row r="57" spans="2:171" ht="22.05" customHeight="1" x14ac:dyDescent="0.3">
      <c r="B57" s="3"/>
      <c r="C57" s="58" t="s">
        <v>77</v>
      </c>
      <c r="D57" s="59"/>
      <c r="E57" s="59"/>
      <c r="F57" s="59"/>
      <c r="G57" s="59"/>
      <c r="H57" s="59"/>
      <c r="I57" s="59"/>
      <c r="J57" s="59"/>
      <c r="K57" s="59"/>
      <c r="L57" s="59"/>
      <c r="M57" s="59"/>
      <c r="N57" s="59"/>
      <c r="O57" s="59"/>
      <c r="P57" s="58" t="s">
        <v>78</v>
      </c>
      <c r="Q57" s="59"/>
      <c r="R57" s="59"/>
      <c r="S57" s="59"/>
      <c r="T57" s="59"/>
      <c r="U57" s="59"/>
      <c r="V57" s="59"/>
      <c r="W57" s="59"/>
      <c r="X57" s="59"/>
      <c r="Y57" s="59"/>
      <c r="Z57" s="59"/>
      <c r="AA57" s="59"/>
      <c r="AB57" s="59"/>
      <c r="AC57" s="58" t="s">
        <v>79</v>
      </c>
      <c r="AD57" s="59"/>
      <c r="AE57" s="59"/>
      <c r="AF57" s="59"/>
      <c r="AG57" s="59"/>
      <c r="AH57" s="59"/>
      <c r="AI57" s="59"/>
      <c r="AJ57" s="59"/>
      <c r="AK57" s="59"/>
      <c r="AL57" s="59"/>
      <c r="AM57" s="59"/>
      <c r="AN57" s="59"/>
      <c r="AO57" s="59"/>
      <c r="AP57" s="58" t="s">
        <v>80</v>
      </c>
      <c r="AQ57" s="59"/>
      <c r="AR57" s="59"/>
      <c r="AS57" s="59"/>
      <c r="AT57" s="59"/>
      <c r="AU57" s="59"/>
      <c r="AV57" s="59"/>
      <c r="AW57" s="59"/>
      <c r="AX57" s="59"/>
      <c r="AY57" s="59"/>
      <c r="AZ57" s="59"/>
      <c r="BA57" s="59"/>
      <c r="BB57" s="59"/>
      <c r="BC57" s="58" t="s">
        <v>81</v>
      </c>
      <c r="BD57" s="59"/>
      <c r="BE57" s="59"/>
      <c r="BF57" s="59"/>
      <c r="BG57" s="59"/>
      <c r="BH57" s="59"/>
      <c r="BI57" s="59"/>
      <c r="BJ57" s="59"/>
      <c r="BK57" s="59"/>
      <c r="BL57" s="59"/>
      <c r="BM57" s="59"/>
      <c r="BN57" s="59"/>
      <c r="BO57" s="59"/>
      <c r="BP57" s="58" t="s">
        <v>82</v>
      </c>
      <c r="BQ57" s="59"/>
      <c r="BR57" s="59"/>
      <c r="BS57" s="59"/>
      <c r="BT57" s="59"/>
      <c r="BU57" s="59"/>
      <c r="BV57" s="59"/>
      <c r="BW57" s="59"/>
      <c r="BX57" s="59"/>
      <c r="BY57" s="59"/>
      <c r="BZ57" s="59"/>
      <c r="CA57" s="59"/>
      <c r="CB57" s="59"/>
      <c r="CC57" s="58" t="s">
        <v>83</v>
      </c>
      <c r="CD57" s="59"/>
      <c r="CE57" s="59"/>
      <c r="CF57" s="59"/>
      <c r="CG57" s="59"/>
      <c r="CH57" s="59"/>
      <c r="CI57" s="59"/>
      <c r="CJ57" s="59"/>
      <c r="CK57" s="59"/>
      <c r="CL57" s="59"/>
      <c r="CM57" s="59"/>
      <c r="CN57" s="59"/>
      <c r="CO57" s="59"/>
      <c r="CP57" s="58" t="s">
        <v>112</v>
      </c>
      <c r="CQ57" s="59"/>
      <c r="CR57" s="59"/>
      <c r="CS57" s="59"/>
      <c r="CT57" s="59"/>
      <c r="CU57" s="59"/>
      <c r="CV57" s="59"/>
      <c r="CW57" s="59"/>
      <c r="CX57" s="59"/>
      <c r="CY57" s="59"/>
      <c r="CZ57" s="59"/>
      <c r="DA57" s="59"/>
      <c r="DB57" s="59"/>
      <c r="DC57" s="58" t="s">
        <v>113</v>
      </c>
      <c r="DD57" s="59"/>
      <c r="DE57" s="59"/>
      <c r="DF57" s="59"/>
      <c r="DG57" s="59"/>
      <c r="DH57" s="59"/>
      <c r="DI57" s="59"/>
      <c r="DJ57" s="59"/>
      <c r="DK57" s="59"/>
      <c r="DL57" s="59"/>
      <c r="DM57" s="59"/>
      <c r="DN57" s="59"/>
      <c r="DO57" s="59"/>
      <c r="DP57" s="58" t="s">
        <v>86</v>
      </c>
      <c r="DQ57" s="59"/>
      <c r="DR57" s="59"/>
      <c r="DS57" s="59"/>
      <c r="DT57" s="59"/>
      <c r="DU57" s="59"/>
      <c r="DV57" s="59"/>
      <c r="DW57" s="59"/>
      <c r="DX57" s="59"/>
      <c r="DY57" s="59"/>
      <c r="DZ57" s="59"/>
      <c r="EA57" s="59"/>
      <c r="EB57" s="59"/>
      <c r="EC57" s="58" t="s">
        <v>87</v>
      </c>
      <c r="ED57" s="59"/>
      <c r="EE57" s="59"/>
      <c r="EF57" s="59"/>
      <c r="EG57" s="59"/>
      <c r="EH57" s="59"/>
      <c r="EI57" s="59"/>
      <c r="EJ57" s="59"/>
      <c r="EK57" s="59"/>
      <c r="EL57" s="59"/>
      <c r="EM57" s="59"/>
      <c r="EN57" s="59"/>
      <c r="EO57" s="59"/>
      <c r="EP57" s="58" t="s">
        <v>88</v>
      </c>
      <c r="EQ57" s="59"/>
      <c r="ER57" s="59"/>
      <c r="ES57" s="59"/>
      <c r="ET57" s="59"/>
      <c r="EU57" s="59"/>
      <c r="EV57" s="59"/>
      <c r="EW57" s="59"/>
      <c r="EX57" s="59"/>
      <c r="EY57" s="59"/>
      <c r="EZ57" s="59"/>
      <c r="FA57" s="59"/>
      <c r="FB57" s="59"/>
      <c r="FC57" s="58" t="s">
        <v>89</v>
      </c>
      <c r="FD57" s="59"/>
      <c r="FE57" s="59"/>
      <c r="FF57" s="59"/>
      <c r="FG57" s="59"/>
      <c r="FH57" s="59"/>
      <c r="FI57" s="59"/>
      <c r="FJ57" s="59"/>
      <c r="FK57" s="59"/>
      <c r="FL57" s="59"/>
      <c r="FM57" s="59"/>
      <c r="FN57" s="59"/>
      <c r="FO57" s="59"/>
    </row>
    <row r="58" spans="2:171" ht="28.05" customHeight="1" x14ac:dyDescent="0.3">
      <c r="B58" s="4" t="s">
        <v>90</v>
      </c>
      <c r="C58" s="5" t="s">
        <v>55</v>
      </c>
      <c r="D58" s="5" t="s">
        <v>56</v>
      </c>
      <c r="E58" s="5" t="s">
        <v>57</v>
      </c>
      <c r="F58" s="5" t="s">
        <v>58</v>
      </c>
      <c r="G58" s="5" t="s">
        <v>59</v>
      </c>
      <c r="H58" s="5" t="s">
        <v>60</v>
      </c>
      <c r="I58" s="5" t="s">
        <v>61</v>
      </c>
      <c r="J58" s="5" t="s">
        <v>62</v>
      </c>
      <c r="K58" s="5" t="s">
        <v>63</v>
      </c>
      <c r="L58" s="5" t="s">
        <v>64</v>
      </c>
      <c r="M58" s="5" t="s">
        <v>65</v>
      </c>
      <c r="N58" s="5" t="s">
        <v>66</v>
      </c>
      <c r="O58" s="5" t="s">
        <v>91</v>
      </c>
      <c r="P58" s="5" t="s">
        <v>55</v>
      </c>
      <c r="Q58" s="5" t="s">
        <v>56</v>
      </c>
      <c r="R58" s="5" t="s">
        <v>57</v>
      </c>
      <c r="S58" s="5" t="s">
        <v>58</v>
      </c>
      <c r="T58" s="5" t="s">
        <v>59</v>
      </c>
      <c r="U58" s="5" t="s">
        <v>60</v>
      </c>
      <c r="V58" s="5" t="s">
        <v>61</v>
      </c>
      <c r="W58" s="5" t="s">
        <v>62</v>
      </c>
      <c r="X58" s="5" t="s">
        <v>63</v>
      </c>
      <c r="Y58" s="5" t="s">
        <v>64</v>
      </c>
      <c r="Z58" s="5" t="s">
        <v>65</v>
      </c>
      <c r="AA58" s="5" t="s">
        <v>66</v>
      </c>
      <c r="AB58" s="5" t="s">
        <v>92</v>
      </c>
      <c r="AC58" s="5" t="s">
        <v>55</v>
      </c>
      <c r="AD58" s="5" t="s">
        <v>56</v>
      </c>
      <c r="AE58" s="5" t="s">
        <v>57</v>
      </c>
      <c r="AF58" s="5" t="s">
        <v>58</v>
      </c>
      <c r="AG58" s="5" t="s">
        <v>59</v>
      </c>
      <c r="AH58" s="5" t="s">
        <v>60</v>
      </c>
      <c r="AI58" s="5" t="s">
        <v>61</v>
      </c>
      <c r="AJ58" s="5" t="s">
        <v>62</v>
      </c>
      <c r="AK58" s="5" t="s">
        <v>63</v>
      </c>
      <c r="AL58" s="5" t="s">
        <v>64</v>
      </c>
      <c r="AM58" s="5" t="s">
        <v>65</v>
      </c>
      <c r="AN58" s="5" t="s">
        <v>66</v>
      </c>
      <c r="AO58" s="5" t="s">
        <v>93</v>
      </c>
      <c r="AP58" s="5" t="s">
        <v>55</v>
      </c>
      <c r="AQ58" s="5" t="s">
        <v>56</v>
      </c>
      <c r="AR58" s="5" t="s">
        <v>57</v>
      </c>
      <c r="AS58" s="5" t="s">
        <v>58</v>
      </c>
      <c r="AT58" s="5" t="s">
        <v>59</v>
      </c>
      <c r="AU58" s="5" t="s">
        <v>60</v>
      </c>
      <c r="AV58" s="5" t="s">
        <v>61</v>
      </c>
      <c r="AW58" s="5" t="s">
        <v>62</v>
      </c>
      <c r="AX58" s="5" t="s">
        <v>63</v>
      </c>
      <c r="AY58" s="5" t="s">
        <v>64</v>
      </c>
      <c r="AZ58" s="5" t="s">
        <v>65</v>
      </c>
      <c r="BA58" s="5" t="s">
        <v>66</v>
      </c>
      <c r="BB58" s="5" t="s">
        <v>94</v>
      </c>
      <c r="BC58" s="5" t="s">
        <v>55</v>
      </c>
      <c r="BD58" s="5" t="s">
        <v>56</v>
      </c>
      <c r="BE58" s="5" t="s">
        <v>57</v>
      </c>
      <c r="BF58" s="5" t="s">
        <v>58</v>
      </c>
      <c r="BG58" s="5" t="s">
        <v>59</v>
      </c>
      <c r="BH58" s="5" t="s">
        <v>60</v>
      </c>
      <c r="BI58" s="5" t="s">
        <v>61</v>
      </c>
      <c r="BJ58" s="5" t="s">
        <v>62</v>
      </c>
      <c r="BK58" s="5" t="s">
        <v>63</v>
      </c>
      <c r="BL58" s="5" t="s">
        <v>64</v>
      </c>
      <c r="BM58" s="5" t="s">
        <v>65</v>
      </c>
      <c r="BN58" s="5" t="s">
        <v>66</v>
      </c>
      <c r="BO58" s="5" t="s">
        <v>95</v>
      </c>
      <c r="BP58" s="5" t="s">
        <v>55</v>
      </c>
      <c r="BQ58" s="5" t="s">
        <v>56</v>
      </c>
      <c r="BR58" s="5" t="s">
        <v>57</v>
      </c>
      <c r="BS58" s="5" t="s">
        <v>58</v>
      </c>
      <c r="BT58" s="5" t="s">
        <v>59</v>
      </c>
      <c r="BU58" s="5" t="s">
        <v>60</v>
      </c>
      <c r="BV58" s="5" t="s">
        <v>61</v>
      </c>
      <c r="BW58" s="5" t="s">
        <v>62</v>
      </c>
      <c r="BX58" s="5" t="s">
        <v>63</v>
      </c>
      <c r="BY58" s="5" t="s">
        <v>64</v>
      </c>
      <c r="BZ58" s="5" t="s">
        <v>65</v>
      </c>
      <c r="CA58" s="5" t="s">
        <v>66</v>
      </c>
      <c r="CB58" s="5" t="s">
        <v>96</v>
      </c>
      <c r="CC58" s="5" t="s">
        <v>55</v>
      </c>
      <c r="CD58" s="5" t="s">
        <v>56</v>
      </c>
      <c r="CE58" s="5" t="s">
        <v>57</v>
      </c>
      <c r="CF58" s="5" t="s">
        <v>58</v>
      </c>
      <c r="CG58" s="5" t="s">
        <v>59</v>
      </c>
      <c r="CH58" s="5" t="s">
        <v>60</v>
      </c>
      <c r="CI58" s="5" t="s">
        <v>61</v>
      </c>
      <c r="CJ58" s="5" t="s">
        <v>62</v>
      </c>
      <c r="CK58" s="5" t="s">
        <v>63</v>
      </c>
      <c r="CL58" s="5" t="s">
        <v>64</v>
      </c>
      <c r="CM58" s="5" t="s">
        <v>65</v>
      </c>
      <c r="CN58" s="5" t="s">
        <v>66</v>
      </c>
      <c r="CO58" s="5" t="s">
        <v>97</v>
      </c>
      <c r="CP58" s="5" t="s">
        <v>55</v>
      </c>
      <c r="CQ58" s="5" t="s">
        <v>56</v>
      </c>
      <c r="CR58" s="5" t="s">
        <v>57</v>
      </c>
      <c r="CS58" s="5" t="s">
        <v>58</v>
      </c>
      <c r="CT58" s="5" t="s">
        <v>59</v>
      </c>
      <c r="CU58" s="5" t="s">
        <v>60</v>
      </c>
      <c r="CV58" s="5" t="s">
        <v>61</v>
      </c>
      <c r="CW58" s="5" t="s">
        <v>62</v>
      </c>
      <c r="CX58" s="5" t="s">
        <v>63</v>
      </c>
      <c r="CY58" s="5" t="s">
        <v>64</v>
      </c>
      <c r="CZ58" s="5" t="s">
        <v>65</v>
      </c>
      <c r="DA58" s="5" t="s">
        <v>66</v>
      </c>
      <c r="DB58" s="5" t="s">
        <v>98</v>
      </c>
      <c r="DC58" s="5" t="s">
        <v>55</v>
      </c>
      <c r="DD58" s="5" t="s">
        <v>56</v>
      </c>
      <c r="DE58" s="5" t="s">
        <v>57</v>
      </c>
      <c r="DF58" s="5" t="s">
        <v>58</v>
      </c>
      <c r="DG58" s="5" t="s">
        <v>59</v>
      </c>
      <c r="DH58" s="5" t="s">
        <v>60</v>
      </c>
      <c r="DI58" s="5" t="s">
        <v>61</v>
      </c>
      <c r="DJ58" s="5" t="s">
        <v>62</v>
      </c>
      <c r="DK58" s="5" t="s">
        <v>63</v>
      </c>
      <c r="DL58" s="5" t="s">
        <v>64</v>
      </c>
      <c r="DM58" s="5" t="s">
        <v>65</v>
      </c>
      <c r="DN58" s="5" t="s">
        <v>66</v>
      </c>
      <c r="DO58" s="5" t="s">
        <v>99</v>
      </c>
      <c r="DP58" s="5" t="s">
        <v>55</v>
      </c>
      <c r="DQ58" s="5" t="s">
        <v>56</v>
      </c>
      <c r="DR58" s="5" t="s">
        <v>57</v>
      </c>
      <c r="DS58" s="5" t="s">
        <v>58</v>
      </c>
      <c r="DT58" s="5" t="s">
        <v>59</v>
      </c>
      <c r="DU58" s="5" t="s">
        <v>60</v>
      </c>
      <c r="DV58" s="5" t="s">
        <v>61</v>
      </c>
      <c r="DW58" s="5" t="s">
        <v>62</v>
      </c>
      <c r="DX58" s="5" t="s">
        <v>63</v>
      </c>
      <c r="DY58" s="5" t="s">
        <v>64</v>
      </c>
      <c r="DZ58" s="5" t="s">
        <v>65</v>
      </c>
      <c r="EA58" s="5" t="s">
        <v>66</v>
      </c>
      <c r="EB58" s="5" t="s">
        <v>100</v>
      </c>
      <c r="EC58" s="5" t="s">
        <v>55</v>
      </c>
      <c r="ED58" s="5" t="s">
        <v>56</v>
      </c>
      <c r="EE58" s="5" t="s">
        <v>57</v>
      </c>
      <c r="EF58" s="5" t="s">
        <v>58</v>
      </c>
      <c r="EG58" s="5" t="s">
        <v>59</v>
      </c>
      <c r="EH58" s="5" t="s">
        <v>60</v>
      </c>
      <c r="EI58" s="5" t="s">
        <v>61</v>
      </c>
      <c r="EJ58" s="5" t="s">
        <v>62</v>
      </c>
      <c r="EK58" s="5" t="s">
        <v>63</v>
      </c>
      <c r="EL58" s="5" t="s">
        <v>64</v>
      </c>
      <c r="EM58" s="5" t="s">
        <v>65</v>
      </c>
      <c r="EN58" s="5" t="s">
        <v>66</v>
      </c>
      <c r="EO58" s="5" t="s">
        <v>101</v>
      </c>
      <c r="EP58" s="5" t="s">
        <v>55</v>
      </c>
      <c r="EQ58" s="5" t="s">
        <v>56</v>
      </c>
      <c r="ER58" s="5" t="s">
        <v>57</v>
      </c>
      <c r="ES58" s="5" t="s">
        <v>58</v>
      </c>
      <c r="ET58" s="5" t="s">
        <v>59</v>
      </c>
      <c r="EU58" s="5" t="s">
        <v>60</v>
      </c>
      <c r="EV58" s="5" t="s">
        <v>61</v>
      </c>
      <c r="EW58" s="5" t="s">
        <v>62</v>
      </c>
      <c r="EX58" s="5" t="s">
        <v>63</v>
      </c>
      <c r="EY58" s="5" t="s">
        <v>64</v>
      </c>
      <c r="EZ58" s="5" t="s">
        <v>65</v>
      </c>
      <c r="FA58" s="5" t="s">
        <v>66</v>
      </c>
      <c r="FB58" s="5" t="s">
        <v>102</v>
      </c>
      <c r="FC58" s="5" t="s">
        <v>55</v>
      </c>
      <c r="FD58" s="5" t="s">
        <v>56</v>
      </c>
      <c r="FE58" s="5" t="s">
        <v>57</v>
      </c>
      <c r="FF58" s="5" t="s">
        <v>58</v>
      </c>
      <c r="FG58" s="5" t="s">
        <v>59</v>
      </c>
      <c r="FH58" s="5" t="s">
        <v>60</v>
      </c>
      <c r="FI58" s="5" t="s">
        <v>61</v>
      </c>
      <c r="FJ58" s="5" t="s">
        <v>62</v>
      </c>
      <c r="FK58" s="5" t="s">
        <v>63</v>
      </c>
      <c r="FL58" s="5" t="s">
        <v>64</v>
      </c>
      <c r="FM58" s="5" t="s">
        <v>65</v>
      </c>
      <c r="FN58" s="5" t="s">
        <v>66</v>
      </c>
      <c r="FO58" s="5" t="s">
        <v>103</v>
      </c>
    </row>
    <row r="59" spans="2:171" ht="28.05" customHeight="1" x14ac:dyDescent="0.3">
      <c r="B59" s="6" t="s">
        <v>46</v>
      </c>
      <c r="C59" s="7">
        <v>2953248</v>
      </c>
      <c r="D59" s="7">
        <v>2953248</v>
      </c>
      <c r="E59" s="7">
        <v>2953248</v>
      </c>
      <c r="F59" s="7">
        <v>2953248</v>
      </c>
      <c r="G59" s="7">
        <v>2967248</v>
      </c>
      <c r="H59" s="7">
        <v>13617214</v>
      </c>
      <c r="I59" s="7">
        <v>16777214</v>
      </c>
      <c r="J59" s="7">
        <v>16777214</v>
      </c>
      <c r="K59" s="7">
        <v>16777214</v>
      </c>
      <c r="L59" s="7">
        <v>18277214</v>
      </c>
      <c r="M59" s="7">
        <v>18638378</v>
      </c>
      <c r="N59" s="7">
        <v>12770620</v>
      </c>
      <c r="O59" s="7">
        <f t="shared" ref="O59:O64" si="88">N59</f>
        <v>12770620</v>
      </c>
      <c r="P59" s="7">
        <v>1753030</v>
      </c>
      <c r="Q59" s="7">
        <v>1753030</v>
      </c>
      <c r="R59" s="7">
        <v>8107652</v>
      </c>
      <c r="S59" s="7">
        <v>8107652</v>
      </c>
      <c r="T59" s="7">
        <v>8642652</v>
      </c>
      <c r="U59" s="7">
        <v>8642652</v>
      </c>
      <c r="V59" s="7">
        <v>8742652</v>
      </c>
      <c r="W59" s="7">
        <v>8742652</v>
      </c>
      <c r="X59" s="7">
        <v>8742652</v>
      </c>
      <c r="Y59" s="7">
        <v>8742652</v>
      </c>
      <c r="Z59" s="7">
        <v>11742652</v>
      </c>
      <c r="AA59" s="7">
        <v>11742652</v>
      </c>
      <c r="AB59" s="7">
        <f t="shared" ref="AB59:AB64" si="89">AA59</f>
        <v>11742652</v>
      </c>
      <c r="AC59" s="7">
        <v>1791359</v>
      </c>
      <c r="AD59" s="7">
        <v>1791359</v>
      </c>
      <c r="AE59" s="7">
        <v>1791359</v>
      </c>
      <c r="AF59" s="7">
        <v>1721359</v>
      </c>
      <c r="AG59" s="7">
        <v>1721359</v>
      </c>
      <c r="AH59" s="7">
        <v>2260359</v>
      </c>
      <c r="AI59" s="7">
        <v>2260359</v>
      </c>
      <c r="AJ59" s="7">
        <v>2260359</v>
      </c>
      <c r="AK59" s="7">
        <v>2260359</v>
      </c>
      <c r="AL59" s="7">
        <v>2260359</v>
      </c>
      <c r="AM59" s="7">
        <v>2353359</v>
      </c>
      <c r="AN59" s="7">
        <v>2665605</v>
      </c>
      <c r="AO59" s="7">
        <f t="shared" ref="AO59:AO64" si="90">AN59</f>
        <v>2665605</v>
      </c>
      <c r="AP59" s="7">
        <v>1779405</v>
      </c>
      <c r="AQ59" s="7">
        <v>1779405</v>
      </c>
      <c r="AR59" s="7">
        <v>2057405</v>
      </c>
      <c r="AS59" s="7">
        <v>2057405</v>
      </c>
      <c r="AT59" s="7">
        <v>2257405</v>
      </c>
      <c r="AU59" s="7">
        <v>18725105</v>
      </c>
      <c r="AV59" s="7">
        <v>18941005</v>
      </c>
      <c r="AW59" s="7">
        <v>19075505</v>
      </c>
      <c r="AX59" s="7">
        <v>19084105</v>
      </c>
      <c r="AY59" s="7">
        <v>19084105</v>
      </c>
      <c r="AZ59" s="7">
        <v>19100105</v>
      </c>
      <c r="BA59" s="7">
        <v>14280017</v>
      </c>
      <c r="BB59" s="7">
        <f t="shared" ref="BB59:BB64" si="91">BA59</f>
        <v>14280017</v>
      </c>
      <c r="BC59" s="7">
        <v>1606877</v>
      </c>
      <c r="BD59" s="7">
        <v>1606877</v>
      </c>
      <c r="BE59" s="7">
        <v>7551961</v>
      </c>
      <c r="BF59" s="7">
        <v>7551961</v>
      </c>
      <c r="BG59" s="7">
        <v>7867152</v>
      </c>
      <c r="BH59" s="7">
        <v>7867152</v>
      </c>
      <c r="BI59" s="7">
        <v>7603828</v>
      </c>
      <c r="BJ59" s="7">
        <v>7641450</v>
      </c>
      <c r="BK59" s="7">
        <v>7641450</v>
      </c>
      <c r="BL59" s="7">
        <v>7656450</v>
      </c>
      <c r="BM59" s="7">
        <v>8088150</v>
      </c>
      <c r="BN59" s="7">
        <v>8261850</v>
      </c>
      <c r="BO59" s="7">
        <f t="shared" ref="BO59:BO64" si="92">BN59</f>
        <v>8261850</v>
      </c>
      <c r="BP59" s="7">
        <v>1639746</v>
      </c>
      <c r="BQ59" s="7">
        <v>1639746</v>
      </c>
      <c r="BR59" s="7">
        <v>1639746</v>
      </c>
      <c r="BS59" s="7">
        <v>1708546</v>
      </c>
      <c r="BT59" s="7">
        <v>1708546</v>
      </c>
      <c r="BU59" s="7">
        <v>6540546</v>
      </c>
      <c r="BV59" s="7">
        <v>6574796</v>
      </c>
      <c r="BW59" s="7">
        <v>6624796</v>
      </c>
      <c r="BX59" s="7">
        <v>6624796</v>
      </c>
      <c r="BY59" s="7">
        <v>6624796</v>
      </c>
      <c r="BZ59" s="7">
        <v>6624796</v>
      </c>
      <c r="CA59" s="7">
        <v>6641796</v>
      </c>
      <c r="CB59" s="7">
        <f t="shared" ref="CB59:CB64" si="93">CA59</f>
        <v>6641796</v>
      </c>
      <c r="CC59" s="7">
        <v>1704539</v>
      </c>
      <c r="CD59" s="7">
        <v>1704539</v>
      </c>
      <c r="CE59" s="7">
        <v>1704539</v>
      </c>
      <c r="CF59" s="7">
        <v>1155557</v>
      </c>
      <c r="CG59" s="7">
        <v>803695</v>
      </c>
      <c r="CH59" s="7">
        <v>803695</v>
      </c>
      <c r="CI59" s="7">
        <v>1337695</v>
      </c>
      <c r="CJ59" s="7">
        <v>1337695</v>
      </c>
      <c r="CK59" s="7">
        <v>1337695</v>
      </c>
      <c r="CL59" s="7">
        <v>8003088</v>
      </c>
      <c r="CM59" s="7">
        <v>8003088</v>
      </c>
      <c r="CN59" s="7">
        <v>7435088</v>
      </c>
      <c r="CO59" s="7">
        <f t="shared" ref="CO59:CO64" si="94">CN59</f>
        <v>7435088</v>
      </c>
      <c r="CP59" s="7">
        <v>1930914</v>
      </c>
      <c r="CQ59" s="7">
        <v>1930914</v>
      </c>
      <c r="CR59" s="7">
        <v>3898492</v>
      </c>
      <c r="CS59" s="7">
        <v>4709492</v>
      </c>
      <c r="CT59" s="7">
        <v>4709492</v>
      </c>
      <c r="CU59" s="7">
        <v>4731492</v>
      </c>
      <c r="CV59" s="7">
        <v>4731492</v>
      </c>
      <c r="CW59" s="7">
        <v>4832662</v>
      </c>
      <c r="CX59" s="7">
        <v>4832662</v>
      </c>
      <c r="CY59" s="7">
        <v>4832662</v>
      </c>
      <c r="CZ59" s="7">
        <v>4925662</v>
      </c>
      <c r="DA59" s="7">
        <v>4819159</v>
      </c>
      <c r="DB59" s="7">
        <f t="shared" ref="DB59:DB64" si="95">DA59</f>
        <v>4819159</v>
      </c>
      <c r="DC59" s="7">
        <v>298233</v>
      </c>
      <c r="DD59" s="7">
        <v>298233</v>
      </c>
      <c r="DE59" s="7">
        <v>298233</v>
      </c>
      <c r="DF59" s="7">
        <v>298233</v>
      </c>
      <c r="DG59" s="7">
        <v>1895233</v>
      </c>
      <c r="DH59" s="7">
        <v>1895233</v>
      </c>
      <c r="DI59" s="7">
        <v>1895233</v>
      </c>
      <c r="DJ59" s="7">
        <v>1895233</v>
      </c>
      <c r="DK59" s="7">
        <v>11893879</v>
      </c>
      <c r="DL59" s="7">
        <v>11893879</v>
      </c>
      <c r="DM59" s="7">
        <v>11893879</v>
      </c>
      <c r="DN59" s="7">
        <v>8468149</v>
      </c>
      <c r="DO59" s="7">
        <f t="shared" ref="DO59:DO64" si="96">DN59</f>
        <v>8468149</v>
      </c>
      <c r="DP59" s="7">
        <v>22089448</v>
      </c>
      <c r="DQ59" s="7">
        <v>22089448</v>
      </c>
      <c r="DR59" s="7">
        <v>22089448</v>
      </c>
      <c r="DS59" s="7">
        <v>42047634</v>
      </c>
      <c r="DT59" s="7">
        <v>42281504</v>
      </c>
      <c r="DU59" s="7">
        <v>42281504</v>
      </c>
      <c r="DV59" s="7">
        <v>42281504</v>
      </c>
      <c r="DW59" s="7">
        <v>42281504</v>
      </c>
      <c r="DX59" s="7">
        <v>44698344</v>
      </c>
      <c r="DY59" s="7">
        <v>44698344</v>
      </c>
      <c r="DZ59" s="7">
        <v>44698344</v>
      </c>
      <c r="EA59" s="7">
        <v>7233990</v>
      </c>
      <c r="EB59" s="7">
        <f t="shared" ref="EB59:EB64" si="97">EA59</f>
        <v>7233990</v>
      </c>
      <c r="EC59" s="7">
        <v>1135861</v>
      </c>
      <c r="ED59" s="7">
        <v>1135861</v>
      </c>
      <c r="EE59" s="7">
        <v>1135861</v>
      </c>
      <c r="EF59" s="7">
        <v>1135861</v>
      </c>
      <c r="EG59" s="7">
        <v>1135861</v>
      </c>
      <c r="EH59" s="7">
        <v>1135861</v>
      </c>
      <c r="EI59" s="7">
        <v>1135861</v>
      </c>
      <c r="EJ59" s="7">
        <v>1135861</v>
      </c>
      <c r="EK59" s="7">
        <v>1135861</v>
      </c>
      <c r="EL59" s="7">
        <v>1135861</v>
      </c>
      <c r="EM59" s="7">
        <v>1135861</v>
      </c>
      <c r="EN59" s="7">
        <v>1135861</v>
      </c>
      <c r="EO59" s="7">
        <f t="shared" ref="EO59:EO64" si="98">EN59</f>
        <v>1135861</v>
      </c>
      <c r="EP59" s="7">
        <v>6213840</v>
      </c>
      <c r="EQ59" s="7">
        <v>6213840</v>
      </c>
      <c r="ER59" s="7">
        <v>6213840</v>
      </c>
      <c r="ES59" s="7">
        <v>6347840</v>
      </c>
      <c r="ET59" s="7">
        <v>6347840</v>
      </c>
      <c r="EU59" s="7">
        <v>6347840</v>
      </c>
      <c r="EV59" s="7">
        <v>6347840</v>
      </c>
      <c r="EW59" s="7">
        <v>6347840</v>
      </c>
      <c r="EX59" s="7">
        <v>4559840</v>
      </c>
      <c r="EY59" s="7">
        <v>4559840</v>
      </c>
      <c r="EZ59" s="7">
        <v>4559840</v>
      </c>
      <c r="FA59" s="7">
        <v>2245535</v>
      </c>
      <c r="FB59" s="7">
        <f t="shared" ref="FB59:FB64" si="99">FA59</f>
        <v>2245535</v>
      </c>
      <c r="FC59" s="7">
        <v>1062955</v>
      </c>
      <c r="FD59" s="7">
        <v>1062955</v>
      </c>
      <c r="FE59" s="7">
        <v>1582955</v>
      </c>
      <c r="FF59" s="7">
        <v>1582955</v>
      </c>
      <c r="FG59" s="7">
        <v>1551066</v>
      </c>
      <c r="FH59" s="7">
        <v>1551066</v>
      </c>
      <c r="FI59" s="7">
        <v>1551066</v>
      </c>
      <c r="FO59" s="7">
        <f t="shared" ref="FO59:FO64" si="100">FI59</f>
        <v>1551066</v>
      </c>
    </row>
    <row r="60" spans="2:171" ht="28.05" customHeight="1" x14ac:dyDescent="0.3">
      <c r="B60" s="6" t="s">
        <v>47</v>
      </c>
      <c r="C60" s="7">
        <v>381750</v>
      </c>
      <c r="D60" s="7">
        <v>381750</v>
      </c>
      <c r="E60" s="7">
        <v>381750</v>
      </c>
      <c r="F60" s="7">
        <v>381750</v>
      </c>
      <c r="G60" s="7">
        <v>381750</v>
      </c>
      <c r="H60" s="7">
        <v>381750</v>
      </c>
      <c r="I60" s="7">
        <v>381750</v>
      </c>
      <c r="J60" s="7">
        <v>381750</v>
      </c>
      <c r="K60" s="7">
        <v>381750</v>
      </c>
      <c r="L60" s="7">
        <v>381750</v>
      </c>
      <c r="M60" s="7">
        <v>381750</v>
      </c>
      <c r="N60" s="7">
        <v>381750</v>
      </c>
      <c r="O60" s="7">
        <f t="shared" si="88"/>
        <v>381750</v>
      </c>
      <c r="P60" s="7">
        <v>362280</v>
      </c>
      <c r="Q60" s="7">
        <v>362280</v>
      </c>
      <c r="R60" s="7">
        <v>362280</v>
      </c>
      <c r="S60" s="7">
        <v>362280</v>
      </c>
      <c r="T60" s="7">
        <v>362280</v>
      </c>
      <c r="U60" s="7">
        <v>362280</v>
      </c>
      <c r="V60" s="7">
        <v>362280</v>
      </c>
      <c r="W60" s="7">
        <v>362280</v>
      </c>
      <c r="X60" s="7">
        <v>362280</v>
      </c>
      <c r="Y60" s="7">
        <v>362280</v>
      </c>
      <c r="Z60" s="7">
        <v>362280</v>
      </c>
      <c r="AA60" s="7">
        <v>362280</v>
      </c>
      <c r="AB60" s="7">
        <f t="shared" si="89"/>
        <v>362280</v>
      </c>
      <c r="AC60" s="7">
        <v>327142</v>
      </c>
      <c r="AD60" s="7">
        <v>327142</v>
      </c>
      <c r="AE60" s="7">
        <v>327142</v>
      </c>
      <c r="AF60" s="7">
        <v>258142</v>
      </c>
      <c r="AG60" s="7">
        <v>258142</v>
      </c>
      <c r="AH60" s="7">
        <v>258142</v>
      </c>
      <c r="AI60" s="7">
        <v>258142</v>
      </c>
      <c r="AJ60" s="7">
        <v>258142</v>
      </c>
      <c r="AK60" s="7">
        <v>258142</v>
      </c>
      <c r="AL60" s="7">
        <v>258142</v>
      </c>
      <c r="AM60" s="7">
        <v>258142</v>
      </c>
      <c r="AN60" s="7">
        <v>258142</v>
      </c>
      <c r="AO60" s="7">
        <f t="shared" si="90"/>
        <v>258142</v>
      </c>
      <c r="AP60" s="7">
        <v>174624</v>
      </c>
      <c r="AQ60" s="7">
        <v>174624</v>
      </c>
      <c r="AR60" s="7">
        <v>174624</v>
      </c>
      <c r="AS60" s="7">
        <v>174624</v>
      </c>
      <c r="AT60" s="7">
        <v>174624</v>
      </c>
      <c r="AU60" s="7">
        <v>174624</v>
      </c>
      <c r="AV60" s="7">
        <v>174624</v>
      </c>
      <c r="AW60" s="7">
        <v>521624</v>
      </c>
      <c r="AX60" s="7">
        <v>521624</v>
      </c>
      <c r="AY60" s="7">
        <v>521624</v>
      </c>
      <c r="AZ60" s="7">
        <v>521624</v>
      </c>
      <c r="BA60" s="7">
        <v>546624</v>
      </c>
      <c r="BB60" s="7">
        <f t="shared" si="91"/>
        <v>546624</v>
      </c>
      <c r="BC60" s="7">
        <v>139517</v>
      </c>
      <c r="BD60" s="7">
        <v>139517</v>
      </c>
      <c r="BE60" s="7">
        <v>139517</v>
      </c>
      <c r="BF60" s="7">
        <v>139517</v>
      </c>
      <c r="BG60" s="7">
        <v>139517</v>
      </c>
      <c r="BH60" s="7">
        <v>139517</v>
      </c>
      <c r="BI60" s="7">
        <v>131028</v>
      </c>
      <c r="BJ60" s="7">
        <v>138040</v>
      </c>
      <c r="BK60" s="7">
        <v>138040</v>
      </c>
      <c r="BL60" s="7">
        <v>138040</v>
      </c>
      <c r="BM60" s="7">
        <v>138040</v>
      </c>
      <c r="BN60" s="7">
        <v>3231423</v>
      </c>
      <c r="BO60" s="7">
        <f t="shared" si="92"/>
        <v>3231423</v>
      </c>
      <c r="BP60" s="7">
        <v>115465</v>
      </c>
      <c r="BQ60" s="7">
        <v>115465</v>
      </c>
      <c r="BR60" s="7">
        <v>115465</v>
      </c>
      <c r="BS60" s="7">
        <v>115465</v>
      </c>
      <c r="BT60" s="7">
        <v>115465</v>
      </c>
      <c r="BU60" s="7">
        <v>115465</v>
      </c>
      <c r="BV60" s="7">
        <v>115465</v>
      </c>
      <c r="BW60" s="7">
        <v>162235</v>
      </c>
      <c r="BX60" s="7">
        <v>162235</v>
      </c>
      <c r="BY60" s="7">
        <v>162235</v>
      </c>
      <c r="BZ60" s="7">
        <v>162235</v>
      </c>
      <c r="CA60" s="7">
        <v>754307</v>
      </c>
      <c r="CB60" s="7">
        <f t="shared" si="93"/>
        <v>754307</v>
      </c>
      <c r="CC60" s="7">
        <v>188388</v>
      </c>
      <c r="CD60" s="7">
        <v>188388</v>
      </c>
      <c r="CE60" s="7">
        <v>188388</v>
      </c>
      <c r="CF60" s="7">
        <v>173698</v>
      </c>
      <c r="CG60" s="7">
        <v>94575</v>
      </c>
      <c r="CH60" s="7">
        <v>94575</v>
      </c>
      <c r="CI60" s="7">
        <v>94575</v>
      </c>
      <c r="CJ60" s="7">
        <v>94575</v>
      </c>
      <c r="CK60" s="7">
        <v>94575</v>
      </c>
      <c r="CL60" s="7">
        <v>92075</v>
      </c>
      <c r="CM60" s="7">
        <v>92075</v>
      </c>
      <c r="CN60" s="7">
        <v>112017</v>
      </c>
      <c r="CO60" s="7">
        <f t="shared" si="94"/>
        <v>112017</v>
      </c>
      <c r="CP60" s="7">
        <v>128859</v>
      </c>
      <c r="CQ60" s="7">
        <v>128859</v>
      </c>
      <c r="CR60" s="7">
        <v>128859</v>
      </c>
      <c r="CS60" s="7">
        <v>128859</v>
      </c>
      <c r="CT60" s="7">
        <v>128859</v>
      </c>
      <c r="CU60" s="7">
        <v>128859</v>
      </c>
      <c r="CV60" s="7">
        <v>128859</v>
      </c>
      <c r="CW60" s="7">
        <v>128859</v>
      </c>
      <c r="CX60" s="7">
        <v>128859</v>
      </c>
      <c r="CY60" s="7">
        <v>128859</v>
      </c>
      <c r="CZ60" s="7">
        <v>128859</v>
      </c>
      <c r="DA60" s="7">
        <v>708689</v>
      </c>
      <c r="DB60" s="7">
        <f t="shared" si="95"/>
        <v>708689</v>
      </c>
      <c r="DC60" s="7">
        <v>130362</v>
      </c>
      <c r="DD60" s="7">
        <v>130362</v>
      </c>
      <c r="DE60" s="7">
        <v>130362</v>
      </c>
      <c r="DF60" s="7">
        <v>130362</v>
      </c>
      <c r="DG60" s="7">
        <v>130362</v>
      </c>
      <c r="DH60" s="7">
        <v>130362</v>
      </c>
      <c r="DI60" s="7">
        <v>130362</v>
      </c>
      <c r="DJ60" s="7">
        <v>130362</v>
      </c>
      <c r="DK60" s="7">
        <v>1013888</v>
      </c>
      <c r="DL60" s="7">
        <v>1013888</v>
      </c>
      <c r="DM60" s="7">
        <v>1193375</v>
      </c>
      <c r="DN60" s="7">
        <v>1193375</v>
      </c>
      <c r="DO60" s="7">
        <f t="shared" si="96"/>
        <v>1193375</v>
      </c>
      <c r="DP60" s="7">
        <v>647086</v>
      </c>
      <c r="DQ60" s="7">
        <v>647086</v>
      </c>
      <c r="DR60" s="7">
        <v>647086</v>
      </c>
      <c r="DS60" s="7">
        <v>647086</v>
      </c>
      <c r="DT60" s="7">
        <v>647086</v>
      </c>
      <c r="DU60" s="7">
        <v>647086</v>
      </c>
      <c r="DV60" s="7">
        <v>647086</v>
      </c>
      <c r="DW60" s="7">
        <v>647086</v>
      </c>
      <c r="DX60" s="7">
        <v>647086</v>
      </c>
      <c r="DY60" s="7">
        <v>647086</v>
      </c>
      <c r="DZ60" s="7">
        <v>647086</v>
      </c>
      <c r="EA60" s="7">
        <v>647086</v>
      </c>
      <c r="EB60" s="7">
        <f t="shared" si="97"/>
        <v>647086</v>
      </c>
      <c r="EC60" s="7">
        <v>856525</v>
      </c>
      <c r="ED60" s="7">
        <v>856525</v>
      </c>
      <c r="EE60" s="7">
        <v>856525</v>
      </c>
      <c r="EF60" s="7">
        <v>856525</v>
      </c>
      <c r="EG60" s="7">
        <v>913626</v>
      </c>
      <c r="EH60" s="7">
        <v>913626</v>
      </c>
      <c r="EI60" s="7">
        <v>913626</v>
      </c>
      <c r="EJ60" s="7">
        <v>913626</v>
      </c>
      <c r="EK60" s="7">
        <v>913626</v>
      </c>
      <c r="EL60" s="7">
        <v>913626</v>
      </c>
      <c r="EM60" s="7">
        <v>913626</v>
      </c>
      <c r="EN60" s="7">
        <v>913626</v>
      </c>
      <c r="EO60" s="7">
        <f t="shared" si="98"/>
        <v>913626</v>
      </c>
      <c r="EP60" s="7">
        <v>1172171</v>
      </c>
      <c r="EQ60" s="7">
        <v>1172171</v>
      </c>
      <c r="ER60" s="7">
        <v>1172171</v>
      </c>
      <c r="ES60" s="7">
        <v>1172171</v>
      </c>
      <c r="ET60" s="7">
        <v>1172171</v>
      </c>
      <c r="EU60" s="7">
        <v>1172171</v>
      </c>
      <c r="EV60" s="7">
        <v>1172171</v>
      </c>
      <c r="EW60" s="7">
        <v>1172171</v>
      </c>
      <c r="EX60" s="7">
        <v>1172171</v>
      </c>
      <c r="EY60" s="7">
        <v>1172171</v>
      </c>
      <c r="EZ60" s="7">
        <v>1172171</v>
      </c>
      <c r="FA60" s="7">
        <v>992552</v>
      </c>
      <c r="FB60" s="7">
        <f t="shared" si="99"/>
        <v>992552</v>
      </c>
      <c r="FC60" s="7">
        <v>651088</v>
      </c>
      <c r="FD60" s="7">
        <v>651088</v>
      </c>
      <c r="FE60" s="7">
        <v>651088</v>
      </c>
      <c r="FF60" s="7">
        <v>651088</v>
      </c>
      <c r="FG60" s="7">
        <v>517480</v>
      </c>
      <c r="FH60" s="7">
        <v>517480</v>
      </c>
      <c r="FI60" s="7">
        <v>517480</v>
      </c>
      <c r="FO60" s="7">
        <f t="shared" si="100"/>
        <v>517480</v>
      </c>
    </row>
    <row r="61" spans="2:171" ht="28.05" customHeight="1" x14ac:dyDescent="0.3">
      <c r="B61" s="6" t="s">
        <v>48</v>
      </c>
      <c r="C61" s="7">
        <v>40007</v>
      </c>
      <c r="D61" s="7">
        <v>40007</v>
      </c>
      <c r="E61" s="7">
        <v>40007</v>
      </c>
      <c r="F61" s="7">
        <v>40007</v>
      </c>
      <c r="G61" s="7">
        <v>40007</v>
      </c>
      <c r="H61" s="7">
        <v>40007</v>
      </c>
      <c r="I61" s="7">
        <v>40007</v>
      </c>
      <c r="J61" s="7">
        <v>40007</v>
      </c>
      <c r="K61" s="7">
        <v>40007</v>
      </c>
      <c r="L61" s="7">
        <v>40007</v>
      </c>
      <c r="M61" s="7">
        <v>40007</v>
      </c>
      <c r="N61" s="7">
        <v>40007</v>
      </c>
      <c r="O61" s="7">
        <f t="shared" si="88"/>
        <v>40007</v>
      </c>
      <c r="P61" s="7">
        <v>78467</v>
      </c>
      <c r="Q61" s="7">
        <v>78467</v>
      </c>
      <c r="R61" s="7">
        <v>78467</v>
      </c>
      <c r="S61" s="7">
        <v>78467</v>
      </c>
      <c r="T61" s="7">
        <v>78467</v>
      </c>
      <c r="U61" s="7">
        <v>78467</v>
      </c>
      <c r="V61" s="7">
        <v>78467</v>
      </c>
      <c r="W61" s="7">
        <v>78467</v>
      </c>
      <c r="X61" s="7">
        <v>78467</v>
      </c>
      <c r="Y61" s="7">
        <v>78467</v>
      </c>
      <c r="Z61" s="7">
        <v>78467</v>
      </c>
      <c r="AA61" s="7">
        <v>78467</v>
      </c>
      <c r="AB61" s="7">
        <f t="shared" si="89"/>
        <v>78467</v>
      </c>
      <c r="AC61" s="7">
        <v>62947</v>
      </c>
      <c r="AD61" s="7">
        <v>62947</v>
      </c>
      <c r="AE61" s="7">
        <v>62947</v>
      </c>
      <c r="AF61" s="7">
        <v>62947</v>
      </c>
      <c r="AG61" s="7">
        <v>62947</v>
      </c>
      <c r="AH61" s="7">
        <v>62947</v>
      </c>
      <c r="AI61" s="7">
        <v>62947</v>
      </c>
      <c r="AJ61" s="7">
        <v>62947</v>
      </c>
      <c r="AK61" s="7">
        <v>62947</v>
      </c>
      <c r="AL61" s="7">
        <v>62947</v>
      </c>
      <c r="AM61" s="7">
        <v>62947</v>
      </c>
      <c r="AN61" s="7">
        <v>62947</v>
      </c>
      <c r="AO61" s="7">
        <f t="shared" si="90"/>
        <v>62947</v>
      </c>
      <c r="AP61" s="7">
        <v>49257</v>
      </c>
      <c r="AQ61" s="7">
        <v>49257</v>
      </c>
      <c r="AR61" s="7">
        <v>49257</v>
      </c>
      <c r="AS61" s="7">
        <v>49257</v>
      </c>
      <c r="AT61" s="7">
        <v>49257</v>
      </c>
      <c r="AU61" s="7">
        <v>49257</v>
      </c>
      <c r="AV61" s="7">
        <v>49257</v>
      </c>
      <c r="AW61" s="7">
        <v>49257</v>
      </c>
      <c r="AX61" s="7">
        <v>49257</v>
      </c>
      <c r="AY61" s="7">
        <v>49257</v>
      </c>
      <c r="AZ61" s="7">
        <v>49257</v>
      </c>
      <c r="BA61" s="7">
        <v>49257</v>
      </c>
      <c r="BB61" s="7">
        <f t="shared" si="91"/>
        <v>49257</v>
      </c>
      <c r="BC61" s="7">
        <v>610722</v>
      </c>
      <c r="BD61" s="7">
        <v>610722</v>
      </c>
      <c r="BE61" s="7">
        <v>610722</v>
      </c>
      <c r="BF61" s="7">
        <v>610722</v>
      </c>
      <c r="BG61" s="7">
        <v>610722</v>
      </c>
      <c r="BH61" s="7">
        <v>610722</v>
      </c>
      <c r="BI61" s="7">
        <v>566060</v>
      </c>
      <c r="BJ61" s="7">
        <v>566060</v>
      </c>
      <c r="BK61" s="7">
        <v>566060</v>
      </c>
      <c r="BL61" s="7">
        <v>566060</v>
      </c>
      <c r="BM61" s="7">
        <v>566060</v>
      </c>
      <c r="BN61" s="7">
        <v>566060</v>
      </c>
      <c r="BO61" s="7">
        <f t="shared" si="92"/>
        <v>566060</v>
      </c>
      <c r="BP61" s="7">
        <v>166534</v>
      </c>
      <c r="BQ61" s="7">
        <v>166534</v>
      </c>
      <c r="BR61" s="7">
        <v>166534</v>
      </c>
      <c r="BS61" s="7">
        <v>166534</v>
      </c>
      <c r="BT61" s="7">
        <v>166534</v>
      </c>
      <c r="BU61" s="7">
        <v>166534</v>
      </c>
      <c r="BV61" s="7">
        <v>177586</v>
      </c>
      <c r="BW61" s="7">
        <v>177586</v>
      </c>
      <c r="BX61" s="7">
        <v>177586</v>
      </c>
      <c r="BY61" s="7">
        <v>177586</v>
      </c>
      <c r="BZ61" s="7">
        <v>177586</v>
      </c>
      <c r="CA61" s="7">
        <v>177586</v>
      </c>
      <c r="CB61" s="7">
        <f t="shared" si="93"/>
        <v>177586</v>
      </c>
      <c r="CC61" s="7">
        <v>206665</v>
      </c>
      <c r="CD61" s="7">
        <v>206665</v>
      </c>
      <c r="CE61" s="7">
        <v>206665</v>
      </c>
      <c r="CF61" s="7">
        <v>182934</v>
      </c>
      <c r="CG61" s="7">
        <v>182934</v>
      </c>
      <c r="CH61" s="7">
        <v>182934</v>
      </c>
      <c r="CI61" s="7">
        <v>182934</v>
      </c>
      <c r="CJ61" s="7">
        <v>182934</v>
      </c>
      <c r="CK61" s="7">
        <v>182934</v>
      </c>
      <c r="CL61" s="7">
        <v>182934</v>
      </c>
      <c r="CM61" s="7">
        <v>182934</v>
      </c>
      <c r="CN61" s="7">
        <v>183383</v>
      </c>
      <c r="CO61" s="7">
        <f t="shared" si="94"/>
        <v>183383</v>
      </c>
      <c r="CP61" s="7">
        <v>160447</v>
      </c>
      <c r="CQ61" s="7">
        <v>160447</v>
      </c>
      <c r="CR61" s="7">
        <v>160447</v>
      </c>
      <c r="CS61" s="7">
        <v>160447</v>
      </c>
      <c r="CT61" s="7">
        <v>160447</v>
      </c>
      <c r="CU61" s="7">
        <v>160447</v>
      </c>
      <c r="CV61" s="7">
        <v>160447</v>
      </c>
      <c r="CW61" s="7">
        <v>160447</v>
      </c>
      <c r="CX61" s="7">
        <v>160447</v>
      </c>
      <c r="CY61" s="7">
        <v>160447</v>
      </c>
      <c r="CZ61" s="7">
        <v>160447</v>
      </c>
      <c r="DA61" s="7">
        <v>160447</v>
      </c>
      <c r="DB61" s="7">
        <f t="shared" si="95"/>
        <v>160447</v>
      </c>
      <c r="DC61" s="7">
        <v>455326</v>
      </c>
      <c r="DD61" s="7">
        <v>455326</v>
      </c>
      <c r="DE61" s="7">
        <v>455326</v>
      </c>
      <c r="DF61" s="7">
        <v>455326</v>
      </c>
      <c r="DG61" s="7">
        <v>455326</v>
      </c>
      <c r="DH61" s="7">
        <v>455326</v>
      </c>
      <c r="DI61" s="7">
        <v>455326</v>
      </c>
      <c r="DJ61" s="7">
        <v>455326</v>
      </c>
      <c r="DK61" s="7">
        <v>455326</v>
      </c>
      <c r="DL61" s="7">
        <v>979017</v>
      </c>
      <c r="DM61" s="7">
        <v>979017</v>
      </c>
      <c r="DN61" s="7">
        <v>979017</v>
      </c>
      <c r="DO61" s="7">
        <f t="shared" si="96"/>
        <v>979017</v>
      </c>
      <c r="DP61" s="7">
        <v>622609</v>
      </c>
      <c r="DQ61" s="7">
        <v>622609</v>
      </c>
      <c r="DR61" s="7">
        <v>622609</v>
      </c>
      <c r="DS61" s="7">
        <v>622609</v>
      </c>
      <c r="DT61" s="7">
        <v>622609</v>
      </c>
      <c r="DU61" s="7">
        <v>622609</v>
      </c>
      <c r="DV61" s="7">
        <v>622609</v>
      </c>
      <c r="DW61" s="7">
        <v>622609</v>
      </c>
      <c r="DX61" s="7">
        <v>622609</v>
      </c>
      <c r="DY61" s="7">
        <v>622609</v>
      </c>
      <c r="DZ61" s="7">
        <v>622609</v>
      </c>
      <c r="EA61" s="7">
        <v>428444</v>
      </c>
      <c r="EB61" s="7">
        <f t="shared" si="97"/>
        <v>428444</v>
      </c>
      <c r="EC61" s="7">
        <v>636104</v>
      </c>
      <c r="ED61" s="7">
        <v>636104</v>
      </c>
      <c r="EE61" s="7">
        <v>636104</v>
      </c>
      <c r="EF61" s="7">
        <v>636104</v>
      </c>
      <c r="EG61" s="7">
        <v>636104</v>
      </c>
      <c r="EH61" s="7">
        <v>636104</v>
      </c>
      <c r="EI61" s="7">
        <v>636104</v>
      </c>
      <c r="EJ61" s="7">
        <v>636104</v>
      </c>
      <c r="EK61" s="7">
        <v>636104</v>
      </c>
      <c r="EL61" s="7">
        <v>636104</v>
      </c>
      <c r="EM61" s="7">
        <v>636104</v>
      </c>
      <c r="EN61" s="7">
        <v>636104</v>
      </c>
      <c r="EO61" s="7">
        <f t="shared" si="98"/>
        <v>636104</v>
      </c>
      <c r="EP61" s="7">
        <v>1284794</v>
      </c>
      <c r="EQ61" s="7">
        <v>1284794</v>
      </c>
      <c r="ER61" s="7">
        <v>1284794</v>
      </c>
      <c r="ES61" s="7">
        <v>1284794</v>
      </c>
      <c r="ET61" s="7">
        <v>1284794</v>
      </c>
      <c r="EU61" s="7">
        <v>1284794</v>
      </c>
      <c r="EV61" s="7">
        <v>1284794</v>
      </c>
      <c r="EW61" s="7">
        <v>1284794</v>
      </c>
      <c r="EX61" s="7">
        <v>1284794</v>
      </c>
      <c r="EY61" s="7">
        <v>1284794</v>
      </c>
      <c r="EZ61" s="7">
        <v>1284794</v>
      </c>
      <c r="FA61" s="7">
        <v>1212027</v>
      </c>
      <c r="FB61" s="7">
        <f t="shared" si="99"/>
        <v>1212027</v>
      </c>
      <c r="FC61" s="7">
        <v>667445</v>
      </c>
      <c r="FD61" s="7">
        <v>667445</v>
      </c>
      <c r="FE61" s="7">
        <v>667445</v>
      </c>
      <c r="FF61" s="7">
        <v>667445</v>
      </c>
      <c r="FG61" s="7">
        <v>488932</v>
      </c>
      <c r="FH61" s="7">
        <v>488932</v>
      </c>
      <c r="FI61" s="7">
        <v>488932</v>
      </c>
      <c r="FO61" s="7">
        <f t="shared" si="100"/>
        <v>488932</v>
      </c>
    </row>
    <row r="62" spans="2:171" ht="28.05" customHeight="1" x14ac:dyDescent="0.3">
      <c r="B62" s="6" t="s">
        <v>49</v>
      </c>
      <c r="C62" s="7">
        <v>166373</v>
      </c>
      <c r="D62" s="7">
        <v>166373</v>
      </c>
      <c r="E62" s="7">
        <v>166373</v>
      </c>
      <c r="F62" s="7">
        <v>166373</v>
      </c>
      <c r="G62" s="7">
        <v>166373</v>
      </c>
      <c r="H62" s="7">
        <v>166373</v>
      </c>
      <c r="I62" s="7">
        <v>166373</v>
      </c>
      <c r="J62" s="7">
        <v>166373</v>
      </c>
      <c r="K62" s="7">
        <v>166373</v>
      </c>
      <c r="L62" s="7">
        <v>166373</v>
      </c>
      <c r="M62" s="7">
        <v>166373</v>
      </c>
      <c r="N62" s="7">
        <v>166373</v>
      </c>
      <c r="O62" s="7">
        <f t="shared" si="88"/>
        <v>166373</v>
      </c>
      <c r="P62" s="7">
        <v>1590037</v>
      </c>
      <c r="Q62" s="7">
        <v>1590037</v>
      </c>
      <c r="R62" s="7">
        <v>1590037</v>
      </c>
      <c r="S62" s="7">
        <v>1590037</v>
      </c>
      <c r="T62" s="7">
        <v>1590037</v>
      </c>
      <c r="U62" s="7">
        <v>1590037</v>
      </c>
      <c r="V62" s="7">
        <v>1590037</v>
      </c>
      <c r="W62" s="7">
        <v>1590037</v>
      </c>
      <c r="X62" s="7">
        <v>1590037</v>
      </c>
      <c r="Y62" s="7">
        <v>1590037</v>
      </c>
      <c r="Z62" s="7">
        <v>1590037</v>
      </c>
      <c r="AA62" s="7">
        <v>1900037</v>
      </c>
      <c r="AB62" s="7">
        <f t="shared" si="89"/>
        <v>1900037</v>
      </c>
      <c r="AC62" s="7">
        <v>6130543</v>
      </c>
      <c r="AD62" s="7">
        <v>6130543</v>
      </c>
      <c r="AE62" s="7">
        <v>6130543</v>
      </c>
      <c r="AF62" s="7">
        <v>6108543</v>
      </c>
      <c r="AG62" s="7">
        <v>6108543</v>
      </c>
      <c r="AH62" s="7">
        <v>6108543</v>
      </c>
      <c r="AI62" s="7">
        <v>6108543</v>
      </c>
      <c r="AJ62" s="7">
        <v>6108543</v>
      </c>
      <c r="AK62" s="7">
        <v>6108543</v>
      </c>
      <c r="AL62" s="7">
        <v>6108543</v>
      </c>
      <c r="AM62" s="7">
        <v>6108543</v>
      </c>
      <c r="AN62" s="7">
        <v>4530168</v>
      </c>
      <c r="AO62" s="7">
        <f t="shared" si="90"/>
        <v>4530168</v>
      </c>
      <c r="AP62" s="7">
        <v>3892493</v>
      </c>
      <c r="AQ62" s="7">
        <v>3892493</v>
      </c>
      <c r="AR62" s="7">
        <v>3892493</v>
      </c>
      <c r="AS62" s="7">
        <v>3892493</v>
      </c>
      <c r="AT62" s="7">
        <v>3892493</v>
      </c>
      <c r="AU62" s="7">
        <v>3892493</v>
      </c>
      <c r="AV62" s="7">
        <v>3892493</v>
      </c>
      <c r="AW62" s="7">
        <v>3892493</v>
      </c>
      <c r="AX62" s="7">
        <v>3892493</v>
      </c>
      <c r="AY62" s="7">
        <v>3718873</v>
      </c>
      <c r="AZ62" s="7">
        <v>3718873</v>
      </c>
      <c r="BA62" s="7">
        <v>3718873</v>
      </c>
      <c r="BB62" s="7">
        <f t="shared" si="91"/>
        <v>3718873</v>
      </c>
      <c r="BC62" s="7">
        <v>1987092</v>
      </c>
      <c r="BD62" s="7">
        <v>1987092</v>
      </c>
      <c r="BE62" s="7">
        <v>1987092</v>
      </c>
      <c r="BF62" s="7">
        <v>1987092</v>
      </c>
      <c r="BG62" s="7">
        <v>1987092</v>
      </c>
      <c r="BH62" s="7">
        <v>1987092</v>
      </c>
      <c r="BI62" s="7">
        <v>1594960</v>
      </c>
      <c r="BJ62" s="7">
        <v>1594960</v>
      </c>
      <c r="BK62" s="7">
        <v>1594960</v>
      </c>
      <c r="BL62" s="7">
        <v>1594960</v>
      </c>
      <c r="BM62" s="7">
        <v>1627511</v>
      </c>
      <c r="BN62" s="7">
        <v>353432</v>
      </c>
      <c r="BO62" s="7">
        <f t="shared" si="92"/>
        <v>353432</v>
      </c>
      <c r="BP62" s="7">
        <v>2440271</v>
      </c>
      <c r="BQ62" s="7">
        <v>2440271</v>
      </c>
      <c r="BR62" s="7">
        <v>2390271</v>
      </c>
      <c r="BS62" s="7">
        <v>2390271</v>
      </c>
      <c r="BT62" s="7">
        <v>2390271</v>
      </c>
      <c r="BU62" s="7">
        <v>2390271</v>
      </c>
      <c r="BV62" s="7">
        <v>2379219</v>
      </c>
      <c r="BW62" s="7">
        <v>2379219</v>
      </c>
      <c r="BX62" s="7">
        <v>2379219</v>
      </c>
      <c r="BY62" s="7">
        <v>2379219</v>
      </c>
      <c r="BZ62" s="7">
        <v>2379219</v>
      </c>
      <c r="CA62" s="7">
        <v>869395</v>
      </c>
      <c r="CB62" s="7">
        <f t="shared" si="93"/>
        <v>869395</v>
      </c>
      <c r="CC62" s="7">
        <v>2488259</v>
      </c>
      <c r="CD62" s="7">
        <v>2488259</v>
      </c>
      <c r="CE62" s="7">
        <v>2488259</v>
      </c>
      <c r="CF62" s="7">
        <v>1571869</v>
      </c>
      <c r="CG62" s="7">
        <v>1541383</v>
      </c>
      <c r="CH62" s="7">
        <v>1541383</v>
      </c>
      <c r="CI62" s="7">
        <v>1541383</v>
      </c>
      <c r="CJ62" s="7">
        <v>1541383</v>
      </c>
      <c r="CK62" s="7">
        <v>1541383</v>
      </c>
      <c r="CL62" s="7">
        <v>1538683</v>
      </c>
      <c r="CM62" s="7">
        <v>2653214</v>
      </c>
      <c r="CN62" s="7">
        <v>1949794</v>
      </c>
      <c r="CO62" s="7">
        <f t="shared" si="94"/>
        <v>1949794</v>
      </c>
      <c r="CP62" s="7">
        <v>2902086</v>
      </c>
      <c r="CQ62" s="7">
        <v>2902086</v>
      </c>
      <c r="CR62" s="7">
        <v>2902086</v>
      </c>
      <c r="CS62" s="7">
        <v>2902086</v>
      </c>
      <c r="CT62" s="7">
        <v>2902086</v>
      </c>
      <c r="CU62" s="7">
        <v>2902086</v>
      </c>
      <c r="CV62" s="7">
        <v>2902086</v>
      </c>
      <c r="CW62" s="7">
        <v>2902086</v>
      </c>
      <c r="CX62" s="7">
        <v>2902086</v>
      </c>
      <c r="CY62" s="7">
        <v>2902086</v>
      </c>
      <c r="CZ62" s="7">
        <v>2902086</v>
      </c>
      <c r="DA62" s="7">
        <v>486360</v>
      </c>
      <c r="DB62" s="7">
        <f t="shared" si="95"/>
        <v>486360</v>
      </c>
      <c r="DC62" s="7">
        <v>1322297</v>
      </c>
      <c r="DD62" s="7">
        <v>1322297</v>
      </c>
      <c r="DE62" s="7">
        <v>1322297</v>
      </c>
      <c r="DF62" s="7">
        <v>1322297</v>
      </c>
      <c r="DG62" s="7">
        <v>1322297</v>
      </c>
      <c r="DH62" s="7">
        <v>1322297</v>
      </c>
      <c r="DI62" s="7">
        <v>1322297</v>
      </c>
      <c r="DJ62" s="7">
        <v>1322297</v>
      </c>
      <c r="DK62" s="7">
        <v>1322297</v>
      </c>
      <c r="DL62" s="7">
        <v>1322297</v>
      </c>
      <c r="DM62" s="7">
        <v>1322297</v>
      </c>
      <c r="DN62" s="7">
        <v>958297</v>
      </c>
      <c r="DO62" s="7">
        <f t="shared" si="96"/>
        <v>958297</v>
      </c>
      <c r="DP62" s="7">
        <v>1814843</v>
      </c>
      <c r="DQ62" s="7">
        <v>1814843</v>
      </c>
      <c r="DR62" s="7">
        <v>1814843</v>
      </c>
      <c r="DS62" s="7">
        <v>1814843</v>
      </c>
      <c r="DT62" s="7">
        <v>1814843</v>
      </c>
      <c r="DU62" s="7">
        <v>1814843</v>
      </c>
      <c r="DV62" s="7">
        <v>1814843</v>
      </c>
      <c r="DW62" s="7">
        <v>1814843</v>
      </c>
      <c r="DX62" s="7">
        <v>1814843</v>
      </c>
      <c r="DY62" s="7">
        <v>1814843</v>
      </c>
      <c r="DZ62" s="7">
        <v>1814843</v>
      </c>
      <c r="EA62" s="7">
        <v>687226</v>
      </c>
      <c r="EB62" s="7">
        <f t="shared" si="97"/>
        <v>687226</v>
      </c>
      <c r="EC62" s="7">
        <v>5152528</v>
      </c>
      <c r="ED62" s="7">
        <v>5152528</v>
      </c>
      <c r="EE62" s="7">
        <v>5152528</v>
      </c>
      <c r="EF62" s="7">
        <v>5152528</v>
      </c>
      <c r="EG62" s="7">
        <v>5152528</v>
      </c>
      <c r="EH62" s="7">
        <v>5152528</v>
      </c>
      <c r="EI62" s="7">
        <v>5152528</v>
      </c>
      <c r="EJ62" s="7">
        <v>5152528</v>
      </c>
      <c r="EK62" s="7">
        <v>5006428</v>
      </c>
      <c r="EL62" s="7">
        <v>5006428</v>
      </c>
      <c r="EM62" s="7">
        <v>1731272</v>
      </c>
      <c r="EN62" s="7">
        <v>1731272</v>
      </c>
      <c r="EO62" s="7">
        <f t="shared" si="98"/>
        <v>1731272</v>
      </c>
      <c r="EP62" s="7">
        <v>2503895</v>
      </c>
      <c r="EQ62" s="7">
        <v>2503895</v>
      </c>
      <c r="ER62" s="7">
        <v>2503895</v>
      </c>
      <c r="ES62" s="7">
        <v>2503895</v>
      </c>
      <c r="ET62" s="7">
        <v>2503895</v>
      </c>
      <c r="EU62" s="7">
        <v>2503895</v>
      </c>
      <c r="EV62" s="7">
        <v>2503895</v>
      </c>
      <c r="EW62" s="7">
        <v>2503895</v>
      </c>
      <c r="EX62" s="7">
        <v>2503895</v>
      </c>
      <c r="EY62" s="7">
        <v>2503895</v>
      </c>
      <c r="EZ62" s="7">
        <v>2503895</v>
      </c>
      <c r="FA62" s="7">
        <v>391705</v>
      </c>
      <c r="FB62" s="7">
        <f t="shared" si="99"/>
        <v>391705</v>
      </c>
      <c r="FC62" s="7">
        <v>2135157</v>
      </c>
      <c r="FD62" s="7">
        <v>2135157</v>
      </c>
      <c r="FE62" s="7">
        <v>2135157</v>
      </c>
      <c r="FF62" s="7">
        <v>2135157</v>
      </c>
      <c r="FG62" s="7">
        <v>2071102</v>
      </c>
      <c r="FH62" s="7">
        <v>2071102</v>
      </c>
      <c r="FI62" s="7">
        <v>2071102</v>
      </c>
      <c r="FO62" s="7">
        <f t="shared" si="100"/>
        <v>2071102</v>
      </c>
    </row>
    <row r="63" spans="2:171" ht="28.05" customHeight="1" x14ac:dyDescent="0.3">
      <c r="B63" s="6" t="s">
        <v>50</v>
      </c>
      <c r="C63" s="7">
        <v>231070</v>
      </c>
      <c r="D63" s="7">
        <v>231070</v>
      </c>
      <c r="E63" s="7">
        <v>231070</v>
      </c>
      <c r="F63" s="7">
        <v>231070</v>
      </c>
      <c r="G63" s="7">
        <v>231070</v>
      </c>
      <c r="H63" s="7">
        <v>231070</v>
      </c>
      <c r="I63" s="7">
        <v>231070</v>
      </c>
      <c r="J63" s="7">
        <v>231070</v>
      </c>
      <c r="K63" s="7">
        <v>231070</v>
      </c>
      <c r="L63" s="7">
        <v>231070</v>
      </c>
      <c r="M63" s="7">
        <v>231070</v>
      </c>
      <c r="N63" s="7">
        <v>231070</v>
      </c>
      <c r="O63" s="7">
        <f t="shared" si="88"/>
        <v>231070</v>
      </c>
      <c r="P63" s="7">
        <v>467863</v>
      </c>
      <c r="Q63" s="7">
        <v>467863</v>
      </c>
      <c r="R63" s="7">
        <v>467863</v>
      </c>
      <c r="S63" s="7">
        <v>467863</v>
      </c>
      <c r="T63" s="7">
        <v>467863</v>
      </c>
      <c r="U63" s="7">
        <v>467863</v>
      </c>
      <c r="V63" s="7">
        <v>467863</v>
      </c>
      <c r="W63" s="7">
        <v>467863</v>
      </c>
      <c r="X63" s="7">
        <v>467863</v>
      </c>
      <c r="Y63" s="7">
        <v>467863</v>
      </c>
      <c r="Z63" s="7">
        <v>838663</v>
      </c>
      <c r="AA63" s="7">
        <v>838663</v>
      </c>
      <c r="AB63" s="7">
        <f t="shared" si="89"/>
        <v>838663</v>
      </c>
      <c r="AC63" s="7">
        <v>173175</v>
      </c>
      <c r="AD63" s="7">
        <v>173175</v>
      </c>
      <c r="AE63" s="7">
        <v>173175</v>
      </c>
      <c r="AF63" s="7">
        <v>173175</v>
      </c>
      <c r="AG63" s="7">
        <v>173175</v>
      </c>
      <c r="AH63" s="7">
        <v>173175</v>
      </c>
      <c r="AI63" s="7">
        <v>173175</v>
      </c>
      <c r="AJ63" s="7">
        <v>173175</v>
      </c>
      <c r="AK63" s="7">
        <v>173175</v>
      </c>
      <c r="AL63" s="7">
        <v>635175</v>
      </c>
      <c r="AM63" s="7">
        <v>635175</v>
      </c>
      <c r="AN63" s="7">
        <v>635175</v>
      </c>
      <c r="AO63" s="7">
        <f t="shared" si="90"/>
        <v>635175</v>
      </c>
      <c r="AP63" s="7">
        <v>100131</v>
      </c>
      <c r="AQ63" s="7">
        <v>100131</v>
      </c>
      <c r="AR63" s="7">
        <v>100131</v>
      </c>
      <c r="AS63" s="7">
        <v>100131</v>
      </c>
      <c r="AT63" s="7">
        <v>100131</v>
      </c>
      <c r="AU63" s="7">
        <v>100131</v>
      </c>
      <c r="AV63" s="7">
        <v>100131</v>
      </c>
      <c r="AW63" s="7">
        <v>100131</v>
      </c>
      <c r="AX63" s="7">
        <v>100131</v>
      </c>
      <c r="AY63" s="7">
        <v>1082131</v>
      </c>
      <c r="AZ63" s="7">
        <v>1082131</v>
      </c>
      <c r="BA63" s="7">
        <v>1762131</v>
      </c>
      <c r="BB63" s="7">
        <f t="shared" si="91"/>
        <v>1762131</v>
      </c>
      <c r="BC63" s="7">
        <v>95500</v>
      </c>
      <c r="BD63" s="7">
        <v>95500</v>
      </c>
      <c r="BE63" s="7">
        <v>95500</v>
      </c>
      <c r="BF63" s="7">
        <v>95500</v>
      </c>
      <c r="BG63" s="7">
        <v>95500</v>
      </c>
      <c r="BH63" s="7">
        <v>95500</v>
      </c>
      <c r="BI63" s="7">
        <v>85076</v>
      </c>
      <c r="BJ63" s="7">
        <v>85076</v>
      </c>
      <c r="BK63" s="7">
        <v>85076</v>
      </c>
      <c r="BL63" s="7">
        <v>85076</v>
      </c>
      <c r="BM63" s="7">
        <v>85076</v>
      </c>
      <c r="BN63" s="7">
        <v>1689211</v>
      </c>
      <c r="BO63" s="7">
        <f t="shared" si="92"/>
        <v>1689211</v>
      </c>
      <c r="BP63" s="7">
        <v>97653</v>
      </c>
      <c r="BQ63" s="7">
        <v>97653</v>
      </c>
      <c r="BR63" s="7">
        <v>97653</v>
      </c>
      <c r="BS63" s="7">
        <v>97653</v>
      </c>
      <c r="BT63" s="7">
        <v>97653</v>
      </c>
      <c r="BU63" s="7">
        <v>97653</v>
      </c>
      <c r="BV63" s="7">
        <v>97653</v>
      </c>
      <c r="BW63" s="7">
        <v>97653</v>
      </c>
      <c r="BX63" s="7">
        <v>97653</v>
      </c>
      <c r="BY63" s="7">
        <v>97653</v>
      </c>
      <c r="BZ63" s="7">
        <v>97653</v>
      </c>
      <c r="CA63" s="7">
        <v>97653</v>
      </c>
      <c r="CB63" s="7">
        <f t="shared" si="93"/>
        <v>97653</v>
      </c>
      <c r="CC63" s="7">
        <v>72183</v>
      </c>
      <c r="CD63" s="7">
        <v>72183</v>
      </c>
      <c r="CE63" s="7">
        <v>72183</v>
      </c>
      <c r="CF63" s="7">
        <v>58992</v>
      </c>
      <c r="CG63" s="7">
        <v>41722</v>
      </c>
      <c r="CH63" s="7">
        <v>41722</v>
      </c>
      <c r="CI63" s="7">
        <v>41722</v>
      </c>
      <c r="CJ63" s="7">
        <v>41722</v>
      </c>
      <c r="CK63" s="7">
        <v>41722</v>
      </c>
      <c r="CL63" s="7">
        <v>383162</v>
      </c>
      <c r="CM63" s="7">
        <v>383162</v>
      </c>
      <c r="CN63" s="7">
        <v>383162</v>
      </c>
      <c r="CO63" s="7">
        <f t="shared" si="94"/>
        <v>383162</v>
      </c>
      <c r="CP63" s="7">
        <v>103404</v>
      </c>
      <c r="CQ63" s="7">
        <v>103404</v>
      </c>
      <c r="CR63" s="7">
        <v>103404</v>
      </c>
      <c r="CS63" s="7">
        <v>103404</v>
      </c>
      <c r="CT63" s="7">
        <v>103404</v>
      </c>
      <c r="CU63" s="7">
        <v>103404</v>
      </c>
      <c r="CV63" s="7">
        <v>103404</v>
      </c>
      <c r="CW63" s="7">
        <v>103404</v>
      </c>
      <c r="CX63" s="7">
        <v>103404</v>
      </c>
      <c r="CY63" s="7">
        <v>103404</v>
      </c>
      <c r="CZ63" s="7">
        <v>103404</v>
      </c>
      <c r="DA63" s="7">
        <v>103404</v>
      </c>
      <c r="DB63" s="7">
        <f t="shared" si="95"/>
        <v>103404</v>
      </c>
      <c r="DC63" s="7">
        <v>76973</v>
      </c>
      <c r="DD63" s="7">
        <v>76973</v>
      </c>
      <c r="DE63" s="7">
        <v>76973</v>
      </c>
      <c r="DF63" s="7">
        <v>76973</v>
      </c>
      <c r="DG63" s="7">
        <v>162012</v>
      </c>
      <c r="DH63" s="7">
        <v>162012</v>
      </c>
      <c r="DI63" s="7">
        <v>162012</v>
      </c>
      <c r="DJ63" s="7">
        <v>162012</v>
      </c>
      <c r="DK63" s="7">
        <v>162012</v>
      </c>
      <c r="DL63" s="7">
        <v>162012</v>
      </c>
      <c r="DM63" s="7">
        <v>162012</v>
      </c>
      <c r="DN63" s="7">
        <v>162012</v>
      </c>
      <c r="DO63" s="7">
        <f t="shared" si="96"/>
        <v>162012</v>
      </c>
      <c r="DP63" s="7">
        <v>240323</v>
      </c>
      <c r="DQ63" s="7">
        <v>240323</v>
      </c>
      <c r="DR63" s="7">
        <v>240323</v>
      </c>
      <c r="DS63" s="7">
        <v>240323</v>
      </c>
      <c r="DT63" s="7">
        <v>240323</v>
      </c>
      <c r="DU63" s="7">
        <v>240323</v>
      </c>
      <c r="DV63" s="7">
        <v>240323</v>
      </c>
      <c r="DW63" s="7">
        <v>240323</v>
      </c>
      <c r="DX63" s="7">
        <v>240323</v>
      </c>
      <c r="DY63" s="7">
        <v>240323</v>
      </c>
      <c r="DZ63" s="7">
        <v>240323</v>
      </c>
      <c r="EA63" s="7">
        <v>240323</v>
      </c>
      <c r="EB63" s="7">
        <f t="shared" si="97"/>
        <v>240323</v>
      </c>
      <c r="EC63" s="7">
        <v>251537</v>
      </c>
      <c r="ED63" s="7">
        <v>251537</v>
      </c>
      <c r="EE63" s="7">
        <v>251537</v>
      </c>
      <c r="EF63" s="7">
        <v>2079025</v>
      </c>
      <c r="EG63" s="7">
        <v>2107375</v>
      </c>
      <c r="EH63" s="7">
        <v>2107375</v>
      </c>
      <c r="EI63" s="7">
        <v>2107375</v>
      </c>
      <c r="EJ63" s="7">
        <v>2107375</v>
      </c>
      <c r="EK63" s="7">
        <v>2107375</v>
      </c>
      <c r="EL63" s="7">
        <v>2107375</v>
      </c>
      <c r="EM63" s="7">
        <v>2107375</v>
      </c>
      <c r="EN63" s="7">
        <v>1998403</v>
      </c>
      <c r="EO63" s="7">
        <f t="shared" si="98"/>
        <v>1998403</v>
      </c>
      <c r="EP63" s="7">
        <v>878719</v>
      </c>
      <c r="EQ63" s="7">
        <v>878719</v>
      </c>
      <c r="ER63" s="7">
        <v>878719</v>
      </c>
      <c r="ES63" s="7">
        <v>878719</v>
      </c>
      <c r="ET63" s="7">
        <v>878719</v>
      </c>
      <c r="EU63" s="7">
        <v>878719</v>
      </c>
      <c r="EV63" s="7">
        <v>878719</v>
      </c>
      <c r="EW63" s="7">
        <v>878719</v>
      </c>
      <c r="EX63" s="7">
        <v>878719</v>
      </c>
      <c r="EY63" s="7">
        <v>878719</v>
      </c>
      <c r="EZ63" s="7">
        <v>878719</v>
      </c>
      <c r="FA63" s="7">
        <v>812930</v>
      </c>
      <c r="FB63" s="7">
        <f t="shared" si="99"/>
        <v>812930</v>
      </c>
      <c r="FC63" s="7">
        <v>294239</v>
      </c>
      <c r="FD63" s="7">
        <v>294239</v>
      </c>
      <c r="FE63" s="7">
        <v>294239</v>
      </c>
      <c r="FF63" s="7">
        <v>294239</v>
      </c>
      <c r="FG63" s="7">
        <v>292976</v>
      </c>
      <c r="FH63" s="7">
        <v>292976</v>
      </c>
      <c r="FI63" s="7">
        <v>292976</v>
      </c>
      <c r="FO63" s="7">
        <f t="shared" si="100"/>
        <v>292976</v>
      </c>
    </row>
    <row r="64" spans="2:171" ht="28.05" customHeight="1" x14ac:dyDescent="0.3">
      <c r="B64" s="6" t="s">
        <v>51</v>
      </c>
      <c r="C64" s="7">
        <v>104782</v>
      </c>
      <c r="D64" s="7">
        <v>104782</v>
      </c>
      <c r="E64" s="7">
        <v>104782</v>
      </c>
      <c r="F64" s="7">
        <v>104782</v>
      </c>
      <c r="G64" s="7">
        <v>142001</v>
      </c>
      <c r="H64" s="7">
        <v>142001</v>
      </c>
      <c r="I64" s="7">
        <v>142001</v>
      </c>
      <c r="J64" s="7">
        <v>142001</v>
      </c>
      <c r="K64" s="7">
        <v>142001</v>
      </c>
      <c r="L64" s="7">
        <v>142001</v>
      </c>
      <c r="M64" s="7">
        <v>142001</v>
      </c>
      <c r="N64" s="7">
        <v>142001</v>
      </c>
      <c r="O64" s="7">
        <f t="shared" si="88"/>
        <v>142001</v>
      </c>
      <c r="P64" s="7">
        <v>95648</v>
      </c>
      <c r="Q64" s="7">
        <v>95648</v>
      </c>
      <c r="R64" s="7">
        <v>95648</v>
      </c>
      <c r="S64" s="7">
        <v>95648</v>
      </c>
      <c r="T64" s="7">
        <v>95648</v>
      </c>
      <c r="U64" s="7">
        <v>95648</v>
      </c>
      <c r="V64" s="7">
        <v>95648</v>
      </c>
      <c r="W64" s="7">
        <v>95648</v>
      </c>
      <c r="X64" s="7">
        <v>295648</v>
      </c>
      <c r="Y64" s="7">
        <v>295648</v>
      </c>
      <c r="Z64" s="7">
        <v>295648</v>
      </c>
      <c r="AA64" s="7">
        <v>295648</v>
      </c>
      <c r="AB64" s="7">
        <f t="shared" si="89"/>
        <v>295648</v>
      </c>
      <c r="AC64" s="7">
        <v>96011</v>
      </c>
      <c r="AD64" s="7">
        <v>96011</v>
      </c>
      <c r="AE64" s="7">
        <v>96011</v>
      </c>
      <c r="AF64" s="7">
        <v>96011</v>
      </c>
      <c r="AG64" s="7">
        <v>96011</v>
      </c>
      <c r="AH64" s="7">
        <v>131011</v>
      </c>
      <c r="AI64" s="7">
        <v>131011</v>
      </c>
      <c r="AJ64" s="7">
        <v>131011</v>
      </c>
      <c r="AK64" s="7">
        <v>131011</v>
      </c>
      <c r="AL64" s="7">
        <v>131011</v>
      </c>
      <c r="AM64" s="7">
        <v>131011</v>
      </c>
      <c r="AN64" s="7">
        <v>131011</v>
      </c>
      <c r="AO64" s="7">
        <f t="shared" si="90"/>
        <v>131011</v>
      </c>
      <c r="AP64" s="7">
        <v>123692</v>
      </c>
      <c r="AQ64" s="7">
        <v>123692</v>
      </c>
      <c r="AR64" s="7">
        <v>131707</v>
      </c>
      <c r="AS64" s="7">
        <v>131707</v>
      </c>
      <c r="AT64" s="7">
        <v>131707</v>
      </c>
      <c r="AU64" s="7">
        <v>154815</v>
      </c>
      <c r="AV64" s="7">
        <v>154815</v>
      </c>
      <c r="AW64" s="7">
        <v>154815</v>
      </c>
      <c r="AX64" s="7">
        <v>154815</v>
      </c>
      <c r="AY64" s="7">
        <v>154815</v>
      </c>
      <c r="AZ64" s="7">
        <v>154815</v>
      </c>
      <c r="BA64" s="7">
        <v>95707</v>
      </c>
      <c r="BB64" s="7">
        <f t="shared" si="91"/>
        <v>95707</v>
      </c>
      <c r="BC64" s="7">
        <v>101075</v>
      </c>
      <c r="BD64" s="7">
        <v>101075</v>
      </c>
      <c r="BE64" s="7">
        <v>101075</v>
      </c>
      <c r="BF64" s="7">
        <v>101075</v>
      </c>
      <c r="BG64" s="7">
        <v>160183</v>
      </c>
      <c r="BH64" s="7">
        <v>160183</v>
      </c>
      <c r="BI64" s="7">
        <v>145935</v>
      </c>
      <c r="BJ64" s="7">
        <v>165021</v>
      </c>
      <c r="BK64" s="7">
        <v>165021</v>
      </c>
      <c r="BL64" s="7">
        <v>290395</v>
      </c>
      <c r="BM64" s="7">
        <v>290395</v>
      </c>
      <c r="BN64" s="7">
        <v>304643</v>
      </c>
      <c r="BO64" s="7">
        <f t="shared" si="92"/>
        <v>304643</v>
      </c>
      <c r="BP64" s="7">
        <v>111887</v>
      </c>
      <c r="BQ64" s="7">
        <v>111887</v>
      </c>
      <c r="BR64" s="7">
        <v>111887</v>
      </c>
      <c r="BS64" s="7">
        <v>111887</v>
      </c>
      <c r="BT64" s="7">
        <v>111887</v>
      </c>
      <c r="BU64" s="7">
        <v>111887</v>
      </c>
      <c r="BV64" s="7">
        <v>111887</v>
      </c>
      <c r="BW64" s="7">
        <v>111887</v>
      </c>
      <c r="BX64" s="7">
        <v>111887</v>
      </c>
      <c r="BY64" s="7">
        <v>111887</v>
      </c>
      <c r="BZ64" s="7">
        <v>111887</v>
      </c>
      <c r="CA64" s="7">
        <v>111887</v>
      </c>
      <c r="CB64" s="7">
        <f t="shared" si="93"/>
        <v>111887</v>
      </c>
      <c r="CC64" s="7">
        <v>185782</v>
      </c>
      <c r="CD64" s="7">
        <v>185782</v>
      </c>
      <c r="CE64" s="7">
        <v>185782</v>
      </c>
      <c r="CF64" s="7">
        <v>159768</v>
      </c>
      <c r="CG64" s="7">
        <v>107382</v>
      </c>
      <c r="CH64" s="7">
        <v>107382</v>
      </c>
      <c r="CI64" s="7">
        <v>107382</v>
      </c>
      <c r="CJ64" s="7">
        <v>107382</v>
      </c>
      <c r="CK64" s="7">
        <v>107382</v>
      </c>
      <c r="CL64" s="7">
        <v>107382</v>
      </c>
      <c r="CM64" s="7">
        <v>107382</v>
      </c>
      <c r="CN64" s="7">
        <v>107382</v>
      </c>
      <c r="CO64" s="7">
        <f t="shared" si="94"/>
        <v>107382</v>
      </c>
      <c r="CP64" s="7">
        <v>107372</v>
      </c>
      <c r="CQ64" s="7">
        <v>107372</v>
      </c>
      <c r="CR64" s="7">
        <v>107372</v>
      </c>
      <c r="CS64" s="7">
        <v>107372</v>
      </c>
      <c r="CT64" s="7">
        <v>107372</v>
      </c>
      <c r="CU64" s="7">
        <v>107372</v>
      </c>
      <c r="CV64" s="7">
        <v>107372</v>
      </c>
      <c r="CW64" s="7">
        <v>107372</v>
      </c>
      <c r="CX64" s="7">
        <v>107372</v>
      </c>
      <c r="CY64" s="7">
        <v>107372</v>
      </c>
      <c r="CZ64" s="7">
        <v>107372</v>
      </c>
      <c r="DA64" s="7">
        <v>107372</v>
      </c>
      <c r="DB64" s="7">
        <f t="shared" si="95"/>
        <v>107372</v>
      </c>
      <c r="DC64" s="7">
        <v>169485</v>
      </c>
      <c r="DD64" s="7">
        <v>169485</v>
      </c>
      <c r="DE64" s="7">
        <v>169485</v>
      </c>
      <c r="DF64" s="7">
        <v>169485</v>
      </c>
      <c r="DG64" s="7">
        <v>169485</v>
      </c>
      <c r="DH64" s="7">
        <v>169485</v>
      </c>
      <c r="DI64" s="7">
        <v>169485</v>
      </c>
      <c r="DJ64" s="7">
        <v>169485</v>
      </c>
      <c r="DK64" s="7">
        <v>169485</v>
      </c>
      <c r="DL64" s="7">
        <v>395850</v>
      </c>
      <c r="DM64" s="7">
        <v>395850</v>
      </c>
      <c r="DN64" s="7">
        <v>395850</v>
      </c>
      <c r="DO64" s="7">
        <f t="shared" si="96"/>
        <v>395850</v>
      </c>
      <c r="DP64" s="7">
        <v>556957</v>
      </c>
      <c r="DQ64" s="7">
        <v>556957</v>
      </c>
      <c r="DR64" s="7">
        <v>556957</v>
      </c>
      <c r="DS64" s="7">
        <v>556957</v>
      </c>
      <c r="DT64" s="7">
        <v>556957</v>
      </c>
      <c r="DU64" s="7">
        <v>556957</v>
      </c>
      <c r="DV64" s="7">
        <v>556957</v>
      </c>
      <c r="DW64" s="7">
        <v>556957</v>
      </c>
      <c r="DX64" s="7">
        <v>556957</v>
      </c>
      <c r="DY64" s="7">
        <v>556957</v>
      </c>
      <c r="DZ64" s="7">
        <v>556957</v>
      </c>
      <c r="EA64" s="7">
        <v>556957</v>
      </c>
      <c r="EB64" s="7">
        <f t="shared" si="97"/>
        <v>556957</v>
      </c>
      <c r="EC64" s="7">
        <v>615757</v>
      </c>
      <c r="ED64" s="7">
        <v>615757</v>
      </c>
      <c r="EE64" s="7">
        <v>615757</v>
      </c>
      <c r="EF64" s="7">
        <v>615757</v>
      </c>
      <c r="EG64" s="7">
        <v>615757</v>
      </c>
      <c r="EH64" s="7">
        <v>615757</v>
      </c>
      <c r="EI64" s="7">
        <v>615757</v>
      </c>
      <c r="EJ64" s="7">
        <v>632257</v>
      </c>
      <c r="EK64" s="7">
        <v>632257</v>
      </c>
      <c r="EL64" s="7">
        <v>632257</v>
      </c>
      <c r="EM64" s="7">
        <v>632257</v>
      </c>
      <c r="EN64" s="7">
        <v>632257</v>
      </c>
      <c r="EO64" s="7">
        <f t="shared" si="98"/>
        <v>632257</v>
      </c>
      <c r="EP64" s="7">
        <v>527858</v>
      </c>
      <c r="EQ64" s="7">
        <v>527858</v>
      </c>
      <c r="ER64" s="7">
        <v>527858</v>
      </c>
      <c r="ES64" s="7">
        <v>527858</v>
      </c>
      <c r="ET64" s="7">
        <v>527858</v>
      </c>
      <c r="EU64" s="7">
        <v>527858</v>
      </c>
      <c r="EV64" s="7">
        <v>527858</v>
      </c>
      <c r="EW64" s="7">
        <v>527858</v>
      </c>
      <c r="EX64" s="7">
        <v>527858</v>
      </c>
      <c r="EY64" s="7">
        <v>527858</v>
      </c>
      <c r="EZ64" s="7">
        <v>527858</v>
      </c>
      <c r="FA64" s="7">
        <v>527858</v>
      </c>
      <c r="FB64" s="7">
        <f t="shared" si="99"/>
        <v>527858</v>
      </c>
      <c r="FC64" s="7">
        <v>392933</v>
      </c>
      <c r="FD64" s="7">
        <v>392933</v>
      </c>
      <c r="FE64" s="7">
        <v>392933</v>
      </c>
      <c r="FF64" s="7">
        <v>392933</v>
      </c>
      <c r="FG64" s="7">
        <v>381145</v>
      </c>
      <c r="FH64" s="7">
        <v>381145</v>
      </c>
      <c r="FI64" s="7">
        <v>381145</v>
      </c>
      <c r="FO64" s="7">
        <f t="shared" si="100"/>
        <v>381145</v>
      </c>
    </row>
    <row r="65" spans="2:171" ht="22.05" customHeight="1" x14ac:dyDescent="0.3">
      <c r="B65" s="4" t="s">
        <v>104</v>
      </c>
      <c r="C65" s="8">
        <f t="shared" ref="C65:AH65" si="101">SUM(C59:C64)</f>
        <v>3877230</v>
      </c>
      <c r="D65" s="8">
        <f t="shared" si="101"/>
        <v>3877230</v>
      </c>
      <c r="E65" s="8">
        <f t="shared" si="101"/>
        <v>3877230</v>
      </c>
      <c r="F65" s="8">
        <f t="shared" si="101"/>
        <v>3877230</v>
      </c>
      <c r="G65" s="8">
        <f t="shared" si="101"/>
        <v>3928449</v>
      </c>
      <c r="H65" s="8">
        <f t="shared" si="101"/>
        <v>14578415</v>
      </c>
      <c r="I65" s="8">
        <f t="shared" si="101"/>
        <v>17738415</v>
      </c>
      <c r="J65" s="8">
        <f t="shared" si="101"/>
        <v>17738415</v>
      </c>
      <c r="K65" s="8">
        <f t="shared" si="101"/>
        <v>17738415</v>
      </c>
      <c r="L65" s="8">
        <f t="shared" si="101"/>
        <v>19238415</v>
      </c>
      <c r="M65" s="8">
        <f t="shared" si="101"/>
        <v>19599579</v>
      </c>
      <c r="N65" s="8">
        <f t="shared" si="101"/>
        <v>13731821</v>
      </c>
      <c r="O65" s="8">
        <f t="shared" si="101"/>
        <v>13731821</v>
      </c>
      <c r="P65" s="8">
        <f t="shared" si="101"/>
        <v>4347325</v>
      </c>
      <c r="Q65" s="8">
        <f t="shared" si="101"/>
        <v>4347325</v>
      </c>
      <c r="R65" s="8">
        <f t="shared" si="101"/>
        <v>10701947</v>
      </c>
      <c r="S65" s="8">
        <f t="shared" si="101"/>
        <v>10701947</v>
      </c>
      <c r="T65" s="8">
        <f t="shared" si="101"/>
        <v>11236947</v>
      </c>
      <c r="U65" s="8">
        <f t="shared" si="101"/>
        <v>11236947</v>
      </c>
      <c r="V65" s="8">
        <f t="shared" si="101"/>
        <v>11336947</v>
      </c>
      <c r="W65" s="8">
        <f t="shared" si="101"/>
        <v>11336947</v>
      </c>
      <c r="X65" s="8">
        <f t="shared" si="101"/>
        <v>11536947</v>
      </c>
      <c r="Y65" s="8">
        <f t="shared" si="101"/>
        <v>11536947</v>
      </c>
      <c r="Z65" s="8">
        <f t="shared" si="101"/>
        <v>14907747</v>
      </c>
      <c r="AA65" s="8">
        <f t="shared" si="101"/>
        <v>15217747</v>
      </c>
      <c r="AB65" s="8">
        <f t="shared" si="101"/>
        <v>15217747</v>
      </c>
      <c r="AC65" s="8">
        <f t="shared" si="101"/>
        <v>8581177</v>
      </c>
      <c r="AD65" s="8">
        <f t="shared" si="101"/>
        <v>8581177</v>
      </c>
      <c r="AE65" s="8">
        <f t="shared" si="101"/>
        <v>8581177</v>
      </c>
      <c r="AF65" s="8">
        <f t="shared" si="101"/>
        <v>8420177</v>
      </c>
      <c r="AG65" s="8">
        <f t="shared" si="101"/>
        <v>8420177</v>
      </c>
      <c r="AH65" s="8">
        <f t="shared" si="101"/>
        <v>8994177</v>
      </c>
      <c r="AI65" s="8">
        <f t="shared" ref="AI65:BN65" si="102">SUM(AI59:AI64)</f>
        <v>8994177</v>
      </c>
      <c r="AJ65" s="8">
        <f t="shared" si="102"/>
        <v>8994177</v>
      </c>
      <c r="AK65" s="8">
        <f t="shared" si="102"/>
        <v>8994177</v>
      </c>
      <c r="AL65" s="8">
        <f t="shared" si="102"/>
        <v>9456177</v>
      </c>
      <c r="AM65" s="8">
        <f t="shared" si="102"/>
        <v>9549177</v>
      </c>
      <c r="AN65" s="8">
        <f t="shared" si="102"/>
        <v>8283048</v>
      </c>
      <c r="AO65" s="8">
        <f t="shared" si="102"/>
        <v>8283048</v>
      </c>
      <c r="AP65" s="8">
        <f t="shared" si="102"/>
        <v>6119602</v>
      </c>
      <c r="AQ65" s="8">
        <f t="shared" si="102"/>
        <v>6119602</v>
      </c>
      <c r="AR65" s="8">
        <f t="shared" si="102"/>
        <v>6405617</v>
      </c>
      <c r="AS65" s="8">
        <f t="shared" si="102"/>
        <v>6405617</v>
      </c>
      <c r="AT65" s="8">
        <f t="shared" si="102"/>
        <v>6605617</v>
      </c>
      <c r="AU65" s="8">
        <f t="shared" si="102"/>
        <v>23096425</v>
      </c>
      <c r="AV65" s="8">
        <f t="shared" si="102"/>
        <v>23312325</v>
      </c>
      <c r="AW65" s="8">
        <f t="shared" si="102"/>
        <v>23793825</v>
      </c>
      <c r="AX65" s="8">
        <f t="shared" si="102"/>
        <v>23802425</v>
      </c>
      <c r="AY65" s="8">
        <f t="shared" si="102"/>
        <v>24610805</v>
      </c>
      <c r="AZ65" s="8">
        <f t="shared" si="102"/>
        <v>24626805</v>
      </c>
      <c r="BA65" s="8">
        <f t="shared" si="102"/>
        <v>20452609</v>
      </c>
      <c r="BB65" s="8">
        <f t="shared" si="102"/>
        <v>20452609</v>
      </c>
      <c r="BC65" s="8">
        <f t="shared" si="102"/>
        <v>4540783</v>
      </c>
      <c r="BD65" s="8">
        <f t="shared" si="102"/>
        <v>4540783</v>
      </c>
      <c r="BE65" s="8">
        <f t="shared" si="102"/>
        <v>10485867</v>
      </c>
      <c r="BF65" s="8">
        <f t="shared" si="102"/>
        <v>10485867</v>
      </c>
      <c r="BG65" s="8">
        <f t="shared" si="102"/>
        <v>10860166</v>
      </c>
      <c r="BH65" s="8">
        <f t="shared" si="102"/>
        <v>10860166</v>
      </c>
      <c r="BI65" s="8">
        <f t="shared" si="102"/>
        <v>10126887</v>
      </c>
      <c r="BJ65" s="8">
        <f t="shared" si="102"/>
        <v>10190607</v>
      </c>
      <c r="BK65" s="8">
        <f t="shared" si="102"/>
        <v>10190607</v>
      </c>
      <c r="BL65" s="8">
        <f t="shared" si="102"/>
        <v>10330981</v>
      </c>
      <c r="BM65" s="8">
        <f t="shared" si="102"/>
        <v>10795232</v>
      </c>
      <c r="BN65" s="8">
        <f t="shared" si="102"/>
        <v>14406619</v>
      </c>
      <c r="BO65" s="8">
        <f t="shared" ref="BO65:CT65" si="103">SUM(BO59:BO64)</f>
        <v>14406619</v>
      </c>
      <c r="BP65" s="8">
        <f t="shared" si="103"/>
        <v>4571556</v>
      </c>
      <c r="BQ65" s="8">
        <f t="shared" si="103"/>
        <v>4571556</v>
      </c>
      <c r="BR65" s="8">
        <f t="shared" si="103"/>
        <v>4521556</v>
      </c>
      <c r="BS65" s="8">
        <f t="shared" si="103"/>
        <v>4590356</v>
      </c>
      <c r="BT65" s="8">
        <f t="shared" si="103"/>
        <v>4590356</v>
      </c>
      <c r="BU65" s="8">
        <f t="shared" si="103"/>
        <v>9422356</v>
      </c>
      <c r="BV65" s="8">
        <f t="shared" si="103"/>
        <v>9456606</v>
      </c>
      <c r="BW65" s="8">
        <f t="shared" si="103"/>
        <v>9553376</v>
      </c>
      <c r="BX65" s="8">
        <f t="shared" si="103"/>
        <v>9553376</v>
      </c>
      <c r="BY65" s="8">
        <f t="shared" si="103"/>
        <v>9553376</v>
      </c>
      <c r="BZ65" s="8">
        <f t="shared" si="103"/>
        <v>9553376</v>
      </c>
      <c r="CA65" s="8">
        <f t="shared" si="103"/>
        <v>8652624</v>
      </c>
      <c r="CB65" s="8">
        <f t="shared" si="103"/>
        <v>8652624</v>
      </c>
      <c r="CC65" s="8">
        <f t="shared" si="103"/>
        <v>4845816</v>
      </c>
      <c r="CD65" s="8">
        <f t="shared" si="103"/>
        <v>4845816</v>
      </c>
      <c r="CE65" s="8">
        <f t="shared" si="103"/>
        <v>4845816</v>
      </c>
      <c r="CF65" s="8">
        <f t="shared" si="103"/>
        <v>3302818</v>
      </c>
      <c r="CG65" s="8">
        <f t="shared" si="103"/>
        <v>2771691</v>
      </c>
      <c r="CH65" s="8">
        <f t="shared" si="103"/>
        <v>2771691</v>
      </c>
      <c r="CI65" s="8">
        <f t="shared" si="103"/>
        <v>3305691</v>
      </c>
      <c r="CJ65" s="8">
        <f t="shared" si="103"/>
        <v>3305691</v>
      </c>
      <c r="CK65" s="8">
        <f t="shared" si="103"/>
        <v>3305691</v>
      </c>
      <c r="CL65" s="8">
        <f t="shared" si="103"/>
        <v>10307324</v>
      </c>
      <c r="CM65" s="8">
        <f t="shared" si="103"/>
        <v>11421855</v>
      </c>
      <c r="CN65" s="8">
        <f t="shared" si="103"/>
        <v>10170826</v>
      </c>
      <c r="CO65" s="8">
        <f t="shared" si="103"/>
        <v>10170826</v>
      </c>
      <c r="CP65" s="8">
        <f t="shared" si="103"/>
        <v>5333082</v>
      </c>
      <c r="CQ65" s="8">
        <f t="shared" si="103"/>
        <v>5333082</v>
      </c>
      <c r="CR65" s="8">
        <f t="shared" si="103"/>
        <v>7300660</v>
      </c>
      <c r="CS65" s="8">
        <f t="shared" si="103"/>
        <v>8111660</v>
      </c>
      <c r="CT65" s="8">
        <f t="shared" si="103"/>
        <v>8111660</v>
      </c>
      <c r="CU65" s="8">
        <f t="shared" ref="CU65:DZ65" si="104">SUM(CU59:CU64)</f>
        <v>8133660</v>
      </c>
      <c r="CV65" s="8">
        <f t="shared" si="104"/>
        <v>8133660</v>
      </c>
      <c r="CW65" s="8">
        <f t="shared" si="104"/>
        <v>8234830</v>
      </c>
      <c r="CX65" s="8">
        <f t="shared" si="104"/>
        <v>8234830</v>
      </c>
      <c r="CY65" s="8">
        <f t="shared" si="104"/>
        <v>8234830</v>
      </c>
      <c r="CZ65" s="8">
        <f t="shared" si="104"/>
        <v>8327830</v>
      </c>
      <c r="DA65" s="8">
        <f t="shared" si="104"/>
        <v>6385431</v>
      </c>
      <c r="DB65" s="8">
        <f t="shared" si="104"/>
        <v>6385431</v>
      </c>
      <c r="DC65" s="8">
        <f t="shared" si="104"/>
        <v>2452676</v>
      </c>
      <c r="DD65" s="8">
        <f t="shared" si="104"/>
        <v>2452676</v>
      </c>
      <c r="DE65" s="8">
        <f t="shared" si="104"/>
        <v>2452676</v>
      </c>
      <c r="DF65" s="8">
        <f t="shared" si="104"/>
        <v>2452676</v>
      </c>
      <c r="DG65" s="8">
        <f t="shared" si="104"/>
        <v>4134715</v>
      </c>
      <c r="DH65" s="8">
        <f t="shared" si="104"/>
        <v>4134715</v>
      </c>
      <c r="DI65" s="8">
        <f t="shared" si="104"/>
        <v>4134715</v>
      </c>
      <c r="DJ65" s="8">
        <f t="shared" si="104"/>
        <v>4134715</v>
      </c>
      <c r="DK65" s="8">
        <f t="shared" si="104"/>
        <v>15016887</v>
      </c>
      <c r="DL65" s="8">
        <f t="shared" si="104"/>
        <v>15766943</v>
      </c>
      <c r="DM65" s="8">
        <f t="shared" si="104"/>
        <v>15946430</v>
      </c>
      <c r="DN65" s="8">
        <f t="shared" si="104"/>
        <v>12156700</v>
      </c>
      <c r="DO65" s="8">
        <f t="shared" si="104"/>
        <v>12156700</v>
      </c>
      <c r="DP65" s="8">
        <f t="shared" si="104"/>
        <v>25971266</v>
      </c>
      <c r="DQ65" s="8">
        <f t="shared" si="104"/>
        <v>25971266</v>
      </c>
      <c r="DR65" s="8">
        <f t="shared" si="104"/>
        <v>25971266</v>
      </c>
      <c r="DS65" s="8">
        <f t="shared" si="104"/>
        <v>45929452</v>
      </c>
      <c r="DT65" s="8">
        <f t="shared" si="104"/>
        <v>46163322</v>
      </c>
      <c r="DU65" s="8">
        <f t="shared" si="104"/>
        <v>46163322</v>
      </c>
      <c r="DV65" s="8">
        <f t="shared" si="104"/>
        <v>46163322</v>
      </c>
      <c r="DW65" s="8">
        <f t="shared" si="104"/>
        <v>46163322</v>
      </c>
      <c r="DX65" s="8">
        <f t="shared" si="104"/>
        <v>48580162</v>
      </c>
      <c r="DY65" s="8">
        <f t="shared" si="104"/>
        <v>48580162</v>
      </c>
      <c r="DZ65" s="8">
        <f t="shared" si="104"/>
        <v>48580162</v>
      </c>
      <c r="EA65" s="8">
        <f t="shared" ref="EA65:FF65" si="105">SUM(EA59:EA64)</f>
        <v>9794026</v>
      </c>
      <c r="EB65" s="8">
        <f t="shared" si="105"/>
        <v>9794026</v>
      </c>
      <c r="EC65" s="8">
        <f t="shared" si="105"/>
        <v>8648312</v>
      </c>
      <c r="ED65" s="8">
        <f t="shared" si="105"/>
        <v>8648312</v>
      </c>
      <c r="EE65" s="8">
        <f t="shared" si="105"/>
        <v>8648312</v>
      </c>
      <c r="EF65" s="8">
        <f t="shared" si="105"/>
        <v>10475800</v>
      </c>
      <c r="EG65" s="8">
        <f t="shared" si="105"/>
        <v>10561251</v>
      </c>
      <c r="EH65" s="8">
        <f t="shared" si="105"/>
        <v>10561251</v>
      </c>
      <c r="EI65" s="8">
        <f t="shared" si="105"/>
        <v>10561251</v>
      </c>
      <c r="EJ65" s="8">
        <f t="shared" si="105"/>
        <v>10577751</v>
      </c>
      <c r="EK65" s="8">
        <f t="shared" si="105"/>
        <v>10431651</v>
      </c>
      <c r="EL65" s="8">
        <f t="shared" si="105"/>
        <v>10431651</v>
      </c>
      <c r="EM65" s="8">
        <f t="shared" si="105"/>
        <v>7156495</v>
      </c>
      <c r="EN65" s="8">
        <f t="shared" si="105"/>
        <v>7047523</v>
      </c>
      <c r="EO65" s="8">
        <f t="shared" si="105"/>
        <v>7047523</v>
      </c>
      <c r="EP65" s="8">
        <f t="shared" si="105"/>
        <v>12581277</v>
      </c>
      <c r="EQ65" s="8">
        <f t="shared" si="105"/>
        <v>12581277</v>
      </c>
      <c r="ER65" s="8">
        <f t="shared" si="105"/>
        <v>12581277</v>
      </c>
      <c r="ES65" s="8">
        <f t="shared" si="105"/>
        <v>12715277</v>
      </c>
      <c r="ET65" s="8">
        <f t="shared" si="105"/>
        <v>12715277</v>
      </c>
      <c r="EU65" s="8">
        <f t="shared" si="105"/>
        <v>12715277</v>
      </c>
      <c r="EV65" s="8">
        <f t="shared" si="105"/>
        <v>12715277</v>
      </c>
      <c r="EW65" s="8">
        <f t="shared" si="105"/>
        <v>12715277</v>
      </c>
      <c r="EX65" s="8">
        <f t="shared" si="105"/>
        <v>10927277</v>
      </c>
      <c r="EY65" s="8">
        <f t="shared" si="105"/>
        <v>10927277</v>
      </c>
      <c r="EZ65" s="8">
        <f t="shared" si="105"/>
        <v>10927277</v>
      </c>
      <c r="FA65" s="8">
        <f t="shared" si="105"/>
        <v>6182607</v>
      </c>
      <c r="FB65" s="8">
        <f t="shared" si="105"/>
        <v>6182607</v>
      </c>
      <c r="FC65" s="8">
        <f t="shared" si="105"/>
        <v>5203817</v>
      </c>
      <c r="FD65" s="8">
        <f t="shared" si="105"/>
        <v>5203817</v>
      </c>
      <c r="FE65" s="8">
        <f t="shared" si="105"/>
        <v>5723817</v>
      </c>
      <c r="FF65" s="8">
        <f t="shared" si="105"/>
        <v>5723817</v>
      </c>
      <c r="FG65" s="8">
        <f t="shared" ref="FG65:GL65" si="106">SUM(FG59:FG64)</f>
        <v>5302701</v>
      </c>
      <c r="FH65" s="8">
        <f t="shared" si="106"/>
        <v>5302701</v>
      </c>
      <c r="FI65" s="8">
        <f t="shared" si="106"/>
        <v>5302701</v>
      </c>
      <c r="FJ65" s="8">
        <f t="shared" si="106"/>
        <v>0</v>
      </c>
      <c r="FK65" s="8">
        <f t="shared" si="106"/>
        <v>0</v>
      </c>
      <c r="FL65" s="8">
        <f t="shared" si="106"/>
        <v>0</v>
      </c>
      <c r="FM65" s="8">
        <f t="shared" si="106"/>
        <v>0</v>
      </c>
      <c r="FN65" s="8">
        <f t="shared" si="106"/>
        <v>0</v>
      </c>
      <c r="FO65" s="8">
        <f t="shared" si="106"/>
        <v>5302701</v>
      </c>
    </row>
    <row r="66" spans="2:171" x14ac:dyDescent="0.3">
      <c r="B66" s="2" t="s">
        <v>109</v>
      </c>
    </row>
    <row r="68" spans="2:171" ht="16.05" customHeight="1" x14ac:dyDescent="0.3">
      <c r="B68" s="60" t="s">
        <v>115</v>
      </c>
      <c r="C68" s="57"/>
      <c r="D68" s="57"/>
      <c r="E68" s="57"/>
      <c r="F68" s="57"/>
      <c r="G68" s="57"/>
      <c r="H68" s="57"/>
      <c r="I68" s="57"/>
      <c r="J68" s="57"/>
      <c r="K68" s="57"/>
      <c r="L68" s="57"/>
      <c r="M68" s="57"/>
      <c r="N68" s="57"/>
      <c r="O68" s="57"/>
      <c r="P68" s="57"/>
      <c r="Q68" s="57"/>
      <c r="R68" s="57"/>
      <c r="S68" s="57"/>
      <c r="T68" s="57"/>
      <c r="U68" s="57"/>
      <c r="V68" s="57"/>
      <c r="W68" s="57"/>
      <c r="X68" s="57"/>
      <c r="Y68" s="57"/>
      <c r="Z68" s="57"/>
      <c r="AA68" s="57"/>
      <c r="AB68" s="57"/>
      <c r="AC68" s="57"/>
      <c r="AD68" s="57"/>
      <c r="AE68" s="57"/>
      <c r="AF68" s="57"/>
      <c r="AG68" s="57"/>
      <c r="AH68" s="57"/>
      <c r="AI68" s="57"/>
      <c r="AJ68" s="57"/>
      <c r="AK68" s="57"/>
      <c r="AL68" s="57"/>
      <c r="AM68" s="57"/>
      <c r="AN68" s="57"/>
      <c r="AO68" s="57"/>
      <c r="AP68" s="57"/>
      <c r="AQ68" s="57"/>
      <c r="AR68" s="57"/>
      <c r="AS68" s="57"/>
      <c r="AT68" s="57"/>
      <c r="AU68" s="57"/>
      <c r="AV68" s="57"/>
      <c r="AW68" s="57"/>
      <c r="AX68" s="57"/>
      <c r="AY68" s="57"/>
      <c r="AZ68" s="57"/>
      <c r="BA68" s="57"/>
      <c r="BB68" s="57"/>
      <c r="BC68" s="57"/>
      <c r="BD68" s="57"/>
      <c r="BE68" s="57"/>
      <c r="BF68" s="57"/>
      <c r="BG68" s="57"/>
      <c r="BH68" s="57"/>
      <c r="BI68" s="57"/>
      <c r="BJ68" s="57"/>
      <c r="BK68" s="57"/>
      <c r="BL68" s="57"/>
      <c r="BM68" s="57"/>
      <c r="BN68" s="57"/>
      <c r="BO68" s="57"/>
      <c r="BP68" s="57"/>
      <c r="BQ68" s="57"/>
      <c r="BR68" s="57"/>
      <c r="BS68" s="57"/>
      <c r="BT68" s="57"/>
      <c r="BU68" s="57"/>
      <c r="BV68" s="57"/>
      <c r="BW68" s="57"/>
      <c r="BX68" s="57"/>
      <c r="BY68" s="57"/>
      <c r="BZ68" s="57"/>
      <c r="CA68" s="57"/>
      <c r="CB68" s="57"/>
      <c r="CC68" s="57"/>
      <c r="CD68" s="57"/>
      <c r="CE68" s="57"/>
      <c r="CF68" s="57"/>
      <c r="CG68" s="57"/>
      <c r="CH68" s="57"/>
      <c r="CI68" s="57"/>
      <c r="CJ68" s="57"/>
      <c r="CK68" s="57"/>
      <c r="CL68" s="57"/>
      <c r="CM68" s="57"/>
      <c r="CN68" s="57"/>
      <c r="CO68" s="57"/>
      <c r="CP68" s="57"/>
      <c r="CQ68" s="57"/>
      <c r="CR68" s="57"/>
      <c r="CS68" s="57"/>
      <c r="CT68" s="57"/>
      <c r="CU68" s="57"/>
      <c r="CV68" s="57"/>
      <c r="CW68" s="57"/>
      <c r="CX68" s="57"/>
      <c r="CY68" s="57"/>
      <c r="CZ68" s="57"/>
      <c r="DA68" s="57"/>
      <c r="DB68" s="57"/>
      <c r="DC68" s="57"/>
      <c r="DD68" s="57"/>
      <c r="DE68" s="57"/>
      <c r="DF68" s="57"/>
      <c r="DG68" s="57"/>
      <c r="DH68" s="57"/>
      <c r="DI68" s="57"/>
      <c r="DJ68" s="57"/>
      <c r="DK68" s="57"/>
      <c r="DL68" s="57"/>
      <c r="DM68" s="57"/>
      <c r="DN68" s="57"/>
      <c r="DO68" s="57"/>
      <c r="DP68" s="57"/>
      <c r="DQ68" s="57"/>
      <c r="DR68" s="57"/>
      <c r="DS68" s="57"/>
      <c r="DT68" s="57"/>
      <c r="DU68" s="57"/>
      <c r="DV68" s="57"/>
      <c r="DW68" s="57"/>
      <c r="DX68" s="57"/>
      <c r="DY68" s="57"/>
      <c r="DZ68" s="57"/>
      <c r="EA68" s="57"/>
      <c r="EB68" s="57"/>
      <c r="EC68" s="57"/>
      <c r="ED68" s="57"/>
      <c r="EE68" s="57"/>
      <c r="EF68" s="57"/>
      <c r="EG68" s="57"/>
      <c r="EH68" s="57"/>
      <c r="EI68" s="57"/>
      <c r="EJ68" s="57"/>
      <c r="EK68" s="57"/>
      <c r="EL68" s="57"/>
      <c r="EM68" s="57"/>
      <c r="EN68" s="57"/>
      <c r="EO68" s="57"/>
      <c r="EP68" s="57"/>
      <c r="EQ68" s="57"/>
      <c r="ER68" s="57"/>
      <c r="ES68" s="57"/>
      <c r="ET68" s="57"/>
      <c r="EU68" s="57"/>
      <c r="EV68" s="57"/>
      <c r="EW68" s="57"/>
      <c r="EX68" s="57"/>
      <c r="EY68" s="57"/>
      <c r="EZ68" s="57"/>
      <c r="FA68" s="57"/>
      <c r="FB68" s="57"/>
      <c r="FC68" s="57"/>
      <c r="FD68" s="57"/>
      <c r="FE68" s="57"/>
      <c r="FF68" s="57"/>
      <c r="FG68" s="57"/>
      <c r="FH68" s="57"/>
      <c r="FI68" s="57"/>
      <c r="FJ68" s="57"/>
      <c r="FK68" s="57"/>
      <c r="FL68" s="57"/>
      <c r="FM68" s="57"/>
      <c r="FN68" s="57"/>
      <c r="FO68" s="57"/>
    </row>
    <row r="69" spans="2:171" ht="22.05" customHeight="1" x14ac:dyDescent="0.3">
      <c r="B69" s="3"/>
      <c r="C69" s="58" t="s">
        <v>77</v>
      </c>
      <c r="D69" s="59"/>
      <c r="E69" s="59"/>
      <c r="F69" s="59"/>
      <c r="G69" s="59"/>
      <c r="H69" s="59"/>
      <c r="I69" s="59"/>
      <c r="J69" s="59"/>
      <c r="K69" s="59"/>
      <c r="L69" s="59"/>
      <c r="M69" s="59"/>
      <c r="N69" s="59"/>
      <c r="O69" s="59"/>
      <c r="P69" s="58" t="s">
        <v>78</v>
      </c>
      <c r="Q69" s="59"/>
      <c r="R69" s="59"/>
      <c r="S69" s="59"/>
      <c r="T69" s="59"/>
      <c r="U69" s="59"/>
      <c r="V69" s="59"/>
      <c r="W69" s="59"/>
      <c r="X69" s="59"/>
      <c r="Y69" s="59"/>
      <c r="Z69" s="59"/>
      <c r="AA69" s="59"/>
      <c r="AB69" s="59"/>
      <c r="AC69" s="58" t="s">
        <v>79</v>
      </c>
      <c r="AD69" s="59"/>
      <c r="AE69" s="59"/>
      <c r="AF69" s="59"/>
      <c r="AG69" s="59"/>
      <c r="AH69" s="59"/>
      <c r="AI69" s="59"/>
      <c r="AJ69" s="59"/>
      <c r="AK69" s="59"/>
      <c r="AL69" s="59"/>
      <c r="AM69" s="59"/>
      <c r="AN69" s="59"/>
      <c r="AO69" s="59"/>
      <c r="AP69" s="58" t="s">
        <v>80</v>
      </c>
      <c r="AQ69" s="59"/>
      <c r="AR69" s="59"/>
      <c r="AS69" s="59"/>
      <c r="AT69" s="59"/>
      <c r="AU69" s="59"/>
      <c r="AV69" s="59"/>
      <c r="AW69" s="59"/>
      <c r="AX69" s="59"/>
      <c r="AY69" s="59"/>
      <c r="AZ69" s="59"/>
      <c r="BA69" s="59"/>
      <c r="BB69" s="59"/>
      <c r="BC69" s="58" t="s">
        <v>81</v>
      </c>
      <c r="BD69" s="59"/>
      <c r="BE69" s="59"/>
      <c r="BF69" s="59"/>
      <c r="BG69" s="59"/>
      <c r="BH69" s="59"/>
      <c r="BI69" s="59"/>
      <c r="BJ69" s="59"/>
      <c r="BK69" s="59"/>
      <c r="BL69" s="59"/>
      <c r="BM69" s="59"/>
      <c r="BN69" s="59"/>
      <c r="BO69" s="59"/>
      <c r="BP69" s="58" t="s">
        <v>82</v>
      </c>
      <c r="BQ69" s="59"/>
      <c r="BR69" s="59"/>
      <c r="BS69" s="59"/>
      <c r="BT69" s="59"/>
      <c r="BU69" s="59"/>
      <c r="BV69" s="59"/>
      <c r="BW69" s="59"/>
      <c r="BX69" s="59"/>
      <c r="BY69" s="59"/>
      <c r="BZ69" s="59"/>
      <c r="CA69" s="59"/>
      <c r="CB69" s="59"/>
      <c r="CC69" s="58" t="s">
        <v>83</v>
      </c>
      <c r="CD69" s="59"/>
      <c r="CE69" s="59"/>
      <c r="CF69" s="59"/>
      <c r="CG69" s="59"/>
      <c r="CH69" s="59"/>
      <c r="CI69" s="59"/>
      <c r="CJ69" s="59"/>
      <c r="CK69" s="59"/>
      <c r="CL69" s="59"/>
      <c r="CM69" s="59"/>
      <c r="CN69" s="59"/>
      <c r="CO69" s="59"/>
      <c r="CP69" s="58" t="s">
        <v>112</v>
      </c>
      <c r="CQ69" s="59"/>
      <c r="CR69" s="59"/>
      <c r="CS69" s="59"/>
      <c r="CT69" s="59"/>
      <c r="CU69" s="59"/>
      <c r="CV69" s="59"/>
      <c r="CW69" s="59"/>
      <c r="CX69" s="59"/>
      <c r="CY69" s="59"/>
      <c r="CZ69" s="59"/>
      <c r="DA69" s="59"/>
      <c r="DB69" s="59"/>
      <c r="DC69" s="58" t="s">
        <v>113</v>
      </c>
      <c r="DD69" s="59"/>
      <c r="DE69" s="59"/>
      <c r="DF69" s="59"/>
      <c r="DG69" s="59"/>
      <c r="DH69" s="59"/>
      <c r="DI69" s="59"/>
      <c r="DJ69" s="59"/>
      <c r="DK69" s="59"/>
      <c r="DL69" s="59"/>
      <c r="DM69" s="59"/>
      <c r="DN69" s="59"/>
      <c r="DO69" s="59"/>
      <c r="DP69" s="58" t="s">
        <v>86</v>
      </c>
      <c r="DQ69" s="59"/>
      <c r="DR69" s="59"/>
      <c r="DS69" s="59"/>
      <c r="DT69" s="59"/>
      <c r="DU69" s="59"/>
      <c r="DV69" s="59"/>
      <c r="DW69" s="59"/>
      <c r="DX69" s="59"/>
      <c r="DY69" s="59"/>
      <c r="DZ69" s="59"/>
      <c r="EA69" s="59"/>
      <c r="EB69" s="59"/>
      <c r="EC69" s="58" t="s">
        <v>87</v>
      </c>
      <c r="ED69" s="59"/>
      <c r="EE69" s="59"/>
      <c r="EF69" s="59"/>
      <c r="EG69" s="59"/>
      <c r="EH69" s="59"/>
      <c r="EI69" s="59"/>
      <c r="EJ69" s="59"/>
      <c r="EK69" s="59"/>
      <c r="EL69" s="59"/>
      <c r="EM69" s="59"/>
      <c r="EN69" s="59"/>
      <c r="EO69" s="59"/>
      <c r="EP69" s="58" t="s">
        <v>88</v>
      </c>
      <c r="EQ69" s="59"/>
      <c r="ER69" s="59"/>
      <c r="ES69" s="59"/>
      <c r="ET69" s="59"/>
      <c r="EU69" s="59"/>
      <c r="EV69" s="59"/>
      <c r="EW69" s="59"/>
      <c r="EX69" s="59"/>
      <c r="EY69" s="59"/>
      <c r="EZ69" s="59"/>
      <c r="FA69" s="59"/>
      <c r="FB69" s="59"/>
      <c r="FC69" s="58" t="s">
        <v>89</v>
      </c>
      <c r="FD69" s="59"/>
      <c r="FE69" s="59"/>
      <c r="FF69" s="59"/>
      <c r="FG69" s="59"/>
      <c r="FH69" s="59"/>
      <c r="FI69" s="59"/>
      <c r="FJ69" s="59"/>
      <c r="FK69" s="59"/>
      <c r="FL69" s="59"/>
      <c r="FM69" s="59"/>
      <c r="FN69" s="59"/>
      <c r="FO69" s="59"/>
    </row>
    <row r="70" spans="2:171" ht="28.05" customHeight="1" x14ac:dyDescent="0.3">
      <c r="B70" s="4" t="s">
        <v>90</v>
      </c>
      <c r="C70" s="5" t="s">
        <v>55</v>
      </c>
      <c r="D70" s="5" t="s">
        <v>56</v>
      </c>
      <c r="E70" s="5" t="s">
        <v>57</v>
      </c>
      <c r="F70" s="5" t="s">
        <v>58</v>
      </c>
      <c r="G70" s="5" t="s">
        <v>59</v>
      </c>
      <c r="H70" s="5" t="s">
        <v>60</v>
      </c>
      <c r="I70" s="5" t="s">
        <v>61</v>
      </c>
      <c r="J70" s="5" t="s">
        <v>62</v>
      </c>
      <c r="K70" s="5" t="s">
        <v>63</v>
      </c>
      <c r="L70" s="5" t="s">
        <v>64</v>
      </c>
      <c r="M70" s="5" t="s">
        <v>65</v>
      </c>
      <c r="N70" s="5" t="s">
        <v>66</v>
      </c>
      <c r="O70" s="5" t="s">
        <v>91</v>
      </c>
      <c r="P70" s="5" t="s">
        <v>55</v>
      </c>
      <c r="Q70" s="5" t="s">
        <v>56</v>
      </c>
      <c r="R70" s="5" t="s">
        <v>57</v>
      </c>
      <c r="S70" s="5" t="s">
        <v>58</v>
      </c>
      <c r="T70" s="5" t="s">
        <v>59</v>
      </c>
      <c r="U70" s="5" t="s">
        <v>60</v>
      </c>
      <c r="V70" s="5" t="s">
        <v>61</v>
      </c>
      <c r="W70" s="5" t="s">
        <v>62</v>
      </c>
      <c r="X70" s="5" t="s">
        <v>63</v>
      </c>
      <c r="Y70" s="5" t="s">
        <v>64</v>
      </c>
      <c r="Z70" s="5" t="s">
        <v>65</v>
      </c>
      <c r="AA70" s="5" t="s">
        <v>66</v>
      </c>
      <c r="AB70" s="5" t="s">
        <v>92</v>
      </c>
      <c r="AC70" s="5" t="s">
        <v>55</v>
      </c>
      <c r="AD70" s="5" t="s">
        <v>56</v>
      </c>
      <c r="AE70" s="5" t="s">
        <v>57</v>
      </c>
      <c r="AF70" s="5" t="s">
        <v>58</v>
      </c>
      <c r="AG70" s="5" t="s">
        <v>59</v>
      </c>
      <c r="AH70" s="5" t="s">
        <v>60</v>
      </c>
      <c r="AI70" s="5" t="s">
        <v>61</v>
      </c>
      <c r="AJ70" s="5" t="s">
        <v>62</v>
      </c>
      <c r="AK70" s="5" t="s">
        <v>63</v>
      </c>
      <c r="AL70" s="5" t="s">
        <v>64</v>
      </c>
      <c r="AM70" s="5" t="s">
        <v>65</v>
      </c>
      <c r="AN70" s="5" t="s">
        <v>66</v>
      </c>
      <c r="AO70" s="5" t="s">
        <v>93</v>
      </c>
      <c r="AP70" s="5" t="s">
        <v>55</v>
      </c>
      <c r="AQ70" s="5" t="s">
        <v>56</v>
      </c>
      <c r="AR70" s="5" t="s">
        <v>57</v>
      </c>
      <c r="AS70" s="5" t="s">
        <v>58</v>
      </c>
      <c r="AT70" s="5" t="s">
        <v>59</v>
      </c>
      <c r="AU70" s="5" t="s">
        <v>60</v>
      </c>
      <c r="AV70" s="5" t="s">
        <v>61</v>
      </c>
      <c r="AW70" s="5" t="s">
        <v>62</v>
      </c>
      <c r="AX70" s="5" t="s">
        <v>63</v>
      </c>
      <c r="AY70" s="5" t="s">
        <v>64</v>
      </c>
      <c r="AZ70" s="5" t="s">
        <v>65</v>
      </c>
      <c r="BA70" s="5" t="s">
        <v>66</v>
      </c>
      <c r="BB70" s="5" t="s">
        <v>94</v>
      </c>
      <c r="BC70" s="5" t="s">
        <v>55</v>
      </c>
      <c r="BD70" s="5" t="s">
        <v>56</v>
      </c>
      <c r="BE70" s="5" t="s">
        <v>57</v>
      </c>
      <c r="BF70" s="5" t="s">
        <v>58</v>
      </c>
      <c r="BG70" s="5" t="s">
        <v>59</v>
      </c>
      <c r="BH70" s="5" t="s">
        <v>60</v>
      </c>
      <c r="BI70" s="5" t="s">
        <v>61</v>
      </c>
      <c r="BJ70" s="5" t="s">
        <v>62</v>
      </c>
      <c r="BK70" s="5" t="s">
        <v>63</v>
      </c>
      <c r="BL70" s="5" t="s">
        <v>64</v>
      </c>
      <c r="BM70" s="5" t="s">
        <v>65</v>
      </c>
      <c r="BN70" s="5" t="s">
        <v>66</v>
      </c>
      <c r="BO70" s="5" t="s">
        <v>95</v>
      </c>
      <c r="BP70" s="5" t="s">
        <v>55</v>
      </c>
      <c r="BQ70" s="5" t="s">
        <v>56</v>
      </c>
      <c r="BR70" s="5" t="s">
        <v>57</v>
      </c>
      <c r="BS70" s="5" t="s">
        <v>58</v>
      </c>
      <c r="BT70" s="5" t="s">
        <v>59</v>
      </c>
      <c r="BU70" s="5" t="s">
        <v>60</v>
      </c>
      <c r="BV70" s="5" t="s">
        <v>61</v>
      </c>
      <c r="BW70" s="5" t="s">
        <v>62</v>
      </c>
      <c r="BX70" s="5" t="s">
        <v>63</v>
      </c>
      <c r="BY70" s="5" t="s">
        <v>64</v>
      </c>
      <c r="BZ70" s="5" t="s">
        <v>65</v>
      </c>
      <c r="CA70" s="5" t="s">
        <v>66</v>
      </c>
      <c r="CB70" s="5" t="s">
        <v>96</v>
      </c>
      <c r="CC70" s="5" t="s">
        <v>55</v>
      </c>
      <c r="CD70" s="5" t="s">
        <v>56</v>
      </c>
      <c r="CE70" s="5" t="s">
        <v>57</v>
      </c>
      <c r="CF70" s="5" t="s">
        <v>58</v>
      </c>
      <c r="CG70" s="5" t="s">
        <v>59</v>
      </c>
      <c r="CH70" s="5" t="s">
        <v>60</v>
      </c>
      <c r="CI70" s="5" t="s">
        <v>61</v>
      </c>
      <c r="CJ70" s="5" t="s">
        <v>62</v>
      </c>
      <c r="CK70" s="5" t="s">
        <v>63</v>
      </c>
      <c r="CL70" s="5" t="s">
        <v>64</v>
      </c>
      <c r="CM70" s="5" t="s">
        <v>65</v>
      </c>
      <c r="CN70" s="5" t="s">
        <v>66</v>
      </c>
      <c r="CO70" s="5" t="s">
        <v>97</v>
      </c>
      <c r="CP70" s="5" t="s">
        <v>55</v>
      </c>
      <c r="CQ70" s="5" t="s">
        <v>56</v>
      </c>
      <c r="CR70" s="5" t="s">
        <v>57</v>
      </c>
      <c r="CS70" s="5" t="s">
        <v>58</v>
      </c>
      <c r="CT70" s="5" t="s">
        <v>59</v>
      </c>
      <c r="CU70" s="5" t="s">
        <v>60</v>
      </c>
      <c r="CV70" s="5" t="s">
        <v>61</v>
      </c>
      <c r="CW70" s="5" t="s">
        <v>62</v>
      </c>
      <c r="CX70" s="5" t="s">
        <v>63</v>
      </c>
      <c r="CY70" s="5" t="s">
        <v>64</v>
      </c>
      <c r="CZ70" s="5" t="s">
        <v>65</v>
      </c>
      <c r="DA70" s="5" t="s">
        <v>66</v>
      </c>
      <c r="DB70" s="5" t="s">
        <v>98</v>
      </c>
      <c r="DC70" s="5" t="s">
        <v>55</v>
      </c>
      <c r="DD70" s="5" t="s">
        <v>56</v>
      </c>
      <c r="DE70" s="5" t="s">
        <v>57</v>
      </c>
      <c r="DF70" s="5" t="s">
        <v>58</v>
      </c>
      <c r="DG70" s="5" t="s">
        <v>59</v>
      </c>
      <c r="DH70" s="5" t="s">
        <v>60</v>
      </c>
      <c r="DI70" s="5" t="s">
        <v>61</v>
      </c>
      <c r="DJ70" s="5" t="s">
        <v>62</v>
      </c>
      <c r="DK70" s="5" t="s">
        <v>63</v>
      </c>
      <c r="DL70" s="5" t="s">
        <v>64</v>
      </c>
      <c r="DM70" s="5" t="s">
        <v>65</v>
      </c>
      <c r="DN70" s="5" t="s">
        <v>66</v>
      </c>
      <c r="DO70" s="5" t="s">
        <v>99</v>
      </c>
      <c r="DP70" s="5" t="s">
        <v>55</v>
      </c>
      <c r="DQ70" s="5" t="s">
        <v>56</v>
      </c>
      <c r="DR70" s="5" t="s">
        <v>57</v>
      </c>
      <c r="DS70" s="5" t="s">
        <v>58</v>
      </c>
      <c r="DT70" s="5" t="s">
        <v>59</v>
      </c>
      <c r="DU70" s="5" t="s">
        <v>60</v>
      </c>
      <c r="DV70" s="5" t="s">
        <v>61</v>
      </c>
      <c r="DW70" s="5" t="s">
        <v>62</v>
      </c>
      <c r="DX70" s="5" t="s">
        <v>63</v>
      </c>
      <c r="DY70" s="5" t="s">
        <v>64</v>
      </c>
      <c r="DZ70" s="5" t="s">
        <v>65</v>
      </c>
      <c r="EA70" s="5" t="s">
        <v>66</v>
      </c>
      <c r="EB70" s="5" t="s">
        <v>100</v>
      </c>
      <c r="EC70" s="5" t="s">
        <v>55</v>
      </c>
      <c r="ED70" s="5" t="s">
        <v>56</v>
      </c>
      <c r="EE70" s="5" t="s">
        <v>57</v>
      </c>
      <c r="EF70" s="5" t="s">
        <v>58</v>
      </c>
      <c r="EG70" s="5" t="s">
        <v>59</v>
      </c>
      <c r="EH70" s="5" t="s">
        <v>60</v>
      </c>
      <c r="EI70" s="5" t="s">
        <v>61</v>
      </c>
      <c r="EJ70" s="5" t="s">
        <v>62</v>
      </c>
      <c r="EK70" s="5" t="s">
        <v>63</v>
      </c>
      <c r="EL70" s="5" t="s">
        <v>64</v>
      </c>
      <c r="EM70" s="5" t="s">
        <v>65</v>
      </c>
      <c r="EN70" s="5" t="s">
        <v>66</v>
      </c>
      <c r="EO70" s="5" t="s">
        <v>101</v>
      </c>
      <c r="EP70" s="5" t="s">
        <v>55</v>
      </c>
      <c r="EQ70" s="5" t="s">
        <v>56</v>
      </c>
      <c r="ER70" s="5" t="s">
        <v>57</v>
      </c>
      <c r="ES70" s="5" t="s">
        <v>58</v>
      </c>
      <c r="ET70" s="5" t="s">
        <v>59</v>
      </c>
      <c r="EU70" s="5" t="s">
        <v>60</v>
      </c>
      <c r="EV70" s="5" t="s">
        <v>61</v>
      </c>
      <c r="EW70" s="5" t="s">
        <v>62</v>
      </c>
      <c r="EX70" s="5" t="s">
        <v>63</v>
      </c>
      <c r="EY70" s="5" t="s">
        <v>64</v>
      </c>
      <c r="EZ70" s="5" t="s">
        <v>65</v>
      </c>
      <c r="FA70" s="5" t="s">
        <v>66</v>
      </c>
      <c r="FB70" s="5" t="s">
        <v>102</v>
      </c>
      <c r="FC70" s="5" t="s">
        <v>55</v>
      </c>
      <c r="FD70" s="5" t="s">
        <v>56</v>
      </c>
      <c r="FE70" s="5" t="s">
        <v>57</v>
      </c>
      <c r="FF70" s="5" t="s">
        <v>58</v>
      </c>
      <c r="FG70" s="5" t="s">
        <v>59</v>
      </c>
      <c r="FH70" s="5" t="s">
        <v>60</v>
      </c>
      <c r="FI70" s="5" t="s">
        <v>61</v>
      </c>
      <c r="FJ70" s="5" t="s">
        <v>62</v>
      </c>
      <c r="FK70" s="5" t="s">
        <v>63</v>
      </c>
      <c r="FL70" s="5" t="s">
        <v>64</v>
      </c>
      <c r="FM70" s="5" t="s">
        <v>65</v>
      </c>
      <c r="FN70" s="5" t="s">
        <v>66</v>
      </c>
      <c r="FO70" s="5" t="s">
        <v>103</v>
      </c>
    </row>
    <row r="71" spans="2:171" ht="28.05" customHeight="1" x14ac:dyDescent="0.3">
      <c r="B71" s="6" t="s">
        <v>46</v>
      </c>
      <c r="C71" s="7">
        <v>0</v>
      </c>
      <c r="D71" s="7">
        <v>3363</v>
      </c>
      <c r="E71" s="7">
        <v>89766</v>
      </c>
      <c r="F71" s="7">
        <v>177873</v>
      </c>
      <c r="G71" s="7">
        <v>347371</v>
      </c>
      <c r="H71" s="7">
        <v>768455</v>
      </c>
      <c r="I71" s="7">
        <v>1122871</v>
      </c>
      <c r="J71" s="7">
        <v>1568088</v>
      </c>
      <c r="K71" s="7">
        <v>2263223</v>
      </c>
      <c r="L71" s="7">
        <v>3127503</v>
      </c>
      <c r="M71" s="7">
        <v>3633055</v>
      </c>
      <c r="N71" s="7">
        <v>12762763</v>
      </c>
      <c r="O71" s="7">
        <f t="shared" ref="O71:O76" si="107">N71</f>
        <v>12762763</v>
      </c>
      <c r="P71" s="7">
        <v>0</v>
      </c>
      <c r="Q71" s="7">
        <v>2870</v>
      </c>
      <c r="R71" s="7">
        <v>6339</v>
      </c>
      <c r="S71" s="7">
        <v>61172</v>
      </c>
      <c r="T71" s="7">
        <v>711583</v>
      </c>
      <c r="U71" s="7">
        <v>1495390</v>
      </c>
      <c r="V71" s="7">
        <v>1891893</v>
      </c>
      <c r="W71" s="7">
        <v>5438346</v>
      </c>
      <c r="X71" s="7">
        <v>6548037</v>
      </c>
      <c r="Y71" s="7">
        <v>6819195</v>
      </c>
      <c r="Z71" s="7">
        <v>7620746</v>
      </c>
      <c r="AA71" s="7">
        <v>11724749</v>
      </c>
      <c r="AB71" s="7">
        <f t="shared" ref="AB71:AB76" si="108">AA71</f>
        <v>11724749</v>
      </c>
      <c r="AC71" s="7">
        <v>109</v>
      </c>
      <c r="AD71" s="7">
        <v>109</v>
      </c>
      <c r="AE71" s="7">
        <v>251411</v>
      </c>
      <c r="AF71" s="7">
        <v>311698</v>
      </c>
      <c r="AG71" s="7">
        <v>338921</v>
      </c>
      <c r="AH71" s="7">
        <v>351062</v>
      </c>
      <c r="AI71" s="7">
        <v>353892</v>
      </c>
      <c r="AJ71" s="7">
        <v>600284</v>
      </c>
      <c r="AK71" s="7">
        <v>745907</v>
      </c>
      <c r="AL71" s="7">
        <v>1013149</v>
      </c>
      <c r="AM71" s="7">
        <v>1394994</v>
      </c>
      <c r="AN71" s="7">
        <v>2658727</v>
      </c>
      <c r="AO71" s="7">
        <f t="shared" ref="AO71:AO76" si="109">AN71</f>
        <v>2658727</v>
      </c>
      <c r="AP71" s="7">
        <v>309</v>
      </c>
      <c r="AQ71" s="7">
        <v>845</v>
      </c>
      <c r="AR71" s="7">
        <v>11077</v>
      </c>
      <c r="AS71" s="7">
        <v>123120</v>
      </c>
      <c r="AT71" s="7">
        <v>196933</v>
      </c>
      <c r="AU71" s="7">
        <v>285370</v>
      </c>
      <c r="AV71" s="7">
        <v>547537</v>
      </c>
      <c r="AW71" s="7">
        <v>1009460</v>
      </c>
      <c r="AX71" s="7">
        <v>1211237</v>
      </c>
      <c r="AY71" s="7">
        <v>1293769</v>
      </c>
      <c r="AZ71" s="7">
        <v>1785704</v>
      </c>
      <c r="BA71" s="7">
        <v>14200656</v>
      </c>
      <c r="BB71" s="7">
        <f t="shared" ref="BB71:BB76" si="110">BA71</f>
        <v>14200656</v>
      </c>
      <c r="BC71" s="7">
        <v>0</v>
      </c>
      <c r="BD71" s="7">
        <v>0</v>
      </c>
      <c r="BE71" s="7">
        <v>724</v>
      </c>
      <c r="BF71" s="7">
        <v>1893231</v>
      </c>
      <c r="BG71" s="7">
        <v>2311385</v>
      </c>
      <c r="BH71" s="7">
        <v>4280160</v>
      </c>
      <c r="BI71" s="7">
        <v>4296433</v>
      </c>
      <c r="BJ71" s="7">
        <v>4363606</v>
      </c>
      <c r="BK71" s="7">
        <v>4486603</v>
      </c>
      <c r="BL71" s="7">
        <v>5980395</v>
      </c>
      <c r="BM71" s="7">
        <v>6124209</v>
      </c>
      <c r="BN71" s="7">
        <v>8256058</v>
      </c>
      <c r="BO71" s="7">
        <f t="shared" ref="BO71:BO76" si="111">BN71</f>
        <v>8256058</v>
      </c>
      <c r="BP71" s="7">
        <v>48</v>
      </c>
      <c r="BQ71" s="7">
        <v>1255</v>
      </c>
      <c r="BR71" s="7">
        <v>3121</v>
      </c>
      <c r="BS71" s="7">
        <v>11999</v>
      </c>
      <c r="BT71" s="7">
        <v>16209</v>
      </c>
      <c r="BU71" s="7">
        <v>43534</v>
      </c>
      <c r="BV71" s="7">
        <v>168962</v>
      </c>
      <c r="BW71" s="7">
        <v>238287</v>
      </c>
      <c r="BX71" s="7">
        <v>426172</v>
      </c>
      <c r="BY71" s="7">
        <v>469766</v>
      </c>
      <c r="BZ71" s="7">
        <v>1120608</v>
      </c>
      <c r="CA71" s="7">
        <v>6641118</v>
      </c>
      <c r="CB71" s="7">
        <f t="shared" ref="CB71:CB76" si="112">CA71</f>
        <v>6641118</v>
      </c>
      <c r="CC71" s="7">
        <v>0</v>
      </c>
      <c r="CD71" s="7">
        <v>585</v>
      </c>
      <c r="CE71" s="7">
        <v>52513</v>
      </c>
      <c r="CF71" s="7">
        <v>57523</v>
      </c>
      <c r="CG71" s="7">
        <v>76947</v>
      </c>
      <c r="CH71" s="7">
        <v>149037</v>
      </c>
      <c r="CI71" s="7">
        <v>167768</v>
      </c>
      <c r="CJ71" s="7">
        <v>176713</v>
      </c>
      <c r="CK71" s="7">
        <v>779715</v>
      </c>
      <c r="CL71" s="7">
        <v>783383</v>
      </c>
      <c r="CM71" s="7">
        <v>1097528</v>
      </c>
      <c r="CN71" s="7">
        <v>5843319</v>
      </c>
      <c r="CO71" s="7">
        <f t="shared" ref="CO71:CO76" si="113">CN71</f>
        <v>5843319</v>
      </c>
      <c r="CP71" s="7">
        <v>0</v>
      </c>
      <c r="CQ71" s="7">
        <v>425938</v>
      </c>
      <c r="CR71" s="7">
        <v>1462761</v>
      </c>
      <c r="CS71" s="7">
        <v>1465974</v>
      </c>
      <c r="CT71" s="7">
        <v>1481099</v>
      </c>
      <c r="CU71" s="7">
        <v>1512434</v>
      </c>
      <c r="CV71" s="7">
        <v>2183844</v>
      </c>
      <c r="CW71" s="7">
        <v>2347779</v>
      </c>
      <c r="CX71" s="7">
        <v>2386510</v>
      </c>
      <c r="CY71" s="7">
        <v>2529946</v>
      </c>
      <c r="CZ71" s="7">
        <v>3094655</v>
      </c>
      <c r="DA71" s="7">
        <v>4799532</v>
      </c>
      <c r="DB71" s="7">
        <f t="shared" ref="DB71:DB76" si="114">DA71</f>
        <v>4799532</v>
      </c>
      <c r="DC71" s="7">
        <v>0</v>
      </c>
      <c r="DD71" s="7">
        <v>0</v>
      </c>
      <c r="DE71" s="7">
        <v>0</v>
      </c>
      <c r="DF71" s="7">
        <v>0</v>
      </c>
      <c r="DG71" s="7">
        <v>109962</v>
      </c>
      <c r="DH71" s="7">
        <v>110961</v>
      </c>
      <c r="DI71" s="7">
        <v>111701</v>
      </c>
      <c r="DJ71" s="7">
        <v>117198</v>
      </c>
      <c r="DK71" s="7">
        <v>205350</v>
      </c>
      <c r="DL71" s="7">
        <v>218231</v>
      </c>
      <c r="DM71" s="7">
        <v>306659</v>
      </c>
      <c r="DN71" s="7">
        <v>8421395</v>
      </c>
      <c r="DO71" s="7">
        <f t="shared" ref="DO71:DO76" si="115">DN71</f>
        <v>8421395</v>
      </c>
      <c r="DP71" s="7">
        <v>0</v>
      </c>
      <c r="DQ71" s="7">
        <v>0</v>
      </c>
      <c r="DR71" s="7">
        <v>2948</v>
      </c>
      <c r="DS71" s="7">
        <v>4062</v>
      </c>
      <c r="DT71" s="7">
        <v>190131</v>
      </c>
      <c r="DU71" s="7">
        <v>222054</v>
      </c>
      <c r="DV71" s="7">
        <v>245430</v>
      </c>
      <c r="DW71" s="7">
        <v>275973</v>
      </c>
      <c r="DX71" s="7">
        <v>456665</v>
      </c>
      <c r="DY71" s="7">
        <v>720929</v>
      </c>
      <c r="DZ71" s="7">
        <v>963668</v>
      </c>
      <c r="EA71" s="7">
        <v>7135336</v>
      </c>
      <c r="EB71" s="7">
        <f t="shared" ref="EB71:EB76" si="116">EA71</f>
        <v>7135336</v>
      </c>
      <c r="EC71" s="7">
        <v>0</v>
      </c>
      <c r="ED71" s="7">
        <v>0</v>
      </c>
      <c r="EE71" s="7">
        <v>0</v>
      </c>
      <c r="EF71" s="7">
        <v>0</v>
      </c>
      <c r="EG71" s="7">
        <v>1714</v>
      </c>
      <c r="EH71" s="7">
        <v>3731</v>
      </c>
      <c r="EI71" s="7">
        <v>3731</v>
      </c>
      <c r="EJ71" s="7">
        <v>53443</v>
      </c>
      <c r="EK71" s="7">
        <v>187144</v>
      </c>
      <c r="EL71" s="7">
        <v>187248</v>
      </c>
      <c r="EM71" s="7">
        <v>221037</v>
      </c>
      <c r="EN71" s="7">
        <v>1123525</v>
      </c>
      <c r="EO71" s="7">
        <f t="shared" ref="EO71:EO76" si="117">EN71</f>
        <v>1123525</v>
      </c>
      <c r="EP71" s="7">
        <v>0</v>
      </c>
      <c r="EQ71" s="7">
        <v>0</v>
      </c>
      <c r="ER71" s="7">
        <v>0</v>
      </c>
      <c r="ES71" s="7">
        <v>3488</v>
      </c>
      <c r="ET71" s="7">
        <v>3488</v>
      </c>
      <c r="EU71" s="7">
        <v>6802</v>
      </c>
      <c r="EV71" s="7">
        <v>6802</v>
      </c>
      <c r="EW71" s="7">
        <v>205085</v>
      </c>
      <c r="EX71" s="7">
        <v>215026</v>
      </c>
      <c r="EY71" s="7">
        <v>319809</v>
      </c>
      <c r="EZ71" s="7">
        <v>541271</v>
      </c>
      <c r="FA71" s="7">
        <v>2174604</v>
      </c>
      <c r="FB71" s="7">
        <f t="shared" ref="FB71:FB76" si="118">FA71</f>
        <v>2174604</v>
      </c>
      <c r="FC71" s="7">
        <v>0</v>
      </c>
      <c r="FD71" s="7">
        <v>0</v>
      </c>
      <c r="FE71" s="7">
        <v>0</v>
      </c>
      <c r="FF71" s="7">
        <v>1547</v>
      </c>
      <c r="FG71" s="7">
        <v>1547</v>
      </c>
      <c r="FH71" s="7">
        <v>4001</v>
      </c>
      <c r="FI71" s="7">
        <v>4001</v>
      </c>
      <c r="FO71" s="7">
        <f t="shared" ref="FO71:FO76" si="119">FI71</f>
        <v>4001</v>
      </c>
    </row>
    <row r="72" spans="2:171" ht="28.05" customHeight="1" x14ac:dyDescent="0.3">
      <c r="B72" s="6" t="s">
        <v>47</v>
      </c>
      <c r="C72" s="7">
        <v>1034</v>
      </c>
      <c r="D72" s="7">
        <v>1034</v>
      </c>
      <c r="E72" s="7">
        <v>54953</v>
      </c>
      <c r="F72" s="7">
        <v>56185</v>
      </c>
      <c r="G72" s="7">
        <v>56766</v>
      </c>
      <c r="H72" s="7">
        <v>58287</v>
      </c>
      <c r="I72" s="7">
        <v>81035</v>
      </c>
      <c r="J72" s="7">
        <v>124589</v>
      </c>
      <c r="K72" s="7">
        <v>127877</v>
      </c>
      <c r="L72" s="7">
        <v>227166</v>
      </c>
      <c r="M72" s="7">
        <v>271989</v>
      </c>
      <c r="N72" s="7">
        <v>381174</v>
      </c>
      <c r="O72" s="7">
        <f t="shared" si="107"/>
        <v>381174</v>
      </c>
      <c r="P72" s="7">
        <v>0</v>
      </c>
      <c r="Q72" s="7">
        <v>600</v>
      </c>
      <c r="R72" s="7">
        <v>2848</v>
      </c>
      <c r="S72" s="7">
        <v>35886</v>
      </c>
      <c r="T72" s="7">
        <v>37141</v>
      </c>
      <c r="U72" s="7">
        <v>46047</v>
      </c>
      <c r="V72" s="7">
        <v>56945</v>
      </c>
      <c r="W72" s="7">
        <v>89534</v>
      </c>
      <c r="X72" s="7">
        <v>202171</v>
      </c>
      <c r="Y72" s="7">
        <v>217407</v>
      </c>
      <c r="Z72" s="7">
        <v>234284</v>
      </c>
      <c r="AA72" s="7">
        <v>362008</v>
      </c>
      <c r="AB72" s="7">
        <f t="shared" si="108"/>
        <v>362008</v>
      </c>
      <c r="AC72" s="7">
        <v>81</v>
      </c>
      <c r="AD72" s="7">
        <v>6200</v>
      </c>
      <c r="AE72" s="7">
        <v>42765</v>
      </c>
      <c r="AF72" s="7">
        <v>67427</v>
      </c>
      <c r="AG72" s="7">
        <v>221926</v>
      </c>
      <c r="AH72" s="7">
        <v>224260</v>
      </c>
      <c r="AI72" s="7">
        <v>226362</v>
      </c>
      <c r="AJ72" s="7">
        <v>229974</v>
      </c>
      <c r="AK72" s="7">
        <v>231250</v>
      </c>
      <c r="AL72" s="7">
        <v>232453</v>
      </c>
      <c r="AM72" s="7">
        <v>234657</v>
      </c>
      <c r="AN72" s="7">
        <v>257788</v>
      </c>
      <c r="AO72" s="7">
        <f t="shared" si="109"/>
        <v>257788</v>
      </c>
      <c r="AP72" s="7">
        <v>883</v>
      </c>
      <c r="AQ72" s="7">
        <v>883</v>
      </c>
      <c r="AR72" s="7">
        <v>883</v>
      </c>
      <c r="AS72" s="7">
        <v>883</v>
      </c>
      <c r="AT72" s="7">
        <v>1928</v>
      </c>
      <c r="AU72" s="7">
        <v>15652</v>
      </c>
      <c r="AV72" s="7">
        <v>23980</v>
      </c>
      <c r="AW72" s="7">
        <v>46130</v>
      </c>
      <c r="AX72" s="7">
        <v>130300</v>
      </c>
      <c r="AY72" s="7">
        <v>484366</v>
      </c>
      <c r="AZ72" s="7">
        <v>489621</v>
      </c>
      <c r="BA72" s="7">
        <v>521394</v>
      </c>
      <c r="BB72" s="7">
        <f t="shared" si="110"/>
        <v>521394</v>
      </c>
      <c r="BC72" s="7">
        <v>0</v>
      </c>
      <c r="BD72" s="7">
        <v>0</v>
      </c>
      <c r="BE72" s="7">
        <v>68075</v>
      </c>
      <c r="BF72" s="7">
        <v>70711</v>
      </c>
      <c r="BG72" s="7">
        <v>70737</v>
      </c>
      <c r="BH72" s="7">
        <v>71042</v>
      </c>
      <c r="BI72" s="7">
        <v>72990</v>
      </c>
      <c r="BJ72" s="7">
        <v>75523</v>
      </c>
      <c r="BK72" s="7">
        <v>76055</v>
      </c>
      <c r="BL72" s="7">
        <v>76160</v>
      </c>
      <c r="BM72" s="7">
        <v>82646</v>
      </c>
      <c r="BN72" s="7">
        <v>3222076</v>
      </c>
      <c r="BO72" s="7">
        <f t="shared" si="111"/>
        <v>3222076</v>
      </c>
      <c r="BP72" s="7">
        <v>0</v>
      </c>
      <c r="BQ72" s="7">
        <v>8598</v>
      </c>
      <c r="BR72" s="7">
        <v>8707</v>
      </c>
      <c r="BS72" s="7">
        <v>9293</v>
      </c>
      <c r="BT72" s="7">
        <v>18342</v>
      </c>
      <c r="BU72" s="7">
        <v>19070</v>
      </c>
      <c r="BV72" s="7">
        <v>23140</v>
      </c>
      <c r="BW72" s="7">
        <v>58242</v>
      </c>
      <c r="BX72" s="7">
        <v>74817</v>
      </c>
      <c r="BY72" s="7">
        <v>83298</v>
      </c>
      <c r="BZ72" s="7">
        <v>90462</v>
      </c>
      <c r="CA72" s="7">
        <v>735491</v>
      </c>
      <c r="CB72" s="7">
        <f t="shared" si="112"/>
        <v>735491</v>
      </c>
      <c r="CC72" s="7">
        <v>94</v>
      </c>
      <c r="CD72" s="7">
        <v>586</v>
      </c>
      <c r="CE72" s="7">
        <v>2824</v>
      </c>
      <c r="CF72" s="7">
        <v>2824</v>
      </c>
      <c r="CG72" s="7">
        <v>2903</v>
      </c>
      <c r="CH72" s="7">
        <v>4098</v>
      </c>
      <c r="CI72" s="7">
        <v>4690</v>
      </c>
      <c r="CJ72" s="7">
        <v>16234</v>
      </c>
      <c r="CK72" s="7">
        <v>16234</v>
      </c>
      <c r="CL72" s="7">
        <v>21529</v>
      </c>
      <c r="CM72" s="7">
        <v>21819</v>
      </c>
      <c r="CN72" s="7">
        <v>106457</v>
      </c>
      <c r="CO72" s="7">
        <f t="shared" si="113"/>
        <v>106457</v>
      </c>
      <c r="CP72" s="7">
        <v>0</v>
      </c>
      <c r="CQ72" s="7">
        <v>0</v>
      </c>
      <c r="CR72" s="7">
        <v>0</v>
      </c>
      <c r="CS72" s="7">
        <v>690</v>
      </c>
      <c r="CT72" s="7">
        <v>690</v>
      </c>
      <c r="CU72" s="7">
        <v>890</v>
      </c>
      <c r="CV72" s="7">
        <v>890</v>
      </c>
      <c r="CW72" s="7">
        <v>890</v>
      </c>
      <c r="CX72" s="7">
        <v>26583</v>
      </c>
      <c r="CY72" s="7">
        <v>37934</v>
      </c>
      <c r="CZ72" s="7">
        <v>117361</v>
      </c>
      <c r="DA72" s="7">
        <v>703694</v>
      </c>
      <c r="DB72" s="7">
        <f t="shared" si="114"/>
        <v>703694</v>
      </c>
      <c r="DC72" s="7">
        <v>0</v>
      </c>
      <c r="DD72" s="7">
        <v>0</v>
      </c>
      <c r="DE72" s="7">
        <v>397</v>
      </c>
      <c r="DF72" s="7">
        <v>397</v>
      </c>
      <c r="DG72" s="7">
        <v>892</v>
      </c>
      <c r="DH72" s="7">
        <v>20063</v>
      </c>
      <c r="DI72" s="7">
        <v>21996</v>
      </c>
      <c r="DJ72" s="7">
        <v>21996</v>
      </c>
      <c r="DK72" s="7">
        <v>75465</v>
      </c>
      <c r="DL72" s="7">
        <v>107933</v>
      </c>
      <c r="DM72" s="7">
        <v>907010</v>
      </c>
      <c r="DN72" s="7">
        <v>1149989</v>
      </c>
      <c r="DO72" s="7">
        <f t="shared" si="115"/>
        <v>1149989</v>
      </c>
      <c r="DP72" s="7">
        <v>0</v>
      </c>
      <c r="DQ72" s="7">
        <v>0</v>
      </c>
      <c r="DR72" s="7">
        <v>30519</v>
      </c>
      <c r="DS72" s="7">
        <v>34103</v>
      </c>
      <c r="DT72" s="7">
        <v>58501</v>
      </c>
      <c r="DU72" s="7">
        <v>58501</v>
      </c>
      <c r="DV72" s="7">
        <v>103636</v>
      </c>
      <c r="DW72" s="7">
        <v>103700</v>
      </c>
      <c r="DX72" s="7">
        <v>192664</v>
      </c>
      <c r="DY72" s="7">
        <v>195641</v>
      </c>
      <c r="DZ72" s="7">
        <v>499753</v>
      </c>
      <c r="EA72" s="7">
        <v>628857</v>
      </c>
      <c r="EB72" s="7">
        <f t="shared" si="116"/>
        <v>628857</v>
      </c>
      <c r="EC72" s="7">
        <v>0</v>
      </c>
      <c r="ED72" s="7">
        <v>0</v>
      </c>
      <c r="EE72" s="7">
        <v>563</v>
      </c>
      <c r="EF72" s="7">
        <v>2527</v>
      </c>
      <c r="EG72" s="7">
        <v>3420</v>
      </c>
      <c r="EH72" s="7">
        <v>355096</v>
      </c>
      <c r="EI72" s="7">
        <v>359380</v>
      </c>
      <c r="EJ72" s="7">
        <v>402900</v>
      </c>
      <c r="EK72" s="7">
        <v>466045</v>
      </c>
      <c r="EL72" s="7">
        <v>466045</v>
      </c>
      <c r="EM72" s="7">
        <v>466045</v>
      </c>
      <c r="EN72" s="7">
        <v>899916</v>
      </c>
      <c r="EO72" s="7">
        <f t="shared" si="117"/>
        <v>899916</v>
      </c>
      <c r="EP72" s="7">
        <v>0</v>
      </c>
      <c r="EQ72" s="7">
        <v>0</v>
      </c>
      <c r="ER72" s="7">
        <v>0</v>
      </c>
      <c r="ES72" s="7">
        <v>2009</v>
      </c>
      <c r="ET72" s="7">
        <v>37835</v>
      </c>
      <c r="EU72" s="7">
        <v>73615</v>
      </c>
      <c r="EV72" s="7">
        <v>253012</v>
      </c>
      <c r="EW72" s="7">
        <v>572413</v>
      </c>
      <c r="EX72" s="7">
        <v>586562</v>
      </c>
      <c r="EY72" s="7">
        <v>603974</v>
      </c>
      <c r="EZ72" s="7">
        <v>818043</v>
      </c>
      <c r="FA72" s="7">
        <v>963962</v>
      </c>
      <c r="FB72" s="7">
        <f t="shared" si="118"/>
        <v>963962</v>
      </c>
      <c r="FC72" s="7">
        <v>0</v>
      </c>
      <c r="FD72" s="7">
        <v>0</v>
      </c>
      <c r="FE72" s="7">
        <v>0</v>
      </c>
      <c r="FF72" s="7">
        <v>1508</v>
      </c>
      <c r="FG72" s="7">
        <v>129364</v>
      </c>
      <c r="FH72" s="7">
        <v>434033</v>
      </c>
      <c r="FI72" s="7">
        <v>452929</v>
      </c>
      <c r="FO72" s="7">
        <f t="shared" si="119"/>
        <v>452929</v>
      </c>
    </row>
    <row r="73" spans="2:171" ht="28.05" customHeight="1" x14ac:dyDescent="0.3">
      <c r="B73" s="6" t="s">
        <v>48</v>
      </c>
      <c r="C73" s="7">
        <v>0</v>
      </c>
      <c r="D73" s="7">
        <v>0</v>
      </c>
      <c r="E73" s="7">
        <v>0</v>
      </c>
      <c r="F73" s="7">
        <v>158</v>
      </c>
      <c r="G73" s="7">
        <v>158</v>
      </c>
      <c r="H73" s="7">
        <v>2851</v>
      </c>
      <c r="I73" s="7">
        <v>3091</v>
      </c>
      <c r="J73" s="7">
        <v>4209</v>
      </c>
      <c r="K73" s="7">
        <v>4548</v>
      </c>
      <c r="L73" s="7">
        <v>19543</v>
      </c>
      <c r="M73" s="7">
        <v>20114</v>
      </c>
      <c r="N73" s="7">
        <v>39562</v>
      </c>
      <c r="O73" s="7">
        <f t="shared" si="107"/>
        <v>39562</v>
      </c>
      <c r="P73" s="7">
        <v>0</v>
      </c>
      <c r="Q73" s="7">
        <v>0</v>
      </c>
      <c r="R73" s="7">
        <v>0</v>
      </c>
      <c r="S73" s="7">
        <v>0</v>
      </c>
      <c r="T73" s="7">
        <v>50</v>
      </c>
      <c r="U73" s="7">
        <v>219</v>
      </c>
      <c r="V73" s="7">
        <v>3752</v>
      </c>
      <c r="W73" s="7">
        <v>4034</v>
      </c>
      <c r="X73" s="7">
        <v>15970</v>
      </c>
      <c r="Y73" s="7">
        <v>48323</v>
      </c>
      <c r="Z73" s="7">
        <v>48523</v>
      </c>
      <c r="AA73" s="7">
        <v>78328</v>
      </c>
      <c r="AB73" s="7">
        <f t="shared" si="108"/>
        <v>78328</v>
      </c>
      <c r="AC73" s="7">
        <v>0</v>
      </c>
      <c r="AD73" s="7">
        <v>0</v>
      </c>
      <c r="AE73" s="7">
        <v>18172</v>
      </c>
      <c r="AF73" s="7">
        <v>18172</v>
      </c>
      <c r="AG73" s="7">
        <v>18909</v>
      </c>
      <c r="AH73" s="7">
        <v>33441</v>
      </c>
      <c r="AI73" s="7">
        <v>47973</v>
      </c>
      <c r="AJ73" s="7">
        <v>47973</v>
      </c>
      <c r="AK73" s="7">
        <v>47973</v>
      </c>
      <c r="AL73" s="7">
        <v>47973</v>
      </c>
      <c r="AM73" s="7">
        <v>47973</v>
      </c>
      <c r="AN73" s="7">
        <v>62859</v>
      </c>
      <c r="AO73" s="7">
        <f t="shared" si="109"/>
        <v>62859</v>
      </c>
      <c r="AP73" s="7">
        <v>0</v>
      </c>
      <c r="AQ73" s="7">
        <v>0</v>
      </c>
      <c r="AR73" s="7">
        <v>0</v>
      </c>
      <c r="AS73" s="7">
        <v>4582</v>
      </c>
      <c r="AT73" s="7">
        <v>4582</v>
      </c>
      <c r="AU73" s="7">
        <v>4910</v>
      </c>
      <c r="AV73" s="7">
        <v>4910</v>
      </c>
      <c r="AW73" s="7">
        <v>19278</v>
      </c>
      <c r="AX73" s="7">
        <v>39213</v>
      </c>
      <c r="AY73" s="7">
        <v>40363</v>
      </c>
      <c r="AZ73" s="7">
        <v>43648</v>
      </c>
      <c r="BA73" s="7">
        <v>48831</v>
      </c>
      <c r="BB73" s="7">
        <f t="shared" si="110"/>
        <v>48831</v>
      </c>
      <c r="BC73" s="7">
        <v>0</v>
      </c>
      <c r="BD73" s="7">
        <v>0</v>
      </c>
      <c r="BE73" s="7">
        <v>192566</v>
      </c>
      <c r="BF73" s="7">
        <v>338581</v>
      </c>
      <c r="BG73" s="7">
        <v>338766</v>
      </c>
      <c r="BH73" s="7">
        <v>338897</v>
      </c>
      <c r="BI73" s="7">
        <v>339144</v>
      </c>
      <c r="BJ73" s="7">
        <v>340166</v>
      </c>
      <c r="BK73" s="7">
        <v>352012</v>
      </c>
      <c r="BL73" s="7">
        <v>354410</v>
      </c>
      <c r="BM73" s="7">
        <v>359566</v>
      </c>
      <c r="BN73" s="7">
        <v>371308</v>
      </c>
      <c r="BO73" s="7">
        <f t="shared" si="111"/>
        <v>371308</v>
      </c>
      <c r="BP73" s="7">
        <v>0</v>
      </c>
      <c r="BQ73" s="7">
        <v>0</v>
      </c>
      <c r="BR73" s="7">
        <v>6370</v>
      </c>
      <c r="BS73" s="7">
        <v>28886</v>
      </c>
      <c r="BT73" s="7">
        <v>28886</v>
      </c>
      <c r="BU73" s="7">
        <v>32938</v>
      </c>
      <c r="BV73" s="7">
        <v>33031</v>
      </c>
      <c r="BW73" s="7">
        <v>113263</v>
      </c>
      <c r="BX73" s="7">
        <v>129421</v>
      </c>
      <c r="BY73" s="7">
        <v>134520</v>
      </c>
      <c r="BZ73" s="7">
        <v>152937</v>
      </c>
      <c r="CA73" s="7">
        <v>176605</v>
      </c>
      <c r="CB73" s="7">
        <f t="shared" si="112"/>
        <v>176605</v>
      </c>
      <c r="CC73" s="7">
        <v>0</v>
      </c>
      <c r="CD73" s="7">
        <v>96</v>
      </c>
      <c r="CE73" s="7">
        <v>5191</v>
      </c>
      <c r="CF73" s="7">
        <v>5191</v>
      </c>
      <c r="CG73" s="7">
        <v>5191</v>
      </c>
      <c r="CH73" s="7">
        <v>6386</v>
      </c>
      <c r="CI73" s="7">
        <v>6923</v>
      </c>
      <c r="CJ73" s="7">
        <v>22582</v>
      </c>
      <c r="CK73" s="7">
        <v>33560</v>
      </c>
      <c r="CL73" s="7">
        <v>46486</v>
      </c>
      <c r="CM73" s="7">
        <v>49066</v>
      </c>
      <c r="CN73" s="7">
        <v>172891</v>
      </c>
      <c r="CO73" s="7">
        <f t="shared" si="113"/>
        <v>172891</v>
      </c>
      <c r="CP73" s="7">
        <v>0</v>
      </c>
      <c r="CQ73" s="7">
        <v>0</v>
      </c>
      <c r="CR73" s="7">
        <v>8167</v>
      </c>
      <c r="CS73" s="7">
        <v>8833</v>
      </c>
      <c r="CT73" s="7">
        <v>8833</v>
      </c>
      <c r="CU73" s="7">
        <v>8833</v>
      </c>
      <c r="CV73" s="7">
        <v>8833</v>
      </c>
      <c r="CW73" s="7">
        <v>12555</v>
      </c>
      <c r="CX73" s="7">
        <v>61123</v>
      </c>
      <c r="CY73" s="7">
        <v>70203</v>
      </c>
      <c r="CZ73" s="7">
        <v>155639</v>
      </c>
      <c r="DA73" s="7">
        <v>160231</v>
      </c>
      <c r="DB73" s="7">
        <f t="shared" si="114"/>
        <v>160231</v>
      </c>
      <c r="DC73" s="7">
        <v>0</v>
      </c>
      <c r="DD73" s="7">
        <v>0</v>
      </c>
      <c r="DE73" s="7">
        <v>0</v>
      </c>
      <c r="DF73" s="7">
        <v>0</v>
      </c>
      <c r="DG73" s="7">
        <v>0</v>
      </c>
      <c r="DH73" s="7">
        <v>10407</v>
      </c>
      <c r="DI73" s="7">
        <v>16277</v>
      </c>
      <c r="DJ73" s="7">
        <v>16277</v>
      </c>
      <c r="DK73" s="7">
        <v>101440</v>
      </c>
      <c r="DL73" s="7">
        <v>232681</v>
      </c>
      <c r="DM73" s="7">
        <v>571170</v>
      </c>
      <c r="DN73" s="7">
        <v>709579</v>
      </c>
      <c r="DO73" s="7">
        <f t="shared" si="115"/>
        <v>709579</v>
      </c>
      <c r="DP73" s="7">
        <v>20554</v>
      </c>
      <c r="DQ73" s="7">
        <v>20554</v>
      </c>
      <c r="DR73" s="7">
        <v>20857</v>
      </c>
      <c r="DS73" s="7">
        <v>41459</v>
      </c>
      <c r="DT73" s="7">
        <v>41551</v>
      </c>
      <c r="DU73" s="7">
        <v>41551</v>
      </c>
      <c r="DV73" s="7">
        <v>163019</v>
      </c>
      <c r="DW73" s="7">
        <v>163019</v>
      </c>
      <c r="DX73" s="7">
        <v>209557</v>
      </c>
      <c r="DY73" s="7">
        <v>209557</v>
      </c>
      <c r="DZ73" s="7">
        <v>236874</v>
      </c>
      <c r="EA73" s="7">
        <v>366748</v>
      </c>
      <c r="EB73" s="7">
        <f t="shared" si="116"/>
        <v>366748</v>
      </c>
      <c r="EC73" s="7">
        <v>10076</v>
      </c>
      <c r="ED73" s="7">
        <v>10269</v>
      </c>
      <c r="EE73" s="7">
        <v>10269</v>
      </c>
      <c r="EF73" s="7">
        <v>10269</v>
      </c>
      <c r="EG73" s="7">
        <v>13954</v>
      </c>
      <c r="EH73" s="7">
        <v>337449</v>
      </c>
      <c r="EI73" s="7">
        <v>337449</v>
      </c>
      <c r="EJ73" s="7">
        <v>444295</v>
      </c>
      <c r="EK73" s="7">
        <v>461458</v>
      </c>
      <c r="EL73" s="7">
        <v>470252</v>
      </c>
      <c r="EM73" s="7">
        <v>470252</v>
      </c>
      <c r="EN73" s="7">
        <v>612897</v>
      </c>
      <c r="EO73" s="7">
        <f t="shared" si="117"/>
        <v>612897</v>
      </c>
      <c r="EP73" s="7">
        <v>0</v>
      </c>
      <c r="EQ73" s="7">
        <v>160</v>
      </c>
      <c r="ER73" s="7">
        <v>160</v>
      </c>
      <c r="ES73" s="7">
        <v>160</v>
      </c>
      <c r="ET73" s="7">
        <v>4515</v>
      </c>
      <c r="EU73" s="7">
        <v>13374</v>
      </c>
      <c r="EV73" s="7">
        <v>133195</v>
      </c>
      <c r="EW73" s="7">
        <v>499807</v>
      </c>
      <c r="EX73" s="7">
        <v>541550</v>
      </c>
      <c r="EY73" s="7">
        <v>568299</v>
      </c>
      <c r="EZ73" s="7">
        <v>873723</v>
      </c>
      <c r="FA73" s="7">
        <v>1203592</v>
      </c>
      <c r="FB73" s="7">
        <f t="shared" si="118"/>
        <v>1203592</v>
      </c>
      <c r="FC73" s="7">
        <v>0</v>
      </c>
      <c r="FD73" s="7">
        <v>0</v>
      </c>
      <c r="FE73" s="7">
        <v>0</v>
      </c>
      <c r="FF73" s="7">
        <v>13239</v>
      </c>
      <c r="FG73" s="7">
        <v>126731</v>
      </c>
      <c r="FH73" s="7">
        <v>371354</v>
      </c>
      <c r="FI73" s="7">
        <v>409008</v>
      </c>
      <c r="FO73" s="7">
        <f t="shared" si="119"/>
        <v>409008</v>
      </c>
    </row>
    <row r="74" spans="2:171" ht="28.05" customHeight="1" x14ac:dyDescent="0.3">
      <c r="B74" s="6" t="s">
        <v>49</v>
      </c>
      <c r="C74" s="7">
        <v>28</v>
      </c>
      <c r="D74" s="7">
        <v>1653</v>
      </c>
      <c r="E74" s="7">
        <v>2688</v>
      </c>
      <c r="F74" s="7">
        <v>4655</v>
      </c>
      <c r="G74" s="7">
        <v>12025</v>
      </c>
      <c r="H74" s="7">
        <v>62826</v>
      </c>
      <c r="I74" s="7">
        <v>63775</v>
      </c>
      <c r="J74" s="7">
        <v>95480</v>
      </c>
      <c r="K74" s="7">
        <v>126024</v>
      </c>
      <c r="L74" s="7">
        <v>127041</v>
      </c>
      <c r="M74" s="7">
        <v>138557</v>
      </c>
      <c r="N74" s="7">
        <v>164578</v>
      </c>
      <c r="O74" s="7">
        <f t="shared" si="107"/>
        <v>164578</v>
      </c>
      <c r="P74" s="7">
        <v>0</v>
      </c>
      <c r="Q74" s="7">
        <v>0</v>
      </c>
      <c r="R74" s="7">
        <v>8688</v>
      </c>
      <c r="S74" s="7">
        <v>76594</v>
      </c>
      <c r="T74" s="7">
        <v>147628</v>
      </c>
      <c r="U74" s="7">
        <v>148375</v>
      </c>
      <c r="V74" s="7">
        <v>148375</v>
      </c>
      <c r="W74" s="7">
        <v>180831</v>
      </c>
      <c r="X74" s="7">
        <v>299063</v>
      </c>
      <c r="Y74" s="7">
        <v>831232</v>
      </c>
      <c r="Z74" s="7">
        <v>841681</v>
      </c>
      <c r="AA74" s="7">
        <v>1887067</v>
      </c>
      <c r="AB74" s="7">
        <f t="shared" si="108"/>
        <v>1887067</v>
      </c>
      <c r="AC74" s="7">
        <v>0</v>
      </c>
      <c r="AD74" s="7">
        <v>0</v>
      </c>
      <c r="AE74" s="7">
        <v>3725</v>
      </c>
      <c r="AF74" s="7">
        <v>21787</v>
      </c>
      <c r="AG74" s="7">
        <v>600528</v>
      </c>
      <c r="AH74" s="7">
        <v>600638</v>
      </c>
      <c r="AI74" s="7">
        <v>1677304</v>
      </c>
      <c r="AJ74" s="7">
        <v>2766835</v>
      </c>
      <c r="AK74" s="7">
        <v>3300940</v>
      </c>
      <c r="AL74" s="7">
        <v>4100106</v>
      </c>
      <c r="AM74" s="7">
        <v>4283586</v>
      </c>
      <c r="AN74" s="7">
        <v>4478644</v>
      </c>
      <c r="AO74" s="7">
        <f t="shared" si="109"/>
        <v>4478644</v>
      </c>
      <c r="AP74" s="7">
        <v>42</v>
      </c>
      <c r="AQ74" s="7">
        <v>799133</v>
      </c>
      <c r="AR74" s="7">
        <v>799559</v>
      </c>
      <c r="AS74" s="7">
        <v>815806</v>
      </c>
      <c r="AT74" s="7">
        <v>928261</v>
      </c>
      <c r="AU74" s="7">
        <v>932834</v>
      </c>
      <c r="AV74" s="7">
        <v>949476</v>
      </c>
      <c r="AW74" s="7">
        <v>1550892</v>
      </c>
      <c r="AX74" s="7">
        <v>2352528</v>
      </c>
      <c r="AY74" s="7">
        <v>2352966</v>
      </c>
      <c r="AZ74" s="7">
        <v>3418204</v>
      </c>
      <c r="BA74" s="7">
        <v>3716927</v>
      </c>
      <c r="BB74" s="7">
        <f t="shared" si="110"/>
        <v>3716927</v>
      </c>
      <c r="BC74" s="7">
        <v>0</v>
      </c>
      <c r="BD74" s="7">
        <v>1961</v>
      </c>
      <c r="BE74" s="7">
        <v>3246</v>
      </c>
      <c r="BF74" s="7">
        <v>3246</v>
      </c>
      <c r="BG74" s="7">
        <v>5694</v>
      </c>
      <c r="BH74" s="7">
        <v>28528</v>
      </c>
      <c r="BI74" s="7">
        <v>41565</v>
      </c>
      <c r="BJ74" s="7">
        <v>41622</v>
      </c>
      <c r="BK74" s="7">
        <v>41622</v>
      </c>
      <c r="BL74" s="7">
        <v>42767</v>
      </c>
      <c r="BM74" s="7">
        <v>83821</v>
      </c>
      <c r="BN74" s="7">
        <v>330448</v>
      </c>
      <c r="BO74" s="7">
        <f t="shared" si="111"/>
        <v>330448</v>
      </c>
      <c r="BP74" s="7">
        <v>29</v>
      </c>
      <c r="BQ74" s="7">
        <v>29</v>
      </c>
      <c r="BR74" s="7">
        <v>29</v>
      </c>
      <c r="BS74" s="7">
        <v>116</v>
      </c>
      <c r="BT74" s="7">
        <v>208</v>
      </c>
      <c r="BU74" s="7">
        <v>399</v>
      </c>
      <c r="BV74" s="7">
        <v>399</v>
      </c>
      <c r="BW74" s="7">
        <v>399</v>
      </c>
      <c r="BX74" s="7">
        <v>1919</v>
      </c>
      <c r="BY74" s="7">
        <v>3160</v>
      </c>
      <c r="BZ74" s="7">
        <v>299768</v>
      </c>
      <c r="CA74" s="7">
        <v>863900</v>
      </c>
      <c r="CB74" s="7">
        <f t="shared" si="112"/>
        <v>863900</v>
      </c>
      <c r="CC74" s="7">
        <v>0</v>
      </c>
      <c r="CD74" s="7">
        <v>176042</v>
      </c>
      <c r="CE74" s="7">
        <v>176719</v>
      </c>
      <c r="CF74" s="7">
        <v>176794</v>
      </c>
      <c r="CG74" s="7">
        <v>441735</v>
      </c>
      <c r="CH74" s="7">
        <v>442125</v>
      </c>
      <c r="CI74" s="7">
        <v>443658</v>
      </c>
      <c r="CJ74" s="7">
        <v>735258</v>
      </c>
      <c r="CK74" s="7">
        <v>735258</v>
      </c>
      <c r="CL74" s="7">
        <v>1044245</v>
      </c>
      <c r="CM74" s="7">
        <v>1483899</v>
      </c>
      <c r="CN74" s="7">
        <v>1947994</v>
      </c>
      <c r="CO74" s="7">
        <f t="shared" si="113"/>
        <v>1947994</v>
      </c>
      <c r="CP74" s="7">
        <v>0</v>
      </c>
      <c r="CQ74" s="7">
        <v>20</v>
      </c>
      <c r="CR74" s="7">
        <v>20</v>
      </c>
      <c r="CS74" s="7">
        <v>40</v>
      </c>
      <c r="CT74" s="7">
        <v>40</v>
      </c>
      <c r="CU74" s="7">
        <v>263823</v>
      </c>
      <c r="CV74" s="7">
        <v>439678</v>
      </c>
      <c r="CW74" s="7">
        <v>439678</v>
      </c>
      <c r="CX74" s="7">
        <v>444855</v>
      </c>
      <c r="CY74" s="7">
        <v>444855</v>
      </c>
      <c r="CZ74" s="7">
        <v>458920</v>
      </c>
      <c r="DA74" s="7">
        <v>485917</v>
      </c>
      <c r="DB74" s="7">
        <f t="shared" si="114"/>
        <v>485917</v>
      </c>
      <c r="DC74" s="7">
        <v>0</v>
      </c>
      <c r="DD74" s="7">
        <v>0</v>
      </c>
      <c r="DE74" s="7">
        <v>0</v>
      </c>
      <c r="DF74" s="7">
        <v>22</v>
      </c>
      <c r="DG74" s="7">
        <v>22</v>
      </c>
      <c r="DH74" s="7">
        <v>22</v>
      </c>
      <c r="DI74" s="7">
        <v>22</v>
      </c>
      <c r="DJ74" s="7">
        <v>22</v>
      </c>
      <c r="DK74" s="7">
        <v>21191</v>
      </c>
      <c r="DL74" s="7">
        <v>82685</v>
      </c>
      <c r="DM74" s="7">
        <v>447234</v>
      </c>
      <c r="DN74" s="7">
        <v>865046</v>
      </c>
      <c r="DO74" s="7">
        <f t="shared" si="115"/>
        <v>865046</v>
      </c>
      <c r="DP74" s="7">
        <v>0</v>
      </c>
      <c r="DQ74" s="7">
        <v>6359</v>
      </c>
      <c r="DR74" s="7">
        <v>7689</v>
      </c>
      <c r="DS74" s="7">
        <v>49168</v>
      </c>
      <c r="DT74" s="7">
        <v>90437</v>
      </c>
      <c r="DU74" s="7">
        <v>151090</v>
      </c>
      <c r="DV74" s="7">
        <v>151090</v>
      </c>
      <c r="DW74" s="7">
        <v>152637</v>
      </c>
      <c r="DX74" s="7">
        <v>367133</v>
      </c>
      <c r="DY74" s="7">
        <v>367430</v>
      </c>
      <c r="DZ74" s="7">
        <v>409162</v>
      </c>
      <c r="EA74" s="7">
        <v>620613</v>
      </c>
      <c r="EB74" s="7">
        <f t="shared" si="116"/>
        <v>620613</v>
      </c>
      <c r="EC74" s="7">
        <v>0</v>
      </c>
      <c r="ED74" s="7">
        <v>0</v>
      </c>
      <c r="EE74" s="7">
        <v>0</v>
      </c>
      <c r="EF74" s="7">
        <v>1891</v>
      </c>
      <c r="EG74" s="7">
        <v>25269</v>
      </c>
      <c r="EH74" s="7">
        <v>68307</v>
      </c>
      <c r="EI74" s="7">
        <v>92369</v>
      </c>
      <c r="EJ74" s="7">
        <v>255657</v>
      </c>
      <c r="EK74" s="7">
        <v>297429</v>
      </c>
      <c r="EL74" s="7">
        <v>650218</v>
      </c>
      <c r="EM74" s="7">
        <v>722119</v>
      </c>
      <c r="EN74" s="7">
        <v>1508486</v>
      </c>
      <c r="EO74" s="7">
        <f t="shared" si="117"/>
        <v>1508486</v>
      </c>
      <c r="EP74" s="7">
        <v>0</v>
      </c>
      <c r="EQ74" s="7">
        <v>0</v>
      </c>
      <c r="ER74" s="7">
        <v>0</v>
      </c>
      <c r="ES74" s="7">
        <v>5944</v>
      </c>
      <c r="ET74" s="7">
        <v>41309</v>
      </c>
      <c r="EU74" s="7">
        <v>91749</v>
      </c>
      <c r="EV74" s="7">
        <v>93532</v>
      </c>
      <c r="EW74" s="7">
        <v>93532</v>
      </c>
      <c r="EX74" s="7">
        <v>96960</v>
      </c>
      <c r="EY74" s="7">
        <v>112867</v>
      </c>
      <c r="EZ74" s="7">
        <v>143043</v>
      </c>
      <c r="FA74" s="7">
        <v>248096</v>
      </c>
      <c r="FB74" s="7">
        <f t="shared" si="118"/>
        <v>248096</v>
      </c>
      <c r="FC74" s="7">
        <v>70510</v>
      </c>
      <c r="FD74" s="7">
        <v>70510</v>
      </c>
      <c r="FE74" s="7">
        <v>77071</v>
      </c>
      <c r="FF74" s="7">
        <v>91088</v>
      </c>
      <c r="FG74" s="7">
        <v>155966</v>
      </c>
      <c r="FH74" s="7">
        <v>155966</v>
      </c>
      <c r="FI74" s="7">
        <v>161164</v>
      </c>
      <c r="FO74" s="7">
        <f t="shared" si="119"/>
        <v>161164</v>
      </c>
    </row>
    <row r="75" spans="2:171" ht="28.05" customHeight="1" x14ac:dyDescent="0.3">
      <c r="B75" s="6" t="s">
        <v>50</v>
      </c>
      <c r="C75" s="7">
        <v>169</v>
      </c>
      <c r="D75" s="7">
        <v>435</v>
      </c>
      <c r="E75" s="7">
        <v>39580</v>
      </c>
      <c r="F75" s="7">
        <v>54505</v>
      </c>
      <c r="G75" s="7">
        <v>56186</v>
      </c>
      <c r="H75" s="7">
        <v>57808</v>
      </c>
      <c r="I75" s="7">
        <v>69634</v>
      </c>
      <c r="J75" s="7">
        <v>114793</v>
      </c>
      <c r="K75" s="7">
        <v>128678</v>
      </c>
      <c r="L75" s="7">
        <v>129341</v>
      </c>
      <c r="M75" s="7">
        <v>205814</v>
      </c>
      <c r="N75" s="7">
        <v>230680</v>
      </c>
      <c r="O75" s="7">
        <f t="shared" si="107"/>
        <v>230680</v>
      </c>
      <c r="P75" s="7">
        <v>98</v>
      </c>
      <c r="Q75" s="7">
        <v>907</v>
      </c>
      <c r="R75" s="7">
        <v>1747</v>
      </c>
      <c r="S75" s="7">
        <v>39102</v>
      </c>
      <c r="T75" s="7">
        <v>50749</v>
      </c>
      <c r="U75" s="7">
        <v>52117</v>
      </c>
      <c r="V75" s="7">
        <v>53586</v>
      </c>
      <c r="W75" s="7">
        <v>55733</v>
      </c>
      <c r="X75" s="7">
        <v>63697</v>
      </c>
      <c r="Y75" s="7">
        <v>82932</v>
      </c>
      <c r="Z75" s="7">
        <v>158015</v>
      </c>
      <c r="AA75" s="7">
        <v>838373</v>
      </c>
      <c r="AB75" s="7">
        <f t="shared" si="108"/>
        <v>838373</v>
      </c>
      <c r="AC75" s="7">
        <v>0</v>
      </c>
      <c r="AD75" s="7">
        <v>17902</v>
      </c>
      <c r="AE75" s="7">
        <v>25945</v>
      </c>
      <c r="AF75" s="7">
        <v>51062</v>
      </c>
      <c r="AG75" s="7">
        <v>54469</v>
      </c>
      <c r="AH75" s="7">
        <v>55416</v>
      </c>
      <c r="AI75" s="7">
        <v>56875</v>
      </c>
      <c r="AJ75" s="7">
        <v>60356</v>
      </c>
      <c r="AK75" s="7">
        <v>64353</v>
      </c>
      <c r="AL75" s="7">
        <v>74033</v>
      </c>
      <c r="AM75" s="7">
        <v>75711</v>
      </c>
      <c r="AN75" s="7">
        <v>634425</v>
      </c>
      <c r="AO75" s="7">
        <f t="shared" si="109"/>
        <v>634425</v>
      </c>
      <c r="AP75" s="7">
        <v>0</v>
      </c>
      <c r="AQ75" s="7">
        <v>269</v>
      </c>
      <c r="AR75" s="7">
        <v>269</v>
      </c>
      <c r="AS75" s="7">
        <v>22119</v>
      </c>
      <c r="AT75" s="7">
        <v>22119</v>
      </c>
      <c r="AU75" s="7">
        <v>22695</v>
      </c>
      <c r="AV75" s="7">
        <v>46097</v>
      </c>
      <c r="AW75" s="7">
        <v>48260</v>
      </c>
      <c r="AX75" s="7">
        <v>48861</v>
      </c>
      <c r="AY75" s="7">
        <v>61420</v>
      </c>
      <c r="AZ75" s="7">
        <v>74200</v>
      </c>
      <c r="BA75" s="7">
        <v>1758867</v>
      </c>
      <c r="BB75" s="7">
        <f t="shared" si="110"/>
        <v>1758867</v>
      </c>
      <c r="BC75" s="7">
        <v>198</v>
      </c>
      <c r="BD75" s="7">
        <v>1102</v>
      </c>
      <c r="BE75" s="7">
        <v>5726</v>
      </c>
      <c r="BF75" s="7">
        <v>28536</v>
      </c>
      <c r="BG75" s="7">
        <v>48499</v>
      </c>
      <c r="BH75" s="7">
        <v>53855</v>
      </c>
      <c r="BI75" s="7">
        <v>60520</v>
      </c>
      <c r="BJ75" s="7">
        <v>69445</v>
      </c>
      <c r="BK75" s="7">
        <v>70064</v>
      </c>
      <c r="BL75" s="7">
        <v>73093</v>
      </c>
      <c r="BM75" s="7">
        <v>73356</v>
      </c>
      <c r="BN75" s="7">
        <v>1605443</v>
      </c>
      <c r="BO75" s="7">
        <f t="shared" si="111"/>
        <v>1605443</v>
      </c>
      <c r="BP75" s="7">
        <v>147</v>
      </c>
      <c r="BQ75" s="7">
        <v>229</v>
      </c>
      <c r="BR75" s="7">
        <v>344</v>
      </c>
      <c r="BS75" s="7">
        <v>3873</v>
      </c>
      <c r="BT75" s="7">
        <v>25548</v>
      </c>
      <c r="BU75" s="7">
        <v>41488</v>
      </c>
      <c r="BV75" s="7">
        <v>43633</v>
      </c>
      <c r="BW75" s="7">
        <v>48371</v>
      </c>
      <c r="BX75" s="7">
        <v>69965</v>
      </c>
      <c r="BY75" s="7">
        <v>76233</v>
      </c>
      <c r="BZ75" s="7">
        <v>80516</v>
      </c>
      <c r="CA75" s="7">
        <v>97338</v>
      </c>
      <c r="CB75" s="7">
        <f t="shared" si="112"/>
        <v>97338</v>
      </c>
      <c r="CC75" s="7">
        <v>607</v>
      </c>
      <c r="CD75" s="7">
        <v>1736</v>
      </c>
      <c r="CE75" s="7">
        <v>2472</v>
      </c>
      <c r="CF75" s="7">
        <v>2472</v>
      </c>
      <c r="CG75" s="7">
        <v>18311</v>
      </c>
      <c r="CH75" s="7">
        <v>18311</v>
      </c>
      <c r="CI75" s="7">
        <v>18985</v>
      </c>
      <c r="CJ75" s="7">
        <v>18985</v>
      </c>
      <c r="CK75" s="7">
        <v>21184</v>
      </c>
      <c r="CL75" s="7">
        <v>31168</v>
      </c>
      <c r="CM75" s="7">
        <v>33157</v>
      </c>
      <c r="CN75" s="7">
        <v>382693</v>
      </c>
      <c r="CO75" s="7">
        <f t="shared" si="113"/>
        <v>382693</v>
      </c>
      <c r="CP75" s="7">
        <v>0</v>
      </c>
      <c r="CQ75" s="7">
        <v>0</v>
      </c>
      <c r="CR75" s="7">
        <v>0</v>
      </c>
      <c r="CS75" s="7">
        <v>0</v>
      </c>
      <c r="CT75" s="7">
        <v>375</v>
      </c>
      <c r="CU75" s="7">
        <v>375</v>
      </c>
      <c r="CV75" s="7">
        <v>375</v>
      </c>
      <c r="CW75" s="7">
        <v>375</v>
      </c>
      <c r="CX75" s="7">
        <v>16453</v>
      </c>
      <c r="CY75" s="7">
        <v>16738</v>
      </c>
      <c r="CZ75" s="7">
        <v>59581</v>
      </c>
      <c r="DA75" s="7">
        <v>101089</v>
      </c>
      <c r="DB75" s="7">
        <f t="shared" si="114"/>
        <v>101089</v>
      </c>
      <c r="DC75" s="7">
        <v>0</v>
      </c>
      <c r="DD75" s="7">
        <v>0</v>
      </c>
      <c r="DE75" s="7">
        <v>0</v>
      </c>
      <c r="DF75" s="7">
        <v>43</v>
      </c>
      <c r="DG75" s="7">
        <v>43</v>
      </c>
      <c r="DH75" s="7">
        <v>638</v>
      </c>
      <c r="DI75" s="7">
        <v>3960</v>
      </c>
      <c r="DJ75" s="7">
        <v>60216</v>
      </c>
      <c r="DK75" s="7">
        <v>61185</v>
      </c>
      <c r="DL75" s="7">
        <v>67106</v>
      </c>
      <c r="DM75" s="7">
        <v>95932</v>
      </c>
      <c r="DN75" s="7">
        <v>160797</v>
      </c>
      <c r="DO75" s="7">
        <f t="shared" si="115"/>
        <v>160797</v>
      </c>
      <c r="DP75" s="7">
        <v>0</v>
      </c>
      <c r="DQ75" s="7">
        <v>0</v>
      </c>
      <c r="DR75" s="7">
        <v>0</v>
      </c>
      <c r="DS75" s="7">
        <v>0</v>
      </c>
      <c r="DT75" s="7">
        <v>3085</v>
      </c>
      <c r="DU75" s="7">
        <v>82381</v>
      </c>
      <c r="DV75" s="7">
        <v>125991</v>
      </c>
      <c r="DW75" s="7">
        <v>140950</v>
      </c>
      <c r="DX75" s="7">
        <v>158342</v>
      </c>
      <c r="DY75" s="7">
        <v>163795</v>
      </c>
      <c r="DZ75" s="7">
        <v>191564</v>
      </c>
      <c r="EA75" s="7">
        <v>237804</v>
      </c>
      <c r="EB75" s="7">
        <f t="shared" si="116"/>
        <v>237804</v>
      </c>
      <c r="EC75" s="7">
        <v>0</v>
      </c>
      <c r="ED75" s="7">
        <v>0</v>
      </c>
      <c r="EE75" s="7">
        <v>0</v>
      </c>
      <c r="EF75" s="7">
        <v>2262</v>
      </c>
      <c r="EG75" s="7">
        <v>74380</v>
      </c>
      <c r="EH75" s="7">
        <v>161068</v>
      </c>
      <c r="EI75" s="7">
        <v>226500</v>
      </c>
      <c r="EJ75" s="7">
        <v>235972</v>
      </c>
      <c r="EK75" s="7">
        <v>1485698</v>
      </c>
      <c r="EL75" s="7">
        <v>1613690</v>
      </c>
      <c r="EM75" s="7">
        <v>1931498</v>
      </c>
      <c r="EN75" s="7">
        <v>1997225</v>
      </c>
      <c r="EO75" s="7">
        <f t="shared" si="117"/>
        <v>1997225</v>
      </c>
      <c r="EP75" s="7">
        <v>0</v>
      </c>
      <c r="EQ75" s="7">
        <v>97469</v>
      </c>
      <c r="ER75" s="7">
        <v>97751</v>
      </c>
      <c r="ES75" s="7">
        <v>98001</v>
      </c>
      <c r="ET75" s="7">
        <v>170182</v>
      </c>
      <c r="EU75" s="7">
        <v>170245</v>
      </c>
      <c r="EV75" s="7">
        <v>421065</v>
      </c>
      <c r="EW75" s="7">
        <v>428624</v>
      </c>
      <c r="EX75" s="7">
        <v>444757</v>
      </c>
      <c r="EY75" s="7">
        <v>610730</v>
      </c>
      <c r="EZ75" s="7">
        <v>614072</v>
      </c>
      <c r="FA75" s="7">
        <v>809633</v>
      </c>
      <c r="FB75" s="7">
        <f t="shared" si="118"/>
        <v>809633</v>
      </c>
      <c r="FC75" s="7">
        <v>0</v>
      </c>
      <c r="FD75" s="7">
        <v>0</v>
      </c>
      <c r="FE75" s="7">
        <v>0</v>
      </c>
      <c r="FF75" s="7">
        <v>0</v>
      </c>
      <c r="FG75" s="7">
        <v>0</v>
      </c>
      <c r="FH75" s="7">
        <v>64950</v>
      </c>
      <c r="FI75" s="7">
        <v>127454</v>
      </c>
      <c r="FO75" s="7">
        <f t="shared" si="119"/>
        <v>127454</v>
      </c>
    </row>
    <row r="76" spans="2:171" ht="28.05" customHeight="1" x14ac:dyDescent="0.3">
      <c r="B76" s="6" t="s">
        <v>51</v>
      </c>
      <c r="C76" s="7">
        <v>140</v>
      </c>
      <c r="D76" s="7">
        <v>8109</v>
      </c>
      <c r="E76" s="7">
        <v>8109</v>
      </c>
      <c r="F76" s="7">
        <v>8613</v>
      </c>
      <c r="G76" s="7">
        <v>84253</v>
      </c>
      <c r="H76" s="7">
        <v>84548</v>
      </c>
      <c r="I76" s="7">
        <v>86349</v>
      </c>
      <c r="J76" s="7">
        <v>86349</v>
      </c>
      <c r="K76" s="7">
        <v>86399</v>
      </c>
      <c r="L76" s="7">
        <v>98968</v>
      </c>
      <c r="M76" s="7">
        <v>117677</v>
      </c>
      <c r="N76" s="7">
        <v>141920</v>
      </c>
      <c r="O76" s="7">
        <f t="shared" si="107"/>
        <v>141920</v>
      </c>
      <c r="P76" s="7">
        <v>0</v>
      </c>
      <c r="Q76" s="7">
        <v>60</v>
      </c>
      <c r="R76" s="7">
        <v>60</v>
      </c>
      <c r="S76" s="7">
        <v>2161</v>
      </c>
      <c r="T76" s="7">
        <v>36520</v>
      </c>
      <c r="U76" s="7">
        <v>61061</v>
      </c>
      <c r="V76" s="7">
        <v>74560</v>
      </c>
      <c r="W76" s="7">
        <v>75213</v>
      </c>
      <c r="X76" s="7">
        <v>75636</v>
      </c>
      <c r="Y76" s="7">
        <v>79205</v>
      </c>
      <c r="Z76" s="7">
        <v>177440</v>
      </c>
      <c r="AA76" s="7">
        <v>295571</v>
      </c>
      <c r="AB76" s="7">
        <f t="shared" si="108"/>
        <v>295571</v>
      </c>
      <c r="AC76" s="7">
        <v>0</v>
      </c>
      <c r="AD76" s="7">
        <v>19653</v>
      </c>
      <c r="AE76" s="7">
        <v>32728</v>
      </c>
      <c r="AF76" s="7">
        <v>33680</v>
      </c>
      <c r="AG76" s="7">
        <v>35995</v>
      </c>
      <c r="AH76" s="7">
        <v>38174</v>
      </c>
      <c r="AI76" s="7">
        <v>38528</v>
      </c>
      <c r="AJ76" s="7">
        <v>39517</v>
      </c>
      <c r="AK76" s="7">
        <v>41442</v>
      </c>
      <c r="AL76" s="7">
        <v>42876</v>
      </c>
      <c r="AM76" s="7">
        <v>54418</v>
      </c>
      <c r="AN76" s="7">
        <v>95971</v>
      </c>
      <c r="AO76" s="7">
        <f t="shared" si="109"/>
        <v>95971</v>
      </c>
      <c r="AP76" s="7">
        <v>0</v>
      </c>
      <c r="AQ76" s="7">
        <v>1007</v>
      </c>
      <c r="AR76" s="7">
        <v>1387</v>
      </c>
      <c r="AS76" s="7">
        <v>4088</v>
      </c>
      <c r="AT76" s="7">
        <v>18570</v>
      </c>
      <c r="AU76" s="7">
        <v>18846</v>
      </c>
      <c r="AV76" s="7">
        <v>38317</v>
      </c>
      <c r="AW76" s="7">
        <v>42381</v>
      </c>
      <c r="AX76" s="7">
        <v>45866</v>
      </c>
      <c r="AY76" s="7">
        <v>54771</v>
      </c>
      <c r="AZ76" s="7">
        <v>81489</v>
      </c>
      <c r="BA76" s="7">
        <v>95609</v>
      </c>
      <c r="BB76" s="7">
        <f t="shared" si="110"/>
        <v>95609</v>
      </c>
      <c r="BC76" s="7">
        <v>0</v>
      </c>
      <c r="BD76" s="7">
        <v>3271</v>
      </c>
      <c r="BE76" s="7">
        <v>3271</v>
      </c>
      <c r="BF76" s="7">
        <v>3389</v>
      </c>
      <c r="BG76" s="7">
        <v>4357</v>
      </c>
      <c r="BH76" s="7">
        <v>10454</v>
      </c>
      <c r="BI76" s="7">
        <v>14421</v>
      </c>
      <c r="BJ76" s="7">
        <v>18234</v>
      </c>
      <c r="BK76" s="7">
        <v>59217</v>
      </c>
      <c r="BL76" s="7">
        <v>60033</v>
      </c>
      <c r="BM76" s="7">
        <v>68642</v>
      </c>
      <c r="BN76" s="7">
        <v>297380</v>
      </c>
      <c r="BO76" s="7">
        <f t="shared" si="111"/>
        <v>297380</v>
      </c>
      <c r="BP76" s="7">
        <v>693</v>
      </c>
      <c r="BQ76" s="7">
        <v>15530</v>
      </c>
      <c r="BR76" s="7">
        <v>15631</v>
      </c>
      <c r="BS76" s="7">
        <v>20846</v>
      </c>
      <c r="BT76" s="7">
        <v>65721</v>
      </c>
      <c r="BU76" s="7">
        <v>89898</v>
      </c>
      <c r="BV76" s="7">
        <v>92591</v>
      </c>
      <c r="BW76" s="7">
        <v>100668</v>
      </c>
      <c r="BX76" s="7">
        <v>100991</v>
      </c>
      <c r="BY76" s="7">
        <v>103952</v>
      </c>
      <c r="BZ76" s="7">
        <v>109621</v>
      </c>
      <c r="CA76" s="7">
        <v>111876</v>
      </c>
      <c r="CB76" s="7">
        <f t="shared" si="112"/>
        <v>111876</v>
      </c>
      <c r="CC76" s="7">
        <v>0</v>
      </c>
      <c r="CD76" s="7">
        <v>1098</v>
      </c>
      <c r="CE76" s="7">
        <v>3137</v>
      </c>
      <c r="CF76" s="7">
        <v>17987</v>
      </c>
      <c r="CG76" s="7">
        <v>22135</v>
      </c>
      <c r="CH76" s="7">
        <v>22135</v>
      </c>
      <c r="CI76" s="7">
        <v>29972</v>
      </c>
      <c r="CJ76" s="7">
        <v>79295</v>
      </c>
      <c r="CK76" s="7">
        <v>84364</v>
      </c>
      <c r="CL76" s="7">
        <v>87854</v>
      </c>
      <c r="CM76" s="7">
        <v>95431</v>
      </c>
      <c r="CN76" s="7">
        <v>107174</v>
      </c>
      <c r="CO76" s="7">
        <f t="shared" si="113"/>
        <v>107174</v>
      </c>
      <c r="CP76" s="7">
        <v>0</v>
      </c>
      <c r="CQ76" s="7">
        <v>0</v>
      </c>
      <c r="CR76" s="7">
        <v>0</v>
      </c>
      <c r="CS76" s="7">
        <v>0</v>
      </c>
      <c r="CT76" s="7">
        <v>0</v>
      </c>
      <c r="CU76" s="7">
        <v>0</v>
      </c>
      <c r="CV76" s="7">
        <v>0</v>
      </c>
      <c r="CW76" s="7">
        <v>0</v>
      </c>
      <c r="CX76" s="7">
        <v>0</v>
      </c>
      <c r="CY76" s="7">
        <v>0</v>
      </c>
      <c r="CZ76" s="7">
        <v>38499</v>
      </c>
      <c r="DA76" s="7">
        <v>107372</v>
      </c>
      <c r="DB76" s="7">
        <f t="shared" si="114"/>
        <v>107372</v>
      </c>
      <c r="DC76" s="7">
        <v>0</v>
      </c>
      <c r="DD76" s="7">
        <v>0</v>
      </c>
      <c r="DE76" s="7">
        <v>0</v>
      </c>
      <c r="DF76" s="7">
        <v>0</v>
      </c>
      <c r="DG76" s="7">
        <v>0</v>
      </c>
      <c r="DH76" s="7">
        <v>0</v>
      </c>
      <c r="DI76" s="7">
        <v>1222</v>
      </c>
      <c r="DJ76" s="7">
        <v>9602</v>
      </c>
      <c r="DK76" s="7">
        <v>92334</v>
      </c>
      <c r="DL76" s="7">
        <v>96189</v>
      </c>
      <c r="DM76" s="7">
        <v>319595</v>
      </c>
      <c r="DN76" s="7">
        <v>395574</v>
      </c>
      <c r="DO76" s="7">
        <f t="shared" si="115"/>
        <v>395574</v>
      </c>
      <c r="DP76" s="7">
        <v>0</v>
      </c>
      <c r="DQ76" s="7">
        <v>333</v>
      </c>
      <c r="DR76" s="7">
        <v>581</v>
      </c>
      <c r="DS76" s="7">
        <v>17754</v>
      </c>
      <c r="DT76" s="7">
        <v>70246</v>
      </c>
      <c r="DU76" s="7">
        <v>92472</v>
      </c>
      <c r="DV76" s="7">
        <v>321438</v>
      </c>
      <c r="DW76" s="7">
        <v>325356</v>
      </c>
      <c r="DX76" s="7">
        <v>420771</v>
      </c>
      <c r="DY76" s="7">
        <v>450435</v>
      </c>
      <c r="DZ76" s="7">
        <v>501604</v>
      </c>
      <c r="EA76" s="7">
        <v>554997</v>
      </c>
      <c r="EB76" s="7">
        <f t="shared" si="116"/>
        <v>554997</v>
      </c>
      <c r="EC76" s="7">
        <v>0</v>
      </c>
      <c r="ED76" s="7">
        <v>47980</v>
      </c>
      <c r="EE76" s="7">
        <v>92337</v>
      </c>
      <c r="EF76" s="7">
        <v>95895</v>
      </c>
      <c r="EG76" s="7">
        <v>268337</v>
      </c>
      <c r="EH76" s="7">
        <v>389981</v>
      </c>
      <c r="EI76" s="7">
        <v>421650</v>
      </c>
      <c r="EJ76" s="7">
        <v>428305</v>
      </c>
      <c r="EK76" s="7">
        <v>503200</v>
      </c>
      <c r="EL76" s="7">
        <v>506685</v>
      </c>
      <c r="EM76" s="7">
        <v>563895</v>
      </c>
      <c r="EN76" s="7">
        <v>631827</v>
      </c>
      <c r="EO76" s="7">
        <f t="shared" si="117"/>
        <v>631827</v>
      </c>
      <c r="EP76" s="7">
        <v>0</v>
      </c>
      <c r="EQ76" s="7">
        <v>33966</v>
      </c>
      <c r="ER76" s="7">
        <v>39677</v>
      </c>
      <c r="ES76" s="7">
        <v>68547</v>
      </c>
      <c r="ET76" s="7">
        <v>184933</v>
      </c>
      <c r="EU76" s="7">
        <v>316527</v>
      </c>
      <c r="EV76" s="7">
        <v>324773</v>
      </c>
      <c r="EW76" s="7">
        <v>324773</v>
      </c>
      <c r="EX76" s="7">
        <v>329257</v>
      </c>
      <c r="EY76" s="7">
        <v>333451</v>
      </c>
      <c r="EZ76" s="7">
        <v>436896</v>
      </c>
      <c r="FA76" s="7">
        <v>504566</v>
      </c>
      <c r="FB76" s="7">
        <f t="shared" si="118"/>
        <v>504566</v>
      </c>
      <c r="FC76" s="7">
        <v>0</v>
      </c>
      <c r="FD76" s="7">
        <v>0</v>
      </c>
      <c r="FE76" s="7">
        <v>59187</v>
      </c>
      <c r="FF76" s="7">
        <v>68554</v>
      </c>
      <c r="FG76" s="7">
        <v>87338</v>
      </c>
      <c r="FH76" s="7">
        <v>87338</v>
      </c>
      <c r="FI76" s="7">
        <v>87338</v>
      </c>
      <c r="FO76" s="7">
        <f t="shared" si="119"/>
        <v>87338</v>
      </c>
    </row>
    <row r="77" spans="2:171" ht="22.05" customHeight="1" x14ac:dyDescent="0.3">
      <c r="B77" s="4" t="s">
        <v>104</v>
      </c>
      <c r="C77" s="8">
        <f t="shared" ref="C77:AH77" si="120">SUM(C71:C76)</f>
        <v>1371</v>
      </c>
      <c r="D77" s="8">
        <f t="shared" si="120"/>
        <v>14594</v>
      </c>
      <c r="E77" s="8">
        <f t="shared" si="120"/>
        <v>195096</v>
      </c>
      <c r="F77" s="8">
        <f t="shared" si="120"/>
        <v>301989</v>
      </c>
      <c r="G77" s="8">
        <f t="shared" si="120"/>
        <v>556759</v>
      </c>
      <c r="H77" s="8">
        <f t="shared" si="120"/>
        <v>1034775</v>
      </c>
      <c r="I77" s="8">
        <f t="shared" si="120"/>
        <v>1426755</v>
      </c>
      <c r="J77" s="8">
        <f t="shared" si="120"/>
        <v>1993508</v>
      </c>
      <c r="K77" s="8">
        <f t="shared" si="120"/>
        <v>2736749</v>
      </c>
      <c r="L77" s="8">
        <f t="shared" si="120"/>
        <v>3729562</v>
      </c>
      <c r="M77" s="8">
        <f t="shared" si="120"/>
        <v>4387206</v>
      </c>
      <c r="N77" s="8">
        <f t="shared" si="120"/>
        <v>13720677</v>
      </c>
      <c r="O77" s="8">
        <f t="shared" si="120"/>
        <v>13720677</v>
      </c>
      <c r="P77" s="8">
        <f t="shared" si="120"/>
        <v>98</v>
      </c>
      <c r="Q77" s="8">
        <f t="shared" si="120"/>
        <v>4437</v>
      </c>
      <c r="R77" s="8">
        <f t="shared" si="120"/>
        <v>19682</v>
      </c>
      <c r="S77" s="8">
        <f t="shared" si="120"/>
        <v>214915</v>
      </c>
      <c r="T77" s="8">
        <f t="shared" si="120"/>
        <v>983671</v>
      </c>
      <c r="U77" s="8">
        <f t="shared" si="120"/>
        <v>1803209</v>
      </c>
      <c r="V77" s="8">
        <f t="shared" si="120"/>
        <v>2229111</v>
      </c>
      <c r="W77" s="8">
        <f t="shared" si="120"/>
        <v>5843691</v>
      </c>
      <c r="X77" s="8">
        <f t="shared" si="120"/>
        <v>7204574</v>
      </c>
      <c r="Y77" s="8">
        <f t="shared" si="120"/>
        <v>8078294</v>
      </c>
      <c r="Z77" s="8">
        <f t="shared" si="120"/>
        <v>9080689</v>
      </c>
      <c r="AA77" s="8">
        <f t="shared" si="120"/>
        <v>15186096</v>
      </c>
      <c r="AB77" s="8">
        <f t="shared" si="120"/>
        <v>15186096</v>
      </c>
      <c r="AC77" s="8">
        <f t="shared" si="120"/>
        <v>190</v>
      </c>
      <c r="AD77" s="8">
        <f t="shared" si="120"/>
        <v>43864</v>
      </c>
      <c r="AE77" s="8">
        <f t="shared" si="120"/>
        <v>374746</v>
      </c>
      <c r="AF77" s="8">
        <f t="shared" si="120"/>
        <v>503826</v>
      </c>
      <c r="AG77" s="8">
        <f t="shared" si="120"/>
        <v>1270748</v>
      </c>
      <c r="AH77" s="8">
        <f t="shared" si="120"/>
        <v>1302991</v>
      </c>
      <c r="AI77" s="8">
        <f t="shared" ref="AI77:BN77" si="121">SUM(AI71:AI76)</f>
        <v>2400934</v>
      </c>
      <c r="AJ77" s="8">
        <f t="shared" si="121"/>
        <v>3744939</v>
      </c>
      <c r="AK77" s="8">
        <f t="shared" si="121"/>
        <v>4431865</v>
      </c>
      <c r="AL77" s="8">
        <f t="shared" si="121"/>
        <v>5510590</v>
      </c>
      <c r="AM77" s="8">
        <f t="shared" si="121"/>
        <v>6091339</v>
      </c>
      <c r="AN77" s="8">
        <f t="shared" si="121"/>
        <v>8188414</v>
      </c>
      <c r="AO77" s="8">
        <f t="shared" si="121"/>
        <v>8188414</v>
      </c>
      <c r="AP77" s="8">
        <f t="shared" si="121"/>
        <v>1234</v>
      </c>
      <c r="AQ77" s="8">
        <f t="shared" si="121"/>
        <v>802137</v>
      </c>
      <c r="AR77" s="8">
        <f t="shared" si="121"/>
        <v>813175</v>
      </c>
      <c r="AS77" s="8">
        <f t="shared" si="121"/>
        <v>970598</v>
      </c>
      <c r="AT77" s="8">
        <f t="shared" si="121"/>
        <v>1172393</v>
      </c>
      <c r="AU77" s="8">
        <f t="shared" si="121"/>
        <v>1280307</v>
      </c>
      <c r="AV77" s="8">
        <f t="shared" si="121"/>
        <v>1610317</v>
      </c>
      <c r="AW77" s="8">
        <f t="shared" si="121"/>
        <v>2716401</v>
      </c>
      <c r="AX77" s="8">
        <f t="shared" si="121"/>
        <v>3828005</v>
      </c>
      <c r="AY77" s="8">
        <f t="shared" si="121"/>
        <v>4287655</v>
      </c>
      <c r="AZ77" s="8">
        <f t="shared" si="121"/>
        <v>5892866</v>
      </c>
      <c r="BA77" s="8">
        <f t="shared" si="121"/>
        <v>20342284</v>
      </c>
      <c r="BB77" s="8">
        <f t="shared" si="121"/>
        <v>20342284</v>
      </c>
      <c r="BC77" s="8">
        <f t="shared" si="121"/>
        <v>198</v>
      </c>
      <c r="BD77" s="8">
        <f t="shared" si="121"/>
        <v>6334</v>
      </c>
      <c r="BE77" s="8">
        <f t="shared" si="121"/>
        <v>273608</v>
      </c>
      <c r="BF77" s="8">
        <f t="shared" si="121"/>
        <v>2337694</v>
      </c>
      <c r="BG77" s="8">
        <f t="shared" si="121"/>
        <v>2779438</v>
      </c>
      <c r="BH77" s="8">
        <f t="shared" si="121"/>
        <v>4782936</v>
      </c>
      <c r="BI77" s="8">
        <f t="shared" si="121"/>
        <v>4825073</v>
      </c>
      <c r="BJ77" s="8">
        <f t="shared" si="121"/>
        <v>4908596</v>
      </c>
      <c r="BK77" s="8">
        <f t="shared" si="121"/>
        <v>5085573</v>
      </c>
      <c r="BL77" s="8">
        <f t="shared" si="121"/>
        <v>6586858</v>
      </c>
      <c r="BM77" s="8">
        <f t="shared" si="121"/>
        <v>6792240</v>
      </c>
      <c r="BN77" s="8">
        <f t="shared" si="121"/>
        <v>14082713</v>
      </c>
      <c r="BO77" s="8">
        <f t="shared" ref="BO77:CT77" si="122">SUM(BO71:BO76)</f>
        <v>14082713</v>
      </c>
      <c r="BP77" s="8">
        <f t="shared" si="122"/>
        <v>917</v>
      </c>
      <c r="BQ77" s="8">
        <f t="shared" si="122"/>
        <v>25641</v>
      </c>
      <c r="BR77" s="8">
        <f t="shared" si="122"/>
        <v>34202</v>
      </c>
      <c r="BS77" s="8">
        <f t="shared" si="122"/>
        <v>75013</v>
      </c>
      <c r="BT77" s="8">
        <f t="shared" si="122"/>
        <v>154914</v>
      </c>
      <c r="BU77" s="8">
        <f t="shared" si="122"/>
        <v>227327</v>
      </c>
      <c r="BV77" s="8">
        <f t="shared" si="122"/>
        <v>361756</v>
      </c>
      <c r="BW77" s="8">
        <f t="shared" si="122"/>
        <v>559230</v>
      </c>
      <c r="BX77" s="8">
        <f t="shared" si="122"/>
        <v>803285</v>
      </c>
      <c r="BY77" s="8">
        <f t="shared" si="122"/>
        <v>870929</v>
      </c>
      <c r="BZ77" s="8">
        <f t="shared" si="122"/>
        <v>1853912</v>
      </c>
      <c r="CA77" s="8">
        <f t="shared" si="122"/>
        <v>8626328</v>
      </c>
      <c r="CB77" s="8">
        <f t="shared" si="122"/>
        <v>8626328</v>
      </c>
      <c r="CC77" s="8">
        <f t="shared" si="122"/>
        <v>701</v>
      </c>
      <c r="CD77" s="8">
        <f t="shared" si="122"/>
        <v>180143</v>
      </c>
      <c r="CE77" s="8">
        <f t="shared" si="122"/>
        <v>242856</v>
      </c>
      <c r="CF77" s="8">
        <f t="shared" si="122"/>
        <v>262791</v>
      </c>
      <c r="CG77" s="8">
        <f t="shared" si="122"/>
        <v>567222</v>
      </c>
      <c r="CH77" s="8">
        <f t="shared" si="122"/>
        <v>642092</v>
      </c>
      <c r="CI77" s="8">
        <f t="shared" si="122"/>
        <v>671996</v>
      </c>
      <c r="CJ77" s="8">
        <f t="shared" si="122"/>
        <v>1049067</v>
      </c>
      <c r="CK77" s="8">
        <f t="shared" si="122"/>
        <v>1670315</v>
      </c>
      <c r="CL77" s="8">
        <f t="shared" si="122"/>
        <v>2014665</v>
      </c>
      <c r="CM77" s="8">
        <f t="shared" si="122"/>
        <v>2780900</v>
      </c>
      <c r="CN77" s="8">
        <f t="shared" si="122"/>
        <v>8560528</v>
      </c>
      <c r="CO77" s="8">
        <f t="shared" si="122"/>
        <v>8560528</v>
      </c>
      <c r="CP77" s="8">
        <f t="shared" si="122"/>
        <v>0</v>
      </c>
      <c r="CQ77" s="8">
        <f t="shared" si="122"/>
        <v>425958</v>
      </c>
      <c r="CR77" s="8">
        <f t="shared" si="122"/>
        <v>1470948</v>
      </c>
      <c r="CS77" s="8">
        <f t="shared" si="122"/>
        <v>1475537</v>
      </c>
      <c r="CT77" s="8">
        <f t="shared" si="122"/>
        <v>1491037</v>
      </c>
      <c r="CU77" s="8">
        <f t="shared" ref="CU77:DZ77" si="123">SUM(CU71:CU76)</f>
        <v>1786355</v>
      </c>
      <c r="CV77" s="8">
        <f t="shared" si="123"/>
        <v>2633620</v>
      </c>
      <c r="CW77" s="8">
        <f t="shared" si="123"/>
        <v>2801277</v>
      </c>
      <c r="CX77" s="8">
        <f t="shared" si="123"/>
        <v>2935524</v>
      </c>
      <c r="CY77" s="8">
        <f t="shared" si="123"/>
        <v>3099676</v>
      </c>
      <c r="CZ77" s="8">
        <f t="shared" si="123"/>
        <v>3924655</v>
      </c>
      <c r="DA77" s="8">
        <f t="shared" si="123"/>
        <v>6357835</v>
      </c>
      <c r="DB77" s="8">
        <f t="shared" si="123"/>
        <v>6357835</v>
      </c>
      <c r="DC77" s="8">
        <f t="shared" si="123"/>
        <v>0</v>
      </c>
      <c r="DD77" s="8">
        <f t="shared" si="123"/>
        <v>0</v>
      </c>
      <c r="DE77" s="8">
        <f t="shared" si="123"/>
        <v>397</v>
      </c>
      <c r="DF77" s="8">
        <f t="shared" si="123"/>
        <v>462</v>
      </c>
      <c r="DG77" s="8">
        <f t="shared" si="123"/>
        <v>110919</v>
      </c>
      <c r="DH77" s="8">
        <f t="shared" si="123"/>
        <v>142091</v>
      </c>
      <c r="DI77" s="8">
        <f t="shared" si="123"/>
        <v>155178</v>
      </c>
      <c r="DJ77" s="8">
        <f t="shared" si="123"/>
        <v>225311</v>
      </c>
      <c r="DK77" s="8">
        <f t="shared" si="123"/>
        <v>556965</v>
      </c>
      <c r="DL77" s="8">
        <f t="shared" si="123"/>
        <v>804825</v>
      </c>
      <c r="DM77" s="8">
        <f t="shared" si="123"/>
        <v>2647600</v>
      </c>
      <c r="DN77" s="8">
        <f t="shared" si="123"/>
        <v>11702380</v>
      </c>
      <c r="DO77" s="8">
        <f t="shared" si="123"/>
        <v>11702380</v>
      </c>
      <c r="DP77" s="8">
        <f t="shared" si="123"/>
        <v>20554</v>
      </c>
      <c r="DQ77" s="8">
        <f t="shared" si="123"/>
        <v>27246</v>
      </c>
      <c r="DR77" s="8">
        <f t="shared" si="123"/>
        <v>62594</v>
      </c>
      <c r="DS77" s="8">
        <f t="shared" si="123"/>
        <v>146546</v>
      </c>
      <c r="DT77" s="8">
        <f t="shared" si="123"/>
        <v>453951</v>
      </c>
      <c r="DU77" s="8">
        <f t="shared" si="123"/>
        <v>648049</v>
      </c>
      <c r="DV77" s="8">
        <f t="shared" si="123"/>
        <v>1110604</v>
      </c>
      <c r="DW77" s="8">
        <f t="shared" si="123"/>
        <v>1161635</v>
      </c>
      <c r="DX77" s="8">
        <f t="shared" si="123"/>
        <v>1805132</v>
      </c>
      <c r="DY77" s="8">
        <f t="shared" si="123"/>
        <v>2107787</v>
      </c>
      <c r="DZ77" s="8">
        <f t="shared" si="123"/>
        <v>2802625</v>
      </c>
      <c r="EA77" s="8">
        <f t="shared" ref="EA77:FF77" si="124">SUM(EA71:EA76)</f>
        <v>9544355</v>
      </c>
      <c r="EB77" s="8">
        <f t="shared" si="124"/>
        <v>9544355</v>
      </c>
      <c r="EC77" s="8">
        <f t="shared" si="124"/>
        <v>10076</v>
      </c>
      <c r="ED77" s="8">
        <f t="shared" si="124"/>
        <v>58249</v>
      </c>
      <c r="EE77" s="8">
        <f t="shared" si="124"/>
        <v>103169</v>
      </c>
      <c r="EF77" s="8">
        <f t="shared" si="124"/>
        <v>112844</v>
      </c>
      <c r="EG77" s="8">
        <f t="shared" si="124"/>
        <v>387074</v>
      </c>
      <c r="EH77" s="8">
        <f t="shared" si="124"/>
        <v>1315632</v>
      </c>
      <c r="EI77" s="8">
        <f t="shared" si="124"/>
        <v>1441079</v>
      </c>
      <c r="EJ77" s="8">
        <f t="shared" si="124"/>
        <v>1820572</v>
      </c>
      <c r="EK77" s="8">
        <f t="shared" si="124"/>
        <v>3400974</v>
      </c>
      <c r="EL77" s="8">
        <f t="shared" si="124"/>
        <v>3894138</v>
      </c>
      <c r="EM77" s="8">
        <f t="shared" si="124"/>
        <v>4374846</v>
      </c>
      <c r="EN77" s="8">
        <f t="shared" si="124"/>
        <v>6773876</v>
      </c>
      <c r="EO77" s="8">
        <f t="shared" si="124"/>
        <v>6773876</v>
      </c>
      <c r="EP77" s="8">
        <f t="shared" si="124"/>
        <v>0</v>
      </c>
      <c r="EQ77" s="8">
        <f t="shared" si="124"/>
        <v>131595</v>
      </c>
      <c r="ER77" s="8">
        <f t="shared" si="124"/>
        <v>137588</v>
      </c>
      <c r="ES77" s="8">
        <f t="shared" si="124"/>
        <v>178149</v>
      </c>
      <c r="ET77" s="8">
        <f t="shared" si="124"/>
        <v>442262</v>
      </c>
      <c r="EU77" s="8">
        <f t="shared" si="124"/>
        <v>672312</v>
      </c>
      <c r="EV77" s="8">
        <f t="shared" si="124"/>
        <v>1232379</v>
      </c>
      <c r="EW77" s="8">
        <f t="shared" si="124"/>
        <v>2124234</v>
      </c>
      <c r="EX77" s="8">
        <f t="shared" si="124"/>
        <v>2214112</v>
      </c>
      <c r="EY77" s="8">
        <f t="shared" si="124"/>
        <v>2549130</v>
      </c>
      <c r="EZ77" s="8">
        <f t="shared" si="124"/>
        <v>3427048</v>
      </c>
      <c r="FA77" s="8">
        <f t="shared" si="124"/>
        <v>5904453</v>
      </c>
      <c r="FB77" s="8">
        <f t="shared" si="124"/>
        <v>5904453</v>
      </c>
      <c r="FC77" s="8">
        <f t="shared" si="124"/>
        <v>70510</v>
      </c>
      <c r="FD77" s="8">
        <f t="shared" si="124"/>
        <v>70510</v>
      </c>
      <c r="FE77" s="8">
        <f t="shared" si="124"/>
        <v>136258</v>
      </c>
      <c r="FF77" s="8">
        <f t="shared" si="124"/>
        <v>175936</v>
      </c>
      <c r="FG77" s="8">
        <f t="shared" ref="FG77:GL77" si="125">SUM(FG71:FG76)</f>
        <v>500946</v>
      </c>
      <c r="FH77" s="8">
        <f t="shared" si="125"/>
        <v>1117642</v>
      </c>
      <c r="FI77" s="8">
        <f t="shared" si="125"/>
        <v>1241894</v>
      </c>
      <c r="FJ77" s="8">
        <f t="shared" si="125"/>
        <v>0</v>
      </c>
      <c r="FK77" s="8">
        <f t="shared" si="125"/>
        <v>0</v>
      </c>
      <c r="FL77" s="8">
        <f t="shared" si="125"/>
        <v>0</v>
      </c>
      <c r="FM77" s="8">
        <f t="shared" si="125"/>
        <v>0</v>
      </c>
      <c r="FN77" s="8">
        <f t="shared" si="125"/>
        <v>0</v>
      </c>
      <c r="FO77" s="8">
        <f t="shared" si="125"/>
        <v>1241894</v>
      </c>
    </row>
    <row r="78" spans="2:171" x14ac:dyDescent="0.3">
      <c r="B78" s="2" t="s">
        <v>109</v>
      </c>
    </row>
    <row r="81" spans="2:171" ht="25.95" customHeight="1" x14ac:dyDescent="0.3">
      <c r="B81" s="56" t="s">
        <v>30</v>
      </c>
      <c r="C81" s="57"/>
      <c r="D81" s="57"/>
      <c r="E81" s="57"/>
      <c r="F81" s="57"/>
      <c r="G81" s="57"/>
      <c r="H81" s="57"/>
      <c r="I81" s="57"/>
      <c r="J81" s="57"/>
      <c r="K81" s="57"/>
      <c r="L81" s="57"/>
      <c r="M81" s="57"/>
      <c r="N81" s="57"/>
      <c r="O81" s="57"/>
      <c r="P81" s="57"/>
      <c r="Q81" s="57"/>
      <c r="R81" s="57"/>
      <c r="S81" s="57"/>
      <c r="T81" s="57"/>
      <c r="U81" s="57"/>
      <c r="V81" s="57"/>
      <c r="W81" s="57"/>
      <c r="X81" s="57"/>
      <c r="Y81" s="57"/>
      <c r="Z81" s="57"/>
      <c r="AA81" s="57"/>
      <c r="AB81" s="57"/>
      <c r="AC81" s="57"/>
      <c r="AD81" s="57"/>
      <c r="AE81" s="57"/>
      <c r="AF81" s="57"/>
      <c r="AG81" s="57"/>
      <c r="AH81" s="57"/>
      <c r="AI81" s="57"/>
      <c r="AJ81" s="57"/>
      <c r="AK81" s="57"/>
      <c r="AL81" s="57"/>
      <c r="AM81" s="57"/>
      <c r="AN81" s="57"/>
      <c r="AO81" s="57"/>
      <c r="AP81" s="57"/>
      <c r="AQ81" s="57"/>
      <c r="AR81" s="57"/>
      <c r="AS81" s="57"/>
      <c r="AT81" s="57"/>
      <c r="AU81" s="57"/>
      <c r="AV81" s="57"/>
      <c r="AW81" s="57"/>
      <c r="AX81" s="57"/>
      <c r="AY81" s="57"/>
      <c r="AZ81" s="57"/>
      <c r="BA81" s="57"/>
      <c r="BB81" s="57"/>
      <c r="BC81" s="57"/>
      <c r="BD81" s="57"/>
      <c r="BE81" s="57"/>
      <c r="BF81" s="57"/>
      <c r="BG81" s="57"/>
      <c r="BH81" s="57"/>
      <c r="BI81" s="57"/>
      <c r="BJ81" s="57"/>
      <c r="BK81" s="57"/>
      <c r="BL81" s="57"/>
      <c r="BM81" s="57"/>
      <c r="BN81" s="57"/>
      <c r="BO81" s="57"/>
      <c r="BP81" s="57"/>
      <c r="BQ81" s="57"/>
      <c r="BR81" s="57"/>
      <c r="BS81" s="57"/>
      <c r="BT81" s="57"/>
      <c r="BU81" s="57"/>
      <c r="BV81" s="57"/>
      <c r="BW81" s="57"/>
      <c r="BX81" s="57"/>
      <c r="BY81" s="57"/>
      <c r="BZ81" s="57"/>
      <c r="CA81" s="57"/>
      <c r="CB81" s="57"/>
      <c r="CC81" s="57"/>
      <c r="CD81" s="57"/>
      <c r="CE81" s="57"/>
      <c r="CF81" s="57"/>
      <c r="CG81" s="57"/>
      <c r="CH81" s="57"/>
      <c r="CI81" s="57"/>
      <c r="CJ81" s="57"/>
      <c r="CK81" s="57"/>
      <c r="CL81" s="57"/>
      <c r="CM81" s="57"/>
      <c r="CN81" s="57"/>
      <c r="CO81" s="57"/>
      <c r="CP81" s="57"/>
      <c r="CQ81" s="57"/>
      <c r="CR81" s="57"/>
      <c r="CS81" s="57"/>
      <c r="CT81" s="57"/>
      <c r="CU81" s="57"/>
      <c r="CV81" s="57"/>
      <c r="CW81" s="57"/>
      <c r="CX81" s="57"/>
      <c r="CY81" s="57"/>
      <c r="CZ81" s="57"/>
      <c r="DA81" s="57"/>
      <c r="DB81" s="57"/>
      <c r="DC81" s="57"/>
      <c r="DD81" s="57"/>
      <c r="DE81" s="57"/>
      <c r="DF81" s="57"/>
      <c r="DG81" s="57"/>
      <c r="DH81" s="57"/>
      <c r="DI81" s="57"/>
      <c r="DJ81" s="57"/>
      <c r="DK81" s="57"/>
      <c r="DL81" s="57"/>
      <c r="DM81" s="57"/>
      <c r="DN81" s="57"/>
      <c r="DO81" s="57"/>
      <c r="DP81" s="57"/>
      <c r="DQ81" s="57"/>
      <c r="DR81" s="57"/>
      <c r="DS81" s="57"/>
      <c r="DT81" s="57"/>
      <c r="DU81" s="57"/>
      <c r="DV81" s="57"/>
      <c r="DW81" s="57"/>
      <c r="DX81" s="57"/>
      <c r="DY81" s="57"/>
      <c r="DZ81" s="57"/>
      <c r="EA81" s="57"/>
      <c r="EB81" s="57"/>
      <c r="EC81" s="57"/>
      <c r="ED81" s="57"/>
      <c r="EE81" s="57"/>
      <c r="EF81" s="57"/>
      <c r="EG81" s="57"/>
      <c r="EH81" s="57"/>
      <c r="EI81" s="57"/>
      <c r="EJ81" s="57"/>
      <c r="EK81" s="57"/>
      <c r="EL81" s="57"/>
      <c r="EM81" s="57"/>
      <c r="EN81" s="57"/>
      <c r="EO81" s="57"/>
      <c r="EP81" s="57"/>
      <c r="EQ81" s="57"/>
      <c r="ER81" s="57"/>
      <c r="ES81" s="57"/>
      <c r="ET81" s="57"/>
      <c r="EU81" s="57"/>
      <c r="EV81" s="57"/>
      <c r="EW81" s="57"/>
      <c r="EX81" s="57"/>
      <c r="EY81" s="57"/>
      <c r="EZ81" s="57"/>
      <c r="FA81" s="57"/>
      <c r="FB81" s="57"/>
      <c r="FC81" s="57"/>
      <c r="FD81" s="57"/>
      <c r="FE81" s="57"/>
      <c r="FF81" s="57"/>
      <c r="FG81" s="57"/>
      <c r="FH81" s="57"/>
      <c r="FI81" s="57"/>
      <c r="FJ81" s="57"/>
      <c r="FK81" s="57"/>
      <c r="FL81" s="57"/>
      <c r="FM81" s="57"/>
      <c r="FN81" s="57"/>
      <c r="FO81" s="57"/>
    </row>
    <row r="83" spans="2:171" ht="16.05" customHeight="1" x14ac:dyDescent="0.3">
      <c r="B83" s="60" t="s">
        <v>116</v>
      </c>
      <c r="C83" s="57"/>
      <c r="D83" s="57"/>
      <c r="E83" s="57"/>
      <c r="F83" s="57"/>
      <c r="G83" s="57"/>
      <c r="H83" s="57"/>
      <c r="I83" s="57"/>
      <c r="J83" s="57"/>
      <c r="K83" s="57"/>
      <c r="L83" s="57"/>
      <c r="M83" s="57"/>
      <c r="N83" s="57"/>
      <c r="O83" s="57"/>
      <c r="P83" s="57"/>
      <c r="Q83" s="57"/>
      <c r="R83" s="57"/>
      <c r="S83" s="57"/>
      <c r="T83" s="57"/>
      <c r="U83" s="57"/>
      <c r="V83" s="57"/>
      <c r="W83" s="57"/>
      <c r="X83" s="57"/>
      <c r="Y83" s="57"/>
      <c r="Z83" s="57"/>
      <c r="AA83" s="57"/>
      <c r="AB83" s="57"/>
      <c r="AC83" s="57"/>
      <c r="AD83" s="57"/>
      <c r="AE83" s="57"/>
      <c r="AF83" s="57"/>
      <c r="AG83" s="57"/>
      <c r="AH83" s="57"/>
      <c r="AI83" s="57"/>
      <c r="AJ83" s="57"/>
      <c r="AK83" s="57"/>
      <c r="AL83" s="57"/>
      <c r="AM83" s="57"/>
      <c r="AN83" s="57"/>
      <c r="AO83" s="57"/>
      <c r="AP83" s="57"/>
      <c r="AQ83" s="57"/>
      <c r="AR83" s="57"/>
      <c r="AS83" s="57"/>
      <c r="AT83" s="57"/>
      <c r="AU83" s="57"/>
      <c r="AV83" s="57"/>
      <c r="AW83" s="57"/>
      <c r="AX83" s="57"/>
      <c r="AY83" s="57"/>
      <c r="AZ83" s="57"/>
      <c r="BA83" s="57"/>
      <c r="BB83" s="57"/>
      <c r="BC83" s="57"/>
      <c r="BD83" s="57"/>
      <c r="BE83" s="57"/>
      <c r="BF83" s="57"/>
      <c r="BG83" s="57"/>
      <c r="BH83" s="57"/>
      <c r="BI83" s="57"/>
      <c r="BJ83" s="57"/>
      <c r="BK83" s="57"/>
      <c r="BL83" s="57"/>
      <c r="BM83" s="57"/>
      <c r="BN83" s="57"/>
      <c r="BO83" s="57"/>
      <c r="BP83" s="57"/>
      <c r="BQ83" s="57"/>
      <c r="BR83" s="57"/>
      <c r="BS83" s="57"/>
      <c r="BT83" s="57"/>
      <c r="BU83" s="57"/>
      <c r="BV83" s="57"/>
      <c r="BW83" s="57"/>
      <c r="BX83" s="57"/>
      <c r="BY83" s="57"/>
      <c r="BZ83" s="57"/>
      <c r="CA83" s="57"/>
      <c r="CB83" s="57"/>
      <c r="CC83" s="57"/>
      <c r="CD83" s="57"/>
      <c r="CE83" s="57"/>
      <c r="CF83" s="57"/>
      <c r="CG83" s="57"/>
      <c r="CH83" s="57"/>
      <c r="CI83" s="57"/>
      <c r="CJ83" s="57"/>
      <c r="CK83" s="57"/>
      <c r="CL83" s="57"/>
      <c r="CM83" s="57"/>
      <c r="CN83" s="57"/>
      <c r="CO83" s="57"/>
      <c r="CP83" s="57"/>
      <c r="CQ83" s="57"/>
      <c r="CR83" s="57"/>
      <c r="CS83" s="57"/>
      <c r="CT83" s="57"/>
      <c r="CU83" s="57"/>
      <c r="CV83" s="57"/>
      <c r="CW83" s="57"/>
      <c r="CX83" s="57"/>
      <c r="CY83" s="57"/>
      <c r="CZ83" s="57"/>
      <c r="DA83" s="57"/>
      <c r="DB83" s="57"/>
      <c r="DC83" s="57"/>
      <c r="DD83" s="57"/>
      <c r="DE83" s="57"/>
      <c r="DF83" s="57"/>
      <c r="DG83" s="57"/>
      <c r="DH83" s="57"/>
      <c r="DI83" s="57"/>
      <c r="DJ83" s="57"/>
      <c r="DK83" s="57"/>
      <c r="DL83" s="57"/>
      <c r="DM83" s="57"/>
      <c r="DN83" s="57"/>
      <c r="DO83" s="57"/>
      <c r="DP83" s="57"/>
      <c r="DQ83" s="57"/>
      <c r="DR83" s="57"/>
      <c r="DS83" s="57"/>
      <c r="DT83" s="57"/>
      <c r="DU83" s="57"/>
      <c r="DV83" s="57"/>
      <c r="DW83" s="57"/>
      <c r="DX83" s="57"/>
      <c r="DY83" s="57"/>
      <c r="DZ83" s="57"/>
      <c r="EA83" s="57"/>
      <c r="EB83" s="57"/>
      <c r="EC83" s="57"/>
      <c r="ED83" s="57"/>
      <c r="EE83" s="57"/>
      <c r="EF83" s="57"/>
      <c r="EG83" s="57"/>
      <c r="EH83" s="57"/>
      <c r="EI83" s="57"/>
      <c r="EJ83" s="57"/>
      <c r="EK83" s="57"/>
      <c r="EL83" s="57"/>
      <c r="EM83" s="57"/>
      <c r="EN83" s="57"/>
      <c r="EO83" s="57"/>
      <c r="EP83" s="57"/>
      <c r="EQ83" s="57"/>
      <c r="ER83" s="57"/>
      <c r="ES83" s="57"/>
      <c r="ET83" s="57"/>
      <c r="EU83" s="57"/>
      <c r="EV83" s="57"/>
      <c r="EW83" s="57"/>
      <c r="EX83" s="57"/>
      <c r="EY83" s="57"/>
      <c r="EZ83" s="57"/>
      <c r="FA83" s="57"/>
      <c r="FB83" s="57"/>
      <c r="FC83" s="57"/>
      <c r="FD83" s="57"/>
      <c r="FE83" s="57"/>
      <c r="FF83" s="57"/>
      <c r="FG83" s="57"/>
      <c r="FH83" s="57"/>
      <c r="FI83" s="57"/>
      <c r="FJ83" s="57"/>
      <c r="FK83" s="57"/>
      <c r="FL83" s="57"/>
      <c r="FM83" s="57"/>
      <c r="FN83" s="57"/>
      <c r="FO83" s="57"/>
    </row>
    <row r="84" spans="2:171" ht="22.05" customHeight="1" x14ac:dyDescent="0.3">
      <c r="B84" s="3"/>
      <c r="C84" s="58" t="s">
        <v>77</v>
      </c>
      <c r="D84" s="59"/>
      <c r="E84" s="59"/>
      <c r="F84" s="59"/>
      <c r="G84" s="59"/>
      <c r="H84" s="59"/>
      <c r="I84" s="59"/>
      <c r="J84" s="59"/>
      <c r="K84" s="59"/>
      <c r="L84" s="59"/>
      <c r="M84" s="59"/>
      <c r="N84" s="59"/>
      <c r="O84" s="59"/>
      <c r="P84" s="58" t="s">
        <v>78</v>
      </c>
      <c r="Q84" s="59"/>
      <c r="R84" s="59"/>
      <c r="S84" s="59"/>
      <c r="T84" s="59"/>
      <c r="U84" s="59"/>
      <c r="V84" s="59"/>
      <c r="W84" s="59"/>
      <c r="X84" s="59"/>
      <c r="Y84" s="59"/>
      <c r="Z84" s="59"/>
      <c r="AA84" s="59"/>
      <c r="AB84" s="59"/>
      <c r="AC84" s="58" t="s">
        <v>79</v>
      </c>
      <c r="AD84" s="59"/>
      <c r="AE84" s="59"/>
      <c r="AF84" s="59"/>
      <c r="AG84" s="59"/>
      <c r="AH84" s="59"/>
      <c r="AI84" s="59"/>
      <c r="AJ84" s="59"/>
      <c r="AK84" s="59"/>
      <c r="AL84" s="59"/>
      <c r="AM84" s="59"/>
      <c r="AN84" s="59"/>
      <c r="AO84" s="59"/>
      <c r="AP84" s="58" t="s">
        <v>80</v>
      </c>
      <c r="AQ84" s="59"/>
      <c r="AR84" s="59"/>
      <c r="AS84" s="59"/>
      <c r="AT84" s="59"/>
      <c r="AU84" s="59"/>
      <c r="AV84" s="59"/>
      <c r="AW84" s="59"/>
      <c r="AX84" s="59"/>
      <c r="AY84" s="59"/>
      <c r="AZ84" s="59"/>
      <c r="BA84" s="59"/>
      <c r="BB84" s="59"/>
      <c r="BC84" s="58" t="s">
        <v>81</v>
      </c>
      <c r="BD84" s="59"/>
      <c r="BE84" s="59"/>
      <c r="BF84" s="59"/>
      <c r="BG84" s="59"/>
      <c r="BH84" s="59"/>
      <c r="BI84" s="59"/>
      <c r="BJ84" s="59"/>
      <c r="BK84" s="59"/>
      <c r="BL84" s="59"/>
      <c r="BM84" s="59"/>
      <c r="BN84" s="59"/>
      <c r="BO84" s="59"/>
      <c r="BP84" s="58" t="s">
        <v>82</v>
      </c>
      <c r="BQ84" s="59"/>
      <c r="BR84" s="59"/>
      <c r="BS84" s="59"/>
      <c r="BT84" s="59"/>
      <c r="BU84" s="59"/>
      <c r="BV84" s="59"/>
      <c r="BW84" s="59"/>
      <c r="BX84" s="59"/>
      <c r="BY84" s="59"/>
      <c r="BZ84" s="59"/>
      <c r="CA84" s="59"/>
      <c r="CB84" s="59"/>
      <c r="CC84" s="58" t="s">
        <v>83</v>
      </c>
      <c r="CD84" s="59"/>
      <c r="CE84" s="59"/>
      <c r="CF84" s="59"/>
      <c r="CG84" s="59"/>
      <c r="CH84" s="59"/>
      <c r="CI84" s="59"/>
      <c r="CJ84" s="59"/>
      <c r="CK84" s="59"/>
      <c r="CL84" s="59"/>
      <c r="CM84" s="59"/>
      <c r="CN84" s="59"/>
      <c r="CO84" s="59"/>
      <c r="CP84" s="58" t="s">
        <v>112</v>
      </c>
      <c r="CQ84" s="59"/>
      <c r="CR84" s="59"/>
      <c r="CS84" s="59"/>
      <c r="CT84" s="59"/>
      <c r="CU84" s="59"/>
      <c r="CV84" s="59"/>
      <c r="CW84" s="59"/>
      <c r="CX84" s="59"/>
      <c r="CY84" s="59"/>
      <c r="CZ84" s="59"/>
      <c r="DA84" s="59"/>
      <c r="DB84" s="59"/>
      <c r="DC84" s="58" t="s">
        <v>113</v>
      </c>
      <c r="DD84" s="59"/>
      <c r="DE84" s="59"/>
      <c r="DF84" s="59"/>
      <c r="DG84" s="59"/>
      <c r="DH84" s="59"/>
      <c r="DI84" s="59"/>
      <c r="DJ84" s="59"/>
      <c r="DK84" s="59"/>
      <c r="DL84" s="59"/>
      <c r="DM84" s="59"/>
      <c r="DN84" s="59"/>
      <c r="DO84" s="59"/>
      <c r="DP84" s="58" t="s">
        <v>86</v>
      </c>
      <c r="DQ84" s="59"/>
      <c r="DR84" s="59"/>
      <c r="DS84" s="59"/>
      <c r="DT84" s="59"/>
      <c r="DU84" s="59"/>
      <c r="DV84" s="59"/>
      <c r="DW84" s="59"/>
      <c r="DX84" s="59"/>
      <c r="DY84" s="59"/>
      <c r="DZ84" s="59"/>
      <c r="EA84" s="59"/>
      <c r="EB84" s="59"/>
      <c r="EC84" s="58" t="s">
        <v>87</v>
      </c>
      <c r="ED84" s="59"/>
      <c r="EE84" s="59"/>
      <c r="EF84" s="59"/>
      <c r="EG84" s="59"/>
      <c r="EH84" s="59"/>
      <c r="EI84" s="59"/>
      <c r="EJ84" s="59"/>
      <c r="EK84" s="59"/>
      <c r="EL84" s="59"/>
      <c r="EM84" s="59"/>
      <c r="EN84" s="59"/>
      <c r="EO84" s="59"/>
      <c r="EP84" s="58" t="s">
        <v>88</v>
      </c>
      <c r="EQ84" s="59"/>
      <c r="ER84" s="59"/>
      <c r="ES84" s="59"/>
      <c r="ET84" s="59"/>
      <c r="EU84" s="59"/>
      <c r="EV84" s="59"/>
      <c r="EW84" s="59"/>
      <c r="EX84" s="59"/>
      <c r="EY84" s="59"/>
      <c r="EZ84" s="59"/>
      <c r="FA84" s="59"/>
      <c r="FB84" s="59"/>
      <c r="FC84" s="58" t="s">
        <v>89</v>
      </c>
      <c r="FD84" s="59"/>
      <c r="FE84" s="59"/>
      <c r="FF84" s="59"/>
      <c r="FG84" s="59"/>
      <c r="FH84" s="59"/>
      <c r="FI84" s="59"/>
      <c r="FJ84" s="59"/>
      <c r="FK84" s="59"/>
      <c r="FL84" s="59"/>
      <c r="FM84" s="59"/>
      <c r="FN84" s="59"/>
      <c r="FO84" s="59"/>
    </row>
    <row r="85" spans="2:171" ht="28.05" customHeight="1" x14ac:dyDescent="0.3">
      <c r="B85" s="4" t="s">
        <v>90</v>
      </c>
      <c r="C85" s="5" t="s">
        <v>55</v>
      </c>
      <c r="D85" s="5" t="s">
        <v>56</v>
      </c>
      <c r="E85" s="5" t="s">
        <v>57</v>
      </c>
      <c r="F85" s="5" t="s">
        <v>58</v>
      </c>
      <c r="G85" s="5" t="s">
        <v>59</v>
      </c>
      <c r="H85" s="5" t="s">
        <v>60</v>
      </c>
      <c r="I85" s="5" t="s">
        <v>61</v>
      </c>
      <c r="J85" s="5" t="s">
        <v>62</v>
      </c>
      <c r="K85" s="5" t="s">
        <v>63</v>
      </c>
      <c r="L85" s="5" t="s">
        <v>64</v>
      </c>
      <c r="M85" s="5" t="s">
        <v>65</v>
      </c>
      <c r="N85" s="5" t="s">
        <v>66</v>
      </c>
      <c r="O85" s="5" t="s">
        <v>91</v>
      </c>
      <c r="P85" s="5" t="s">
        <v>55</v>
      </c>
      <c r="Q85" s="5" t="s">
        <v>56</v>
      </c>
      <c r="R85" s="5" t="s">
        <v>57</v>
      </c>
      <c r="S85" s="5" t="s">
        <v>58</v>
      </c>
      <c r="T85" s="5" t="s">
        <v>59</v>
      </c>
      <c r="U85" s="5" t="s">
        <v>60</v>
      </c>
      <c r="V85" s="5" t="s">
        <v>61</v>
      </c>
      <c r="W85" s="5" t="s">
        <v>62</v>
      </c>
      <c r="X85" s="5" t="s">
        <v>63</v>
      </c>
      <c r="Y85" s="5" t="s">
        <v>64</v>
      </c>
      <c r="Z85" s="5" t="s">
        <v>65</v>
      </c>
      <c r="AA85" s="5" t="s">
        <v>66</v>
      </c>
      <c r="AB85" s="5" t="s">
        <v>92</v>
      </c>
      <c r="AC85" s="5" t="s">
        <v>55</v>
      </c>
      <c r="AD85" s="5" t="s">
        <v>56</v>
      </c>
      <c r="AE85" s="5" t="s">
        <v>57</v>
      </c>
      <c r="AF85" s="5" t="s">
        <v>58</v>
      </c>
      <c r="AG85" s="5" t="s">
        <v>59</v>
      </c>
      <c r="AH85" s="5" t="s">
        <v>60</v>
      </c>
      <c r="AI85" s="5" t="s">
        <v>61</v>
      </c>
      <c r="AJ85" s="5" t="s">
        <v>62</v>
      </c>
      <c r="AK85" s="5" t="s">
        <v>63</v>
      </c>
      <c r="AL85" s="5" t="s">
        <v>64</v>
      </c>
      <c r="AM85" s="5" t="s">
        <v>65</v>
      </c>
      <c r="AN85" s="5" t="s">
        <v>66</v>
      </c>
      <c r="AO85" s="5" t="s">
        <v>93</v>
      </c>
      <c r="AP85" s="5" t="s">
        <v>55</v>
      </c>
      <c r="AQ85" s="5" t="s">
        <v>56</v>
      </c>
      <c r="AR85" s="5" t="s">
        <v>57</v>
      </c>
      <c r="AS85" s="5" t="s">
        <v>58</v>
      </c>
      <c r="AT85" s="5" t="s">
        <v>59</v>
      </c>
      <c r="AU85" s="5" t="s">
        <v>60</v>
      </c>
      <c r="AV85" s="5" t="s">
        <v>61</v>
      </c>
      <c r="AW85" s="5" t="s">
        <v>62</v>
      </c>
      <c r="AX85" s="5" t="s">
        <v>63</v>
      </c>
      <c r="AY85" s="5" t="s">
        <v>64</v>
      </c>
      <c r="AZ85" s="5" t="s">
        <v>65</v>
      </c>
      <c r="BA85" s="5" t="s">
        <v>66</v>
      </c>
      <c r="BB85" s="5" t="s">
        <v>94</v>
      </c>
      <c r="BC85" s="5" t="s">
        <v>55</v>
      </c>
      <c r="BD85" s="5" t="s">
        <v>56</v>
      </c>
      <c r="BE85" s="5" t="s">
        <v>57</v>
      </c>
      <c r="BF85" s="5" t="s">
        <v>58</v>
      </c>
      <c r="BG85" s="5" t="s">
        <v>59</v>
      </c>
      <c r="BH85" s="5" t="s">
        <v>60</v>
      </c>
      <c r="BI85" s="5" t="s">
        <v>61</v>
      </c>
      <c r="BJ85" s="5" t="s">
        <v>62</v>
      </c>
      <c r="BK85" s="5" t="s">
        <v>63</v>
      </c>
      <c r="BL85" s="5" t="s">
        <v>64</v>
      </c>
      <c r="BM85" s="5" t="s">
        <v>65</v>
      </c>
      <c r="BN85" s="5" t="s">
        <v>66</v>
      </c>
      <c r="BO85" s="5" t="s">
        <v>95</v>
      </c>
      <c r="BP85" s="5" t="s">
        <v>55</v>
      </c>
      <c r="BQ85" s="5" t="s">
        <v>56</v>
      </c>
      <c r="BR85" s="5" t="s">
        <v>57</v>
      </c>
      <c r="BS85" s="5" t="s">
        <v>58</v>
      </c>
      <c r="BT85" s="5" t="s">
        <v>59</v>
      </c>
      <c r="BU85" s="5" t="s">
        <v>60</v>
      </c>
      <c r="BV85" s="5" t="s">
        <v>61</v>
      </c>
      <c r="BW85" s="5" t="s">
        <v>62</v>
      </c>
      <c r="BX85" s="5" t="s">
        <v>63</v>
      </c>
      <c r="BY85" s="5" t="s">
        <v>64</v>
      </c>
      <c r="BZ85" s="5" t="s">
        <v>65</v>
      </c>
      <c r="CA85" s="5" t="s">
        <v>66</v>
      </c>
      <c r="CB85" s="5" t="s">
        <v>96</v>
      </c>
      <c r="CC85" s="5" t="s">
        <v>55</v>
      </c>
      <c r="CD85" s="5" t="s">
        <v>56</v>
      </c>
      <c r="CE85" s="5" t="s">
        <v>57</v>
      </c>
      <c r="CF85" s="5" t="s">
        <v>58</v>
      </c>
      <c r="CG85" s="5" t="s">
        <v>59</v>
      </c>
      <c r="CH85" s="5" t="s">
        <v>60</v>
      </c>
      <c r="CI85" s="5" t="s">
        <v>61</v>
      </c>
      <c r="CJ85" s="5" t="s">
        <v>62</v>
      </c>
      <c r="CK85" s="5" t="s">
        <v>63</v>
      </c>
      <c r="CL85" s="5" t="s">
        <v>64</v>
      </c>
      <c r="CM85" s="5" t="s">
        <v>65</v>
      </c>
      <c r="CN85" s="5" t="s">
        <v>66</v>
      </c>
      <c r="CO85" s="5" t="s">
        <v>97</v>
      </c>
      <c r="CP85" s="5" t="s">
        <v>55</v>
      </c>
      <c r="CQ85" s="5" t="s">
        <v>56</v>
      </c>
      <c r="CR85" s="5" t="s">
        <v>57</v>
      </c>
      <c r="CS85" s="5" t="s">
        <v>58</v>
      </c>
      <c r="CT85" s="5" t="s">
        <v>59</v>
      </c>
      <c r="CU85" s="5" t="s">
        <v>60</v>
      </c>
      <c r="CV85" s="5" t="s">
        <v>61</v>
      </c>
      <c r="CW85" s="5" t="s">
        <v>62</v>
      </c>
      <c r="CX85" s="5" t="s">
        <v>63</v>
      </c>
      <c r="CY85" s="5" t="s">
        <v>64</v>
      </c>
      <c r="CZ85" s="5" t="s">
        <v>65</v>
      </c>
      <c r="DA85" s="5" t="s">
        <v>66</v>
      </c>
      <c r="DB85" s="5" t="s">
        <v>98</v>
      </c>
      <c r="DC85" s="5" t="s">
        <v>55</v>
      </c>
      <c r="DD85" s="5" t="s">
        <v>56</v>
      </c>
      <c r="DE85" s="5" t="s">
        <v>57</v>
      </c>
      <c r="DF85" s="5" t="s">
        <v>58</v>
      </c>
      <c r="DG85" s="5" t="s">
        <v>59</v>
      </c>
      <c r="DH85" s="5" t="s">
        <v>60</v>
      </c>
      <c r="DI85" s="5" t="s">
        <v>61</v>
      </c>
      <c r="DJ85" s="5" t="s">
        <v>62</v>
      </c>
      <c r="DK85" s="5" t="s">
        <v>63</v>
      </c>
      <c r="DL85" s="5" t="s">
        <v>64</v>
      </c>
      <c r="DM85" s="5" t="s">
        <v>65</v>
      </c>
      <c r="DN85" s="5" t="s">
        <v>66</v>
      </c>
      <c r="DO85" s="5" t="s">
        <v>99</v>
      </c>
      <c r="DP85" s="5" t="s">
        <v>55</v>
      </c>
      <c r="DQ85" s="5" t="s">
        <v>56</v>
      </c>
      <c r="DR85" s="5" t="s">
        <v>57</v>
      </c>
      <c r="DS85" s="5" t="s">
        <v>58</v>
      </c>
      <c r="DT85" s="5" t="s">
        <v>59</v>
      </c>
      <c r="DU85" s="5" t="s">
        <v>60</v>
      </c>
      <c r="DV85" s="5" t="s">
        <v>61</v>
      </c>
      <c r="DW85" s="5" t="s">
        <v>62</v>
      </c>
      <c r="DX85" s="5" t="s">
        <v>63</v>
      </c>
      <c r="DY85" s="5" t="s">
        <v>64</v>
      </c>
      <c r="DZ85" s="5" t="s">
        <v>65</v>
      </c>
      <c r="EA85" s="5" t="s">
        <v>66</v>
      </c>
      <c r="EB85" s="5" t="s">
        <v>100</v>
      </c>
      <c r="EC85" s="5" t="s">
        <v>55</v>
      </c>
      <c r="ED85" s="5" t="s">
        <v>56</v>
      </c>
      <c r="EE85" s="5" t="s">
        <v>57</v>
      </c>
      <c r="EF85" s="5" t="s">
        <v>58</v>
      </c>
      <c r="EG85" s="5" t="s">
        <v>59</v>
      </c>
      <c r="EH85" s="5" t="s">
        <v>60</v>
      </c>
      <c r="EI85" s="5" t="s">
        <v>61</v>
      </c>
      <c r="EJ85" s="5" t="s">
        <v>62</v>
      </c>
      <c r="EK85" s="5" t="s">
        <v>63</v>
      </c>
      <c r="EL85" s="5" t="s">
        <v>64</v>
      </c>
      <c r="EM85" s="5" t="s">
        <v>65</v>
      </c>
      <c r="EN85" s="5" t="s">
        <v>66</v>
      </c>
      <c r="EO85" s="5" t="s">
        <v>101</v>
      </c>
      <c r="EP85" s="5" t="s">
        <v>55</v>
      </c>
      <c r="EQ85" s="5" t="s">
        <v>56</v>
      </c>
      <c r="ER85" s="5" t="s">
        <v>57</v>
      </c>
      <c r="ES85" s="5" t="s">
        <v>58</v>
      </c>
      <c r="ET85" s="5" t="s">
        <v>59</v>
      </c>
      <c r="EU85" s="5" t="s">
        <v>60</v>
      </c>
      <c r="EV85" s="5" t="s">
        <v>61</v>
      </c>
      <c r="EW85" s="5" t="s">
        <v>62</v>
      </c>
      <c r="EX85" s="5" t="s">
        <v>63</v>
      </c>
      <c r="EY85" s="5" t="s">
        <v>64</v>
      </c>
      <c r="EZ85" s="5" t="s">
        <v>65</v>
      </c>
      <c r="FA85" s="5" t="s">
        <v>66</v>
      </c>
      <c r="FB85" s="5" t="s">
        <v>102</v>
      </c>
      <c r="FC85" s="5" t="s">
        <v>55</v>
      </c>
      <c r="FD85" s="5" t="s">
        <v>56</v>
      </c>
      <c r="FE85" s="5" t="s">
        <v>57</v>
      </c>
      <c r="FF85" s="5" t="s">
        <v>58</v>
      </c>
      <c r="FG85" s="5" t="s">
        <v>59</v>
      </c>
      <c r="FH85" s="5" t="s">
        <v>60</v>
      </c>
      <c r="FI85" s="5" t="s">
        <v>61</v>
      </c>
      <c r="FJ85" s="5" t="s">
        <v>62</v>
      </c>
      <c r="FK85" s="5" t="s">
        <v>63</v>
      </c>
      <c r="FL85" s="5" t="s">
        <v>64</v>
      </c>
      <c r="FM85" s="5" t="s">
        <v>65</v>
      </c>
      <c r="FN85" s="5" t="s">
        <v>66</v>
      </c>
      <c r="FO85" s="5" t="s">
        <v>103</v>
      </c>
    </row>
    <row r="86" spans="2:171" ht="28.05" customHeight="1" x14ac:dyDescent="0.3">
      <c r="B86" s="6" t="s">
        <v>46</v>
      </c>
      <c r="C86" s="7">
        <v>0</v>
      </c>
      <c r="D86" s="7">
        <v>0</v>
      </c>
      <c r="E86" s="7">
        <v>0</v>
      </c>
      <c r="F86" s="7">
        <v>0</v>
      </c>
      <c r="G86" s="7">
        <v>0</v>
      </c>
      <c r="H86" s="7">
        <v>0</v>
      </c>
      <c r="I86" s="7">
        <v>0</v>
      </c>
      <c r="J86" s="7">
        <v>0</v>
      </c>
      <c r="K86" s="7">
        <v>0</v>
      </c>
      <c r="L86" s="7">
        <v>0</v>
      </c>
      <c r="M86" s="7">
        <v>0</v>
      </c>
      <c r="N86" s="7">
        <v>0</v>
      </c>
      <c r="O86" s="7">
        <f t="shared" ref="O86:O91" si="126">N86</f>
        <v>0</v>
      </c>
      <c r="P86" s="7">
        <v>0</v>
      </c>
      <c r="Q86" s="7">
        <v>0</v>
      </c>
      <c r="R86" s="7">
        <v>0</v>
      </c>
      <c r="S86" s="7">
        <v>0</v>
      </c>
      <c r="T86" s="7">
        <v>0</v>
      </c>
      <c r="U86" s="7">
        <v>0</v>
      </c>
      <c r="V86" s="7">
        <v>0</v>
      </c>
      <c r="W86" s="7">
        <v>0</v>
      </c>
      <c r="X86" s="7">
        <v>0</v>
      </c>
      <c r="Y86" s="7">
        <v>0</v>
      </c>
      <c r="Z86" s="7">
        <v>0</v>
      </c>
      <c r="AA86" s="7">
        <v>0</v>
      </c>
      <c r="AB86" s="7">
        <f t="shared" ref="AB86:AB91" si="127">AA86</f>
        <v>0</v>
      </c>
      <c r="AC86" s="7">
        <v>0</v>
      </c>
      <c r="AD86" s="7">
        <v>0</v>
      </c>
      <c r="AE86" s="7">
        <v>0</v>
      </c>
      <c r="AF86" s="7">
        <v>0</v>
      </c>
      <c r="AG86" s="7">
        <v>0</v>
      </c>
      <c r="AH86" s="7">
        <v>0</v>
      </c>
      <c r="AI86" s="7">
        <v>0</v>
      </c>
      <c r="AJ86" s="7">
        <v>0</v>
      </c>
      <c r="AK86" s="7">
        <v>0</v>
      </c>
      <c r="AL86" s="7">
        <v>0</v>
      </c>
      <c r="AM86" s="7">
        <v>0</v>
      </c>
      <c r="AN86" s="7">
        <v>0</v>
      </c>
      <c r="AO86" s="7">
        <f t="shared" ref="AO86:AO91" si="128">AN86</f>
        <v>0</v>
      </c>
      <c r="AP86" s="7">
        <v>0</v>
      </c>
      <c r="AQ86" s="7">
        <v>0</v>
      </c>
      <c r="AR86" s="7">
        <v>0</v>
      </c>
      <c r="AS86" s="7">
        <v>0</v>
      </c>
      <c r="AT86" s="7">
        <v>0</v>
      </c>
      <c r="AU86" s="7">
        <v>0</v>
      </c>
      <c r="AV86" s="7">
        <v>0</v>
      </c>
      <c r="AW86" s="7">
        <v>0</v>
      </c>
      <c r="AX86" s="7">
        <v>0</v>
      </c>
      <c r="AY86" s="7">
        <v>0</v>
      </c>
      <c r="AZ86" s="7">
        <v>0</v>
      </c>
      <c r="BA86" s="7">
        <v>0</v>
      </c>
      <c r="BB86" s="7">
        <f t="shared" ref="BB86:BB91" si="129">BA86</f>
        <v>0</v>
      </c>
      <c r="BC86" s="7">
        <v>0</v>
      </c>
      <c r="BD86" s="7">
        <v>0</v>
      </c>
      <c r="BE86" s="7">
        <v>0</v>
      </c>
      <c r="BF86" s="7">
        <v>0</v>
      </c>
      <c r="BG86" s="7">
        <v>0</v>
      </c>
      <c r="BH86" s="7">
        <v>0</v>
      </c>
      <c r="BI86" s="7">
        <v>0</v>
      </c>
      <c r="BJ86" s="7">
        <v>0</v>
      </c>
      <c r="BK86" s="7">
        <v>0</v>
      </c>
      <c r="BL86" s="7">
        <v>0</v>
      </c>
      <c r="BM86" s="7">
        <v>0</v>
      </c>
      <c r="BN86" s="7">
        <v>0</v>
      </c>
      <c r="BO86" s="7">
        <f t="shared" ref="BO86:BO91" si="130">BN86</f>
        <v>0</v>
      </c>
      <c r="BP86" s="7">
        <v>0</v>
      </c>
      <c r="BQ86" s="7">
        <v>0</v>
      </c>
      <c r="BR86" s="7">
        <v>0</v>
      </c>
      <c r="BS86" s="7">
        <v>0</v>
      </c>
      <c r="BT86" s="7">
        <v>0</v>
      </c>
      <c r="BU86" s="7">
        <v>0</v>
      </c>
      <c r="BV86" s="7">
        <v>0</v>
      </c>
      <c r="BW86" s="7">
        <v>0</v>
      </c>
      <c r="BX86" s="7">
        <v>0</v>
      </c>
      <c r="BY86" s="7">
        <v>0</v>
      </c>
      <c r="BZ86" s="7">
        <v>0</v>
      </c>
      <c r="CA86" s="7">
        <v>0</v>
      </c>
      <c r="CB86" s="7">
        <f t="shared" ref="CB86:CB91" si="131">CA86</f>
        <v>0</v>
      </c>
      <c r="CC86" s="7">
        <v>0</v>
      </c>
      <c r="CD86" s="7">
        <v>0</v>
      </c>
      <c r="CE86" s="7">
        <v>0</v>
      </c>
      <c r="CF86" s="7">
        <v>0</v>
      </c>
      <c r="CG86" s="7">
        <v>0</v>
      </c>
      <c r="CH86" s="7">
        <v>0</v>
      </c>
      <c r="CI86" s="7">
        <v>0</v>
      </c>
      <c r="CJ86" s="7">
        <v>0</v>
      </c>
      <c r="CK86" s="7">
        <v>0</v>
      </c>
      <c r="CL86" s="7">
        <v>0</v>
      </c>
      <c r="CM86" s="7">
        <v>0</v>
      </c>
      <c r="CN86" s="7">
        <v>0</v>
      </c>
      <c r="CO86" s="7">
        <f t="shared" ref="CO86:CO91" si="132">CN86</f>
        <v>0</v>
      </c>
      <c r="CP86" s="7">
        <v>0</v>
      </c>
      <c r="CQ86" s="7">
        <v>0</v>
      </c>
      <c r="CR86" s="7">
        <v>0</v>
      </c>
      <c r="CS86" s="7">
        <v>0</v>
      </c>
      <c r="CT86" s="7">
        <v>0</v>
      </c>
      <c r="CU86" s="7">
        <v>0</v>
      </c>
      <c r="CV86" s="7">
        <v>0</v>
      </c>
      <c r="CW86" s="7">
        <v>0</v>
      </c>
      <c r="CX86" s="7">
        <v>0</v>
      </c>
      <c r="CY86" s="7">
        <v>0</v>
      </c>
      <c r="CZ86" s="7">
        <v>0</v>
      </c>
      <c r="DA86" s="7">
        <v>0</v>
      </c>
      <c r="DB86" s="7">
        <f t="shared" ref="DB86:DB91" si="133">DA86</f>
        <v>0</v>
      </c>
      <c r="DC86" s="7">
        <v>0</v>
      </c>
      <c r="DD86" s="7">
        <v>0</v>
      </c>
      <c r="DE86" s="7">
        <v>0</v>
      </c>
      <c r="DF86" s="7">
        <v>0</v>
      </c>
      <c r="DG86" s="7">
        <v>0</v>
      </c>
      <c r="DH86" s="7">
        <v>0</v>
      </c>
      <c r="DI86" s="7">
        <v>0</v>
      </c>
      <c r="DJ86" s="7">
        <v>0</v>
      </c>
      <c r="DK86" s="7">
        <v>0</v>
      </c>
      <c r="DL86" s="7">
        <v>0</v>
      </c>
      <c r="DM86" s="7">
        <v>0</v>
      </c>
      <c r="DN86" s="7">
        <v>0</v>
      </c>
      <c r="DO86" s="7">
        <f t="shared" ref="DO86:DO91" si="134">DN86</f>
        <v>0</v>
      </c>
      <c r="DP86" s="7">
        <v>0</v>
      </c>
      <c r="DQ86" s="7">
        <v>0</v>
      </c>
      <c r="DR86" s="7">
        <v>0</v>
      </c>
      <c r="DS86" s="7">
        <v>0</v>
      </c>
      <c r="DT86" s="7">
        <v>0</v>
      </c>
      <c r="DU86" s="7">
        <v>0</v>
      </c>
      <c r="DV86" s="7">
        <v>0</v>
      </c>
      <c r="DW86" s="7">
        <v>0</v>
      </c>
      <c r="DX86" s="7">
        <v>0</v>
      </c>
      <c r="DY86" s="7">
        <v>0</v>
      </c>
      <c r="DZ86" s="7">
        <v>0</v>
      </c>
      <c r="EA86" s="7">
        <v>0</v>
      </c>
      <c r="EB86" s="7">
        <f t="shared" ref="EB86:EB91" si="135">EA86</f>
        <v>0</v>
      </c>
      <c r="EC86" s="7">
        <v>0</v>
      </c>
      <c r="ED86" s="7">
        <v>0</v>
      </c>
      <c r="EE86" s="7">
        <v>0</v>
      </c>
      <c r="EF86" s="7">
        <v>0</v>
      </c>
      <c r="EG86" s="7">
        <v>0</v>
      </c>
      <c r="EH86" s="7">
        <v>0</v>
      </c>
      <c r="EI86" s="7">
        <v>0</v>
      </c>
      <c r="EJ86" s="7">
        <v>0</v>
      </c>
      <c r="EK86" s="7">
        <v>0</v>
      </c>
      <c r="EL86" s="7">
        <v>0</v>
      </c>
      <c r="EM86" s="7">
        <v>0</v>
      </c>
      <c r="EN86" s="7">
        <v>0</v>
      </c>
      <c r="EO86" s="7">
        <f t="shared" ref="EO86:EO91" si="136">EN86</f>
        <v>0</v>
      </c>
      <c r="EP86" s="7">
        <v>0</v>
      </c>
      <c r="EQ86" s="7">
        <v>0</v>
      </c>
      <c r="ER86" s="7">
        <v>0</v>
      </c>
      <c r="ES86" s="7">
        <v>0</v>
      </c>
      <c r="ET86" s="7">
        <v>0</v>
      </c>
      <c r="EU86" s="7">
        <v>0</v>
      </c>
      <c r="EV86" s="7">
        <v>0</v>
      </c>
      <c r="EW86" s="7">
        <v>0</v>
      </c>
      <c r="EX86" s="7">
        <v>0</v>
      </c>
      <c r="EY86" s="7">
        <v>0</v>
      </c>
      <c r="EZ86" s="7">
        <v>0</v>
      </c>
      <c r="FA86" s="7">
        <v>0</v>
      </c>
      <c r="FB86" s="7">
        <f t="shared" ref="FB86:FB91" si="137">FA86</f>
        <v>0</v>
      </c>
      <c r="FC86" s="7">
        <v>0</v>
      </c>
      <c r="FD86" s="7">
        <v>0</v>
      </c>
      <c r="FE86" s="7">
        <v>0</v>
      </c>
      <c r="FF86" s="7">
        <v>0</v>
      </c>
      <c r="FG86" s="7">
        <v>0</v>
      </c>
      <c r="FH86" s="7">
        <v>0</v>
      </c>
      <c r="FI86" s="7">
        <v>0</v>
      </c>
      <c r="FO86" s="7">
        <f t="shared" ref="FO86:FO91" si="138">FI86</f>
        <v>0</v>
      </c>
    </row>
    <row r="87" spans="2:171" ht="28.05" customHeight="1" x14ac:dyDescent="0.3">
      <c r="B87" s="6" t="s">
        <v>47</v>
      </c>
      <c r="C87" s="7">
        <v>0</v>
      </c>
      <c r="D87" s="7">
        <v>0</v>
      </c>
      <c r="E87" s="7">
        <v>0</v>
      </c>
      <c r="F87" s="7">
        <v>0</v>
      </c>
      <c r="G87" s="7">
        <v>0</v>
      </c>
      <c r="H87" s="7">
        <v>0</v>
      </c>
      <c r="I87" s="7">
        <v>0</v>
      </c>
      <c r="J87" s="7">
        <v>0</v>
      </c>
      <c r="K87" s="7">
        <v>0</v>
      </c>
      <c r="L87" s="7">
        <v>0</v>
      </c>
      <c r="M87" s="7">
        <v>0</v>
      </c>
      <c r="N87" s="7">
        <v>0</v>
      </c>
      <c r="O87" s="7">
        <f t="shared" si="126"/>
        <v>0</v>
      </c>
      <c r="P87" s="7">
        <v>0</v>
      </c>
      <c r="Q87" s="7">
        <v>0</v>
      </c>
      <c r="R87" s="7">
        <v>0</v>
      </c>
      <c r="S87" s="7">
        <v>0</v>
      </c>
      <c r="T87" s="7">
        <v>0</v>
      </c>
      <c r="U87" s="7">
        <v>0</v>
      </c>
      <c r="V87" s="7">
        <v>0</v>
      </c>
      <c r="W87" s="7">
        <v>0</v>
      </c>
      <c r="X87" s="7">
        <v>0</v>
      </c>
      <c r="Y87" s="7">
        <v>0</v>
      </c>
      <c r="Z87" s="7">
        <v>0</v>
      </c>
      <c r="AA87" s="7">
        <v>0</v>
      </c>
      <c r="AB87" s="7">
        <f t="shared" si="127"/>
        <v>0</v>
      </c>
      <c r="AC87" s="7">
        <v>0</v>
      </c>
      <c r="AD87" s="7">
        <v>0</v>
      </c>
      <c r="AE87" s="7">
        <v>0</v>
      </c>
      <c r="AF87" s="7">
        <v>0</v>
      </c>
      <c r="AG87" s="7">
        <v>0</v>
      </c>
      <c r="AH87" s="7">
        <v>0</v>
      </c>
      <c r="AI87" s="7">
        <v>0</v>
      </c>
      <c r="AJ87" s="7">
        <v>0</v>
      </c>
      <c r="AK87" s="7">
        <v>0</v>
      </c>
      <c r="AL87" s="7">
        <v>0</v>
      </c>
      <c r="AM87" s="7">
        <v>0</v>
      </c>
      <c r="AN87" s="7">
        <v>0</v>
      </c>
      <c r="AO87" s="7">
        <f t="shared" si="128"/>
        <v>0</v>
      </c>
      <c r="AP87" s="7">
        <v>0</v>
      </c>
      <c r="AQ87" s="7">
        <v>0</v>
      </c>
      <c r="AR87" s="7">
        <v>0</v>
      </c>
      <c r="AS87" s="7">
        <v>0</v>
      </c>
      <c r="AT87" s="7">
        <v>0</v>
      </c>
      <c r="AU87" s="7">
        <v>0</v>
      </c>
      <c r="AV87" s="7">
        <v>0</v>
      </c>
      <c r="AW87" s="7">
        <v>0</v>
      </c>
      <c r="AX87" s="7">
        <v>0</v>
      </c>
      <c r="AY87" s="7">
        <v>0</v>
      </c>
      <c r="AZ87" s="7">
        <v>0</v>
      </c>
      <c r="BA87" s="7">
        <v>0</v>
      </c>
      <c r="BB87" s="7">
        <f t="shared" si="129"/>
        <v>0</v>
      </c>
      <c r="BC87" s="7">
        <v>0</v>
      </c>
      <c r="BD87" s="7">
        <v>0</v>
      </c>
      <c r="BE87" s="7">
        <v>0</v>
      </c>
      <c r="BF87" s="7">
        <v>0</v>
      </c>
      <c r="BG87" s="7">
        <v>0</v>
      </c>
      <c r="BH87" s="7">
        <v>0</v>
      </c>
      <c r="BI87" s="7">
        <v>0</v>
      </c>
      <c r="BJ87" s="7">
        <v>0</v>
      </c>
      <c r="BK87" s="7">
        <v>0</v>
      </c>
      <c r="BL87" s="7">
        <v>0</v>
      </c>
      <c r="BM87" s="7">
        <v>0</v>
      </c>
      <c r="BN87" s="7">
        <v>0</v>
      </c>
      <c r="BO87" s="7">
        <f t="shared" si="130"/>
        <v>0</v>
      </c>
      <c r="BP87" s="7">
        <v>0</v>
      </c>
      <c r="BQ87" s="7">
        <v>0</v>
      </c>
      <c r="BR87" s="7">
        <v>0</v>
      </c>
      <c r="BS87" s="7">
        <v>0</v>
      </c>
      <c r="BT87" s="7">
        <v>0</v>
      </c>
      <c r="BU87" s="7">
        <v>0</v>
      </c>
      <c r="BV87" s="7">
        <v>0</v>
      </c>
      <c r="BW87" s="7">
        <v>0</v>
      </c>
      <c r="BX87" s="7">
        <v>0</v>
      </c>
      <c r="BY87" s="7">
        <v>0</v>
      </c>
      <c r="BZ87" s="7">
        <v>0</v>
      </c>
      <c r="CA87" s="7">
        <v>0</v>
      </c>
      <c r="CB87" s="7">
        <f t="shared" si="131"/>
        <v>0</v>
      </c>
      <c r="CC87" s="7">
        <v>0</v>
      </c>
      <c r="CD87" s="7">
        <v>0</v>
      </c>
      <c r="CE87" s="7">
        <v>0</v>
      </c>
      <c r="CF87" s="7">
        <v>0</v>
      </c>
      <c r="CG87" s="7">
        <v>0</v>
      </c>
      <c r="CH87" s="7">
        <v>0</v>
      </c>
      <c r="CI87" s="7">
        <v>0</v>
      </c>
      <c r="CJ87" s="7">
        <v>0</v>
      </c>
      <c r="CK87" s="7">
        <v>0</v>
      </c>
      <c r="CL87" s="7">
        <v>0</v>
      </c>
      <c r="CM87" s="7">
        <v>0</v>
      </c>
      <c r="CN87" s="7">
        <v>0</v>
      </c>
      <c r="CO87" s="7">
        <f t="shared" si="132"/>
        <v>0</v>
      </c>
      <c r="CP87" s="7">
        <v>0</v>
      </c>
      <c r="CQ87" s="7">
        <v>0</v>
      </c>
      <c r="CR87" s="7">
        <v>0</v>
      </c>
      <c r="CS87" s="7">
        <v>0</v>
      </c>
      <c r="CT87" s="7">
        <v>0</v>
      </c>
      <c r="CU87" s="7">
        <v>0</v>
      </c>
      <c r="CV87" s="7">
        <v>0</v>
      </c>
      <c r="CW87" s="7">
        <v>0</v>
      </c>
      <c r="CX87" s="7">
        <v>0</v>
      </c>
      <c r="CY87" s="7">
        <v>0</v>
      </c>
      <c r="CZ87" s="7">
        <v>0</v>
      </c>
      <c r="DA87" s="7">
        <v>0</v>
      </c>
      <c r="DB87" s="7">
        <f t="shared" si="133"/>
        <v>0</v>
      </c>
      <c r="DC87" s="7">
        <v>0</v>
      </c>
      <c r="DD87" s="7">
        <v>0</v>
      </c>
      <c r="DE87" s="7">
        <v>0</v>
      </c>
      <c r="DF87" s="7">
        <v>0</v>
      </c>
      <c r="DG87" s="7">
        <v>0</v>
      </c>
      <c r="DH87" s="7">
        <v>0</v>
      </c>
      <c r="DI87" s="7">
        <v>0</v>
      </c>
      <c r="DJ87" s="7">
        <v>0</v>
      </c>
      <c r="DK87" s="7">
        <v>0</v>
      </c>
      <c r="DL87" s="7">
        <v>0</v>
      </c>
      <c r="DM87" s="7">
        <v>0</v>
      </c>
      <c r="DN87" s="7">
        <v>0</v>
      </c>
      <c r="DO87" s="7">
        <f t="shared" si="134"/>
        <v>0</v>
      </c>
      <c r="DP87" s="7">
        <v>0</v>
      </c>
      <c r="DQ87" s="7">
        <v>0</v>
      </c>
      <c r="DR87" s="7">
        <v>0</v>
      </c>
      <c r="DS87" s="7">
        <v>0</v>
      </c>
      <c r="DT87" s="7">
        <v>0</v>
      </c>
      <c r="DU87" s="7">
        <v>0</v>
      </c>
      <c r="DV87" s="7">
        <v>0</v>
      </c>
      <c r="DW87" s="7">
        <v>0</v>
      </c>
      <c r="DX87" s="7">
        <v>0</v>
      </c>
      <c r="DY87" s="7">
        <v>0</v>
      </c>
      <c r="DZ87" s="7">
        <v>0</v>
      </c>
      <c r="EA87" s="7">
        <v>0</v>
      </c>
      <c r="EB87" s="7">
        <f t="shared" si="135"/>
        <v>0</v>
      </c>
      <c r="EC87" s="7">
        <v>0</v>
      </c>
      <c r="ED87" s="7">
        <v>0</v>
      </c>
      <c r="EE87" s="7">
        <v>0</v>
      </c>
      <c r="EF87" s="7">
        <v>0</v>
      </c>
      <c r="EG87" s="7">
        <v>0</v>
      </c>
      <c r="EH87" s="7">
        <v>0</v>
      </c>
      <c r="EI87" s="7">
        <v>0</v>
      </c>
      <c r="EJ87" s="7">
        <v>0</v>
      </c>
      <c r="EK87" s="7">
        <v>0</v>
      </c>
      <c r="EL87" s="7">
        <v>0</v>
      </c>
      <c r="EM87" s="7">
        <v>0</v>
      </c>
      <c r="EN87" s="7">
        <v>0</v>
      </c>
      <c r="EO87" s="7">
        <f t="shared" si="136"/>
        <v>0</v>
      </c>
      <c r="EP87" s="7">
        <v>0</v>
      </c>
      <c r="EQ87" s="7">
        <v>0</v>
      </c>
      <c r="ER87" s="7">
        <v>0</v>
      </c>
      <c r="ES87" s="7">
        <v>0</v>
      </c>
      <c r="ET87" s="7">
        <v>0</v>
      </c>
      <c r="EU87" s="7">
        <v>0</v>
      </c>
      <c r="EV87" s="7">
        <v>0</v>
      </c>
      <c r="EW87" s="7">
        <v>0</v>
      </c>
      <c r="EX87" s="7">
        <v>0</v>
      </c>
      <c r="EY87" s="7">
        <v>0</v>
      </c>
      <c r="EZ87" s="7">
        <v>0</v>
      </c>
      <c r="FA87" s="7">
        <v>0</v>
      </c>
      <c r="FB87" s="7">
        <f t="shared" si="137"/>
        <v>0</v>
      </c>
      <c r="FC87" s="7">
        <v>0</v>
      </c>
      <c r="FD87" s="7">
        <v>0</v>
      </c>
      <c r="FE87" s="7">
        <v>0</v>
      </c>
      <c r="FF87" s="7">
        <v>0</v>
      </c>
      <c r="FG87" s="7">
        <v>0</v>
      </c>
      <c r="FH87" s="7">
        <v>0</v>
      </c>
      <c r="FI87" s="7">
        <v>0</v>
      </c>
      <c r="FO87" s="7">
        <f t="shared" si="138"/>
        <v>0</v>
      </c>
    </row>
    <row r="88" spans="2:171" ht="28.05" customHeight="1" x14ac:dyDescent="0.3">
      <c r="B88" s="6" t="s">
        <v>48</v>
      </c>
      <c r="C88" s="7">
        <v>0</v>
      </c>
      <c r="D88" s="7">
        <v>0</v>
      </c>
      <c r="E88" s="7">
        <v>0</v>
      </c>
      <c r="F88" s="7">
        <v>0</v>
      </c>
      <c r="G88" s="7">
        <v>0</v>
      </c>
      <c r="H88" s="7">
        <v>0</v>
      </c>
      <c r="I88" s="7">
        <v>0</v>
      </c>
      <c r="J88" s="7">
        <v>0</v>
      </c>
      <c r="K88" s="7">
        <v>0</v>
      </c>
      <c r="L88" s="7">
        <v>0</v>
      </c>
      <c r="M88" s="7">
        <v>0</v>
      </c>
      <c r="N88" s="7">
        <v>0</v>
      </c>
      <c r="O88" s="7">
        <f t="shared" si="126"/>
        <v>0</v>
      </c>
      <c r="P88" s="7">
        <v>0</v>
      </c>
      <c r="Q88" s="7">
        <v>0</v>
      </c>
      <c r="R88" s="7">
        <v>0</v>
      </c>
      <c r="S88" s="7">
        <v>0</v>
      </c>
      <c r="T88" s="7">
        <v>0</v>
      </c>
      <c r="U88" s="7">
        <v>0</v>
      </c>
      <c r="V88" s="7">
        <v>0</v>
      </c>
      <c r="W88" s="7">
        <v>0</v>
      </c>
      <c r="X88" s="7">
        <v>0</v>
      </c>
      <c r="Y88" s="7">
        <v>0</v>
      </c>
      <c r="Z88" s="7">
        <v>0</v>
      </c>
      <c r="AA88" s="7">
        <v>0</v>
      </c>
      <c r="AB88" s="7">
        <f t="shared" si="127"/>
        <v>0</v>
      </c>
      <c r="AC88" s="7">
        <v>0</v>
      </c>
      <c r="AD88" s="7">
        <v>0</v>
      </c>
      <c r="AE88" s="7">
        <v>0</v>
      </c>
      <c r="AF88" s="7">
        <v>0</v>
      </c>
      <c r="AG88" s="7">
        <v>0</v>
      </c>
      <c r="AH88" s="7">
        <v>0</v>
      </c>
      <c r="AI88" s="7">
        <v>0</v>
      </c>
      <c r="AJ88" s="7">
        <v>0</v>
      </c>
      <c r="AK88" s="7">
        <v>0</v>
      </c>
      <c r="AL88" s="7">
        <v>0</v>
      </c>
      <c r="AM88" s="7">
        <v>0</v>
      </c>
      <c r="AN88" s="7">
        <v>0</v>
      </c>
      <c r="AO88" s="7">
        <f t="shared" si="128"/>
        <v>0</v>
      </c>
      <c r="AP88" s="7">
        <v>0</v>
      </c>
      <c r="AQ88" s="7">
        <v>0</v>
      </c>
      <c r="AR88" s="7">
        <v>0</v>
      </c>
      <c r="AS88" s="7">
        <v>0</v>
      </c>
      <c r="AT88" s="7">
        <v>0</v>
      </c>
      <c r="AU88" s="7">
        <v>0</v>
      </c>
      <c r="AV88" s="7">
        <v>0</v>
      </c>
      <c r="AW88" s="7">
        <v>0</v>
      </c>
      <c r="AX88" s="7">
        <v>0</v>
      </c>
      <c r="AY88" s="7">
        <v>0</v>
      </c>
      <c r="AZ88" s="7">
        <v>0</v>
      </c>
      <c r="BA88" s="7">
        <v>0</v>
      </c>
      <c r="BB88" s="7">
        <f t="shared" si="129"/>
        <v>0</v>
      </c>
      <c r="BC88" s="7">
        <v>0</v>
      </c>
      <c r="BD88" s="7">
        <v>0</v>
      </c>
      <c r="BE88" s="7">
        <v>0</v>
      </c>
      <c r="BF88" s="7">
        <v>0</v>
      </c>
      <c r="BG88" s="7">
        <v>0</v>
      </c>
      <c r="BH88" s="7">
        <v>0</v>
      </c>
      <c r="BI88" s="7">
        <v>0</v>
      </c>
      <c r="BJ88" s="7">
        <v>0</v>
      </c>
      <c r="BK88" s="7">
        <v>0</v>
      </c>
      <c r="BL88" s="7">
        <v>0</v>
      </c>
      <c r="BM88" s="7">
        <v>0</v>
      </c>
      <c r="BN88" s="7">
        <v>0</v>
      </c>
      <c r="BO88" s="7">
        <f t="shared" si="130"/>
        <v>0</v>
      </c>
      <c r="BP88" s="7">
        <v>0</v>
      </c>
      <c r="BQ88" s="7">
        <v>0</v>
      </c>
      <c r="BR88" s="7">
        <v>0</v>
      </c>
      <c r="BS88" s="7">
        <v>0</v>
      </c>
      <c r="BT88" s="7">
        <v>0</v>
      </c>
      <c r="BU88" s="7">
        <v>0</v>
      </c>
      <c r="BV88" s="7">
        <v>0</v>
      </c>
      <c r="BW88" s="7">
        <v>0</v>
      </c>
      <c r="BX88" s="7">
        <v>0</v>
      </c>
      <c r="BY88" s="7">
        <v>0</v>
      </c>
      <c r="BZ88" s="7">
        <v>0</v>
      </c>
      <c r="CA88" s="7">
        <v>0</v>
      </c>
      <c r="CB88" s="7">
        <f t="shared" si="131"/>
        <v>0</v>
      </c>
      <c r="CC88" s="7">
        <v>0</v>
      </c>
      <c r="CD88" s="7">
        <v>0</v>
      </c>
      <c r="CE88" s="7">
        <v>0</v>
      </c>
      <c r="CF88" s="7">
        <v>0</v>
      </c>
      <c r="CG88" s="7">
        <v>0</v>
      </c>
      <c r="CH88" s="7">
        <v>0</v>
      </c>
      <c r="CI88" s="7">
        <v>0</v>
      </c>
      <c r="CJ88" s="7">
        <v>0</v>
      </c>
      <c r="CK88" s="7">
        <v>0</v>
      </c>
      <c r="CL88" s="7">
        <v>0</v>
      </c>
      <c r="CM88" s="7">
        <v>0</v>
      </c>
      <c r="CN88" s="7">
        <v>0</v>
      </c>
      <c r="CO88" s="7">
        <f t="shared" si="132"/>
        <v>0</v>
      </c>
      <c r="CP88" s="7">
        <v>0</v>
      </c>
      <c r="CQ88" s="7">
        <v>0</v>
      </c>
      <c r="CR88" s="7">
        <v>0</v>
      </c>
      <c r="CS88" s="7">
        <v>0</v>
      </c>
      <c r="CT88" s="7">
        <v>0</v>
      </c>
      <c r="CU88" s="7">
        <v>0</v>
      </c>
      <c r="CV88" s="7">
        <v>0</v>
      </c>
      <c r="CW88" s="7">
        <v>0</v>
      </c>
      <c r="CX88" s="7">
        <v>0</v>
      </c>
      <c r="CY88" s="7">
        <v>0</v>
      </c>
      <c r="CZ88" s="7">
        <v>0</v>
      </c>
      <c r="DA88" s="7">
        <v>0</v>
      </c>
      <c r="DB88" s="7">
        <f t="shared" si="133"/>
        <v>0</v>
      </c>
      <c r="DC88" s="7">
        <v>0</v>
      </c>
      <c r="DD88" s="7">
        <v>0</v>
      </c>
      <c r="DE88" s="7">
        <v>0</v>
      </c>
      <c r="DF88" s="7">
        <v>0</v>
      </c>
      <c r="DG88" s="7">
        <v>0</v>
      </c>
      <c r="DH88" s="7">
        <v>0</v>
      </c>
      <c r="DI88" s="7">
        <v>0</v>
      </c>
      <c r="DJ88" s="7">
        <v>0</v>
      </c>
      <c r="DK88" s="7">
        <v>0</v>
      </c>
      <c r="DL88" s="7">
        <v>0</v>
      </c>
      <c r="DM88" s="7">
        <v>0</v>
      </c>
      <c r="DN88" s="7">
        <v>0</v>
      </c>
      <c r="DO88" s="7">
        <f t="shared" si="134"/>
        <v>0</v>
      </c>
      <c r="DP88" s="7">
        <v>17877772</v>
      </c>
      <c r="DQ88" s="7">
        <v>17877772</v>
      </c>
      <c r="DR88" s="7">
        <v>17877772</v>
      </c>
      <c r="DS88" s="7">
        <v>17877772</v>
      </c>
      <c r="DT88" s="7">
        <v>17877772</v>
      </c>
      <c r="DU88" s="7">
        <v>17877772</v>
      </c>
      <c r="DV88" s="7">
        <v>17877772</v>
      </c>
      <c r="DW88" s="7">
        <v>17877772</v>
      </c>
      <c r="DX88" s="7">
        <v>17877772</v>
      </c>
      <c r="DY88" s="7">
        <v>17877772</v>
      </c>
      <c r="DZ88" s="7">
        <v>17877772</v>
      </c>
      <c r="EA88" s="7">
        <v>17877772</v>
      </c>
      <c r="EB88" s="7">
        <f t="shared" si="135"/>
        <v>17877772</v>
      </c>
      <c r="EC88" s="7">
        <v>0</v>
      </c>
      <c r="ED88" s="7">
        <v>0</v>
      </c>
      <c r="EE88" s="7">
        <v>0</v>
      </c>
      <c r="EF88" s="7">
        <v>0</v>
      </c>
      <c r="EG88" s="7">
        <v>0</v>
      </c>
      <c r="EH88" s="7">
        <v>0</v>
      </c>
      <c r="EI88" s="7">
        <v>0</v>
      </c>
      <c r="EJ88" s="7">
        <v>0</v>
      </c>
      <c r="EK88" s="7">
        <v>0</v>
      </c>
      <c r="EL88" s="7">
        <v>0</v>
      </c>
      <c r="EM88" s="7">
        <v>0</v>
      </c>
      <c r="EN88" s="7">
        <v>0</v>
      </c>
      <c r="EO88" s="7">
        <f t="shared" si="136"/>
        <v>0</v>
      </c>
      <c r="EP88" s="7">
        <v>0</v>
      </c>
      <c r="EQ88" s="7">
        <v>0</v>
      </c>
      <c r="ER88" s="7">
        <v>0</v>
      </c>
      <c r="ES88" s="7">
        <v>0</v>
      </c>
      <c r="ET88" s="7">
        <v>0</v>
      </c>
      <c r="EU88" s="7">
        <v>0</v>
      </c>
      <c r="EV88" s="7">
        <v>0</v>
      </c>
      <c r="EW88" s="7">
        <v>0</v>
      </c>
      <c r="EX88" s="7">
        <v>0</v>
      </c>
      <c r="EY88" s="7">
        <v>0</v>
      </c>
      <c r="EZ88" s="7">
        <v>0</v>
      </c>
      <c r="FA88" s="7">
        <v>0</v>
      </c>
      <c r="FB88" s="7">
        <f t="shared" si="137"/>
        <v>0</v>
      </c>
      <c r="FC88" s="7">
        <v>0</v>
      </c>
      <c r="FD88" s="7">
        <v>0</v>
      </c>
      <c r="FE88" s="7">
        <v>0</v>
      </c>
      <c r="FF88" s="7">
        <v>0</v>
      </c>
      <c r="FG88" s="7">
        <v>0</v>
      </c>
      <c r="FH88" s="7">
        <v>0</v>
      </c>
      <c r="FI88" s="7">
        <v>0</v>
      </c>
      <c r="FO88" s="7">
        <f t="shared" si="138"/>
        <v>0</v>
      </c>
    </row>
    <row r="89" spans="2:171" ht="28.05" customHeight="1" x14ac:dyDescent="0.3">
      <c r="B89" s="6" t="s">
        <v>49</v>
      </c>
      <c r="C89" s="7">
        <v>0</v>
      </c>
      <c r="D89" s="7">
        <v>0</v>
      </c>
      <c r="E89" s="7">
        <v>0</v>
      </c>
      <c r="F89" s="7">
        <v>0</v>
      </c>
      <c r="G89" s="7">
        <v>0</v>
      </c>
      <c r="H89" s="7">
        <v>0</v>
      </c>
      <c r="I89" s="7">
        <v>0</v>
      </c>
      <c r="J89" s="7">
        <v>0</v>
      </c>
      <c r="K89" s="7">
        <v>0</v>
      </c>
      <c r="L89" s="7">
        <v>0</v>
      </c>
      <c r="M89" s="7">
        <v>0</v>
      </c>
      <c r="N89" s="7">
        <v>0</v>
      </c>
      <c r="O89" s="7">
        <f t="shared" si="126"/>
        <v>0</v>
      </c>
      <c r="P89" s="7">
        <v>0</v>
      </c>
      <c r="Q89" s="7">
        <v>0</v>
      </c>
      <c r="R89" s="7">
        <v>0</v>
      </c>
      <c r="S89" s="7">
        <v>0</v>
      </c>
      <c r="T89" s="7">
        <v>0</v>
      </c>
      <c r="U89" s="7">
        <v>0</v>
      </c>
      <c r="V89" s="7">
        <v>0</v>
      </c>
      <c r="W89" s="7">
        <v>0</v>
      </c>
      <c r="X89" s="7">
        <v>0</v>
      </c>
      <c r="Y89" s="7">
        <v>0</v>
      </c>
      <c r="Z89" s="7">
        <v>0</v>
      </c>
      <c r="AA89" s="7">
        <v>0</v>
      </c>
      <c r="AB89" s="7">
        <f t="shared" si="127"/>
        <v>0</v>
      </c>
      <c r="AC89" s="7">
        <v>0</v>
      </c>
      <c r="AD89" s="7">
        <v>0</v>
      </c>
      <c r="AE89" s="7">
        <v>0</v>
      </c>
      <c r="AF89" s="7">
        <v>0</v>
      </c>
      <c r="AG89" s="7">
        <v>0</v>
      </c>
      <c r="AH89" s="7">
        <v>0</v>
      </c>
      <c r="AI89" s="7">
        <v>0</v>
      </c>
      <c r="AJ89" s="7">
        <v>0</v>
      </c>
      <c r="AK89" s="7">
        <v>0</v>
      </c>
      <c r="AL89" s="7">
        <v>0</v>
      </c>
      <c r="AM89" s="7">
        <v>0</v>
      </c>
      <c r="AN89" s="7">
        <v>0</v>
      </c>
      <c r="AO89" s="7">
        <f t="shared" si="128"/>
        <v>0</v>
      </c>
      <c r="AP89" s="7">
        <v>0</v>
      </c>
      <c r="AQ89" s="7">
        <v>0</v>
      </c>
      <c r="AR89" s="7">
        <v>0</v>
      </c>
      <c r="AS89" s="7">
        <v>0</v>
      </c>
      <c r="AT89" s="7">
        <v>0</v>
      </c>
      <c r="AU89" s="7">
        <v>0</v>
      </c>
      <c r="AV89" s="7">
        <v>0</v>
      </c>
      <c r="AW89" s="7">
        <v>0</v>
      </c>
      <c r="AX89" s="7">
        <v>0</v>
      </c>
      <c r="AY89" s="7">
        <v>0</v>
      </c>
      <c r="AZ89" s="7">
        <v>0</v>
      </c>
      <c r="BA89" s="7">
        <v>0</v>
      </c>
      <c r="BB89" s="7">
        <f t="shared" si="129"/>
        <v>0</v>
      </c>
      <c r="BC89" s="7">
        <v>0</v>
      </c>
      <c r="BD89" s="7">
        <v>0</v>
      </c>
      <c r="BE89" s="7">
        <v>0</v>
      </c>
      <c r="BF89" s="7">
        <v>0</v>
      </c>
      <c r="BG89" s="7">
        <v>0</v>
      </c>
      <c r="BH89" s="7">
        <v>0</v>
      </c>
      <c r="BI89" s="7">
        <v>0</v>
      </c>
      <c r="BJ89" s="7">
        <v>0</v>
      </c>
      <c r="BK89" s="7">
        <v>0</v>
      </c>
      <c r="BL89" s="7">
        <v>0</v>
      </c>
      <c r="BM89" s="7">
        <v>0</v>
      </c>
      <c r="BN89" s="7">
        <v>0</v>
      </c>
      <c r="BO89" s="7">
        <f t="shared" si="130"/>
        <v>0</v>
      </c>
      <c r="BP89" s="7">
        <v>0</v>
      </c>
      <c r="BQ89" s="7">
        <v>0</v>
      </c>
      <c r="BR89" s="7">
        <v>0</v>
      </c>
      <c r="BS89" s="7">
        <v>0</v>
      </c>
      <c r="BT89" s="7">
        <v>0</v>
      </c>
      <c r="BU89" s="7">
        <v>0</v>
      </c>
      <c r="BV89" s="7">
        <v>0</v>
      </c>
      <c r="BW89" s="7">
        <v>0</v>
      </c>
      <c r="BX89" s="7">
        <v>0</v>
      </c>
      <c r="BY89" s="7">
        <v>0</v>
      </c>
      <c r="BZ89" s="7">
        <v>0</v>
      </c>
      <c r="CA89" s="7">
        <v>0</v>
      </c>
      <c r="CB89" s="7">
        <f t="shared" si="131"/>
        <v>0</v>
      </c>
      <c r="CC89" s="7">
        <v>0</v>
      </c>
      <c r="CD89" s="7">
        <v>0</v>
      </c>
      <c r="CE89" s="7">
        <v>0</v>
      </c>
      <c r="CF89" s="7">
        <v>0</v>
      </c>
      <c r="CG89" s="7">
        <v>0</v>
      </c>
      <c r="CH89" s="7">
        <v>0</v>
      </c>
      <c r="CI89" s="7">
        <v>0</v>
      </c>
      <c r="CJ89" s="7">
        <v>0</v>
      </c>
      <c r="CK89" s="7">
        <v>0</v>
      </c>
      <c r="CL89" s="7">
        <v>0</v>
      </c>
      <c r="CM89" s="7">
        <v>0</v>
      </c>
      <c r="CN89" s="7">
        <v>0</v>
      </c>
      <c r="CO89" s="7">
        <f t="shared" si="132"/>
        <v>0</v>
      </c>
      <c r="CP89" s="7">
        <v>0</v>
      </c>
      <c r="CQ89" s="7">
        <v>0</v>
      </c>
      <c r="CR89" s="7">
        <v>0</v>
      </c>
      <c r="CS89" s="7">
        <v>0</v>
      </c>
      <c r="CT89" s="7">
        <v>0</v>
      </c>
      <c r="CU89" s="7">
        <v>0</v>
      </c>
      <c r="CV89" s="7">
        <v>0</v>
      </c>
      <c r="CW89" s="7">
        <v>0</v>
      </c>
      <c r="CX89" s="7">
        <v>0</v>
      </c>
      <c r="CY89" s="7">
        <v>0</v>
      </c>
      <c r="CZ89" s="7">
        <v>0</v>
      </c>
      <c r="DA89" s="7">
        <v>0</v>
      </c>
      <c r="DB89" s="7">
        <f t="shared" si="133"/>
        <v>0</v>
      </c>
      <c r="DC89" s="7">
        <v>0</v>
      </c>
      <c r="DD89" s="7">
        <v>0</v>
      </c>
      <c r="DE89" s="7">
        <v>0</v>
      </c>
      <c r="DF89" s="7">
        <v>0</v>
      </c>
      <c r="DG89" s="7">
        <v>0</v>
      </c>
      <c r="DH89" s="7">
        <v>0</v>
      </c>
      <c r="DI89" s="7">
        <v>0</v>
      </c>
      <c r="DJ89" s="7">
        <v>0</v>
      </c>
      <c r="DK89" s="7">
        <v>0</v>
      </c>
      <c r="DL89" s="7">
        <v>0</v>
      </c>
      <c r="DM89" s="7">
        <v>0</v>
      </c>
      <c r="DN89" s="7">
        <v>0</v>
      </c>
      <c r="DO89" s="7">
        <f t="shared" si="134"/>
        <v>0</v>
      </c>
      <c r="DP89" s="7">
        <v>0</v>
      </c>
      <c r="DQ89" s="7">
        <v>0</v>
      </c>
      <c r="DR89" s="7">
        <v>0</v>
      </c>
      <c r="DS89" s="7">
        <v>0</v>
      </c>
      <c r="DT89" s="7">
        <v>0</v>
      </c>
      <c r="DU89" s="7">
        <v>0</v>
      </c>
      <c r="DV89" s="7">
        <v>0</v>
      </c>
      <c r="DW89" s="7">
        <v>0</v>
      </c>
      <c r="DX89" s="7">
        <v>0</v>
      </c>
      <c r="DY89" s="7">
        <v>0</v>
      </c>
      <c r="DZ89" s="7">
        <v>0</v>
      </c>
      <c r="EA89" s="7">
        <v>0</v>
      </c>
      <c r="EB89" s="7">
        <f t="shared" si="135"/>
        <v>0</v>
      </c>
      <c r="EC89" s="7">
        <v>0</v>
      </c>
      <c r="ED89" s="7">
        <v>0</v>
      </c>
      <c r="EE89" s="7">
        <v>0</v>
      </c>
      <c r="EF89" s="7">
        <v>0</v>
      </c>
      <c r="EG89" s="7">
        <v>0</v>
      </c>
      <c r="EH89" s="7">
        <v>0</v>
      </c>
      <c r="EI89" s="7">
        <v>0</v>
      </c>
      <c r="EJ89" s="7">
        <v>0</v>
      </c>
      <c r="EK89" s="7">
        <v>0</v>
      </c>
      <c r="EL89" s="7">
        <v>0</v>
      </c>
      <c r="EM89" s="7">
        <v>0</v>
      </c>
      <c r="EN89" s="7">
        <v>0</v>
      </c>
      <c r="EO89" s="7">
        <f t="shared" si="136"/>
        <v>0</v>
      </c>
      <c r="EP89" s="7">
        <v>0</v>
      </c>
      <c r="EQ89" s="7">
        <v>0</v>
      </c>
      <c r="ER89" s="7">
        <v>0</v>
      </c>
      <c r="ES89" s="7">
        <v>0</v>
      </c>
      <c r="ET89" s="7">
        <v>0</v>
      </c>
      <c r="EU89" s="7">
        <v>0</v>
      </c>
      <c r="EV89" s="7">
        <v>0</v>
      </c>
      <c r="EW89" s="7">
        <v>0</v>
      </c>
      <c r="EX89" s="7">
        <v>0</v>
      </c>
      <c r="EY89" s="7">
        <v>0</v>
      </c>
      <c r="EZ89" s="7">
        <v>0</v>
      </c>
      <c r="FA89" s="7">
        <v>0</v>
      </c>
      <c r="FB89" s="7">
        <f t="shared" si="137"/>
        <v>0</v>
      </c>
      <c r="FC89" s="7">
        <v>0</v>
      </c>
      <c r="FD89" s="7">
        <v>0</v>
      </c>
      <c r="FE89" s="7">
        <v>0</v>
      </c>
      <c r="FF89" s="7">
        <v>0</v>
      </c>
      <c r="FG89" s="7">
        <v>0</v>
      </c>
      <c r="FH89" s="7">
        <v>0</v>
      </c>
      <c r="FI89" s="7">
        <v>0</v>
      </c>
      <c r="FO89" s="7">
        <f t="shared" si="138"/>
        <v>0</v>
      </c>
    </row>
    <row r="90" spans="2:171" ht="28.05" customHeight="1" x14ac:dyDescent="0.3">
      <c r="B90" s="6" t="s">
        <v>50</v>
      </c>
      <c r="C90" s="7">
        <v>0</v>
      </c>
      <c r="D90" s="7">
        <v>0</v>
      </c>
      <c r="E90" s="7">
        <v>0</v>
      </c>
      <c r="F90" s="7">
        <v>0</v>
      </c>
      <c r="G90" s="7">
        <v>0</v>
      </c>
      <c r="H90" s="7">
        <v>0</v>
      </c>
      <c r="I90" s="7">
        <v>0</v>
      </c>
      <c r="J90" s="7">
        <v>0</v>
      </c>
      <c r="K90" s="7">
        <v>0</v>
      </c>
      <c r="L90" s="7">
        <v>0</v>
      </c>
      <c r="M90" s="7">
        <v>0</v>
      </c>
      <c r="N90" s="7">
        <v>0</v>
      </c>
      <c r="O90" s="7">
        <f t="shared" si="126"/>
        <v>0</v>
      </c>
      <c r="P90" s="7">
        <v>0</v>
      </c>
      <c r="Q90" s="7">
        <v>0</v>
      </c>
      <c r="R90" s="7">
        <v>0</v>
      </c>
      <c r="S90" s="7">
        <v>0</v>
      </c>
      <c r="T90" s="7">
        <v>0</v>
      </c>
      <c r="U90" s="7">
        <v>0</v>
      </c>
      <c r="V90" s="7">
        <v>0</v>
      </c>
      <c r="W90" s="7">
        <v>0</v>
      </c>
      <c r="X90" s="7">
        <v>0</v>
      </c>
      <c r="Y90" s="7">
        <v>0</v>
      </c>
      <c r="Z90" s="7">
        <v>0</v>
      </c>
      <c r="AA90" s="7">
        <v>0</v>
      </c>
      <c r="AB90" s="7">
        <f t="shared" si="127"/>
        <v>0</v>
      </c>
      <c r="AC90" s="7">
        <v>0</v>
      </c>
      <c r="AD90" s="7">
        <v>0</v>
      </c>
      <c r="AE90" s="7">
        <v>0</v>
      </c>
      <c r="AF90" s="7">
        <v>0</v>
      </c>
      <c r="AG90" s="7">
        <v>0</v>
      </c>
      <c r="AH90" s="7">
        <v>0</v>
      </c>
      <c r="AI90" s="7">
        <v>0</v>
      </c>
      <c r="AJ90" s="7">
        <v>0</v>
      </c>
      <c r="AK90" s="7">
        <v>0</v>
      </c>
      <c r="AL90" s="7">
        <v>0</v>
      </c>
      <c r="AM90" s="7">
        <v>0</v>
      </c>
      <c r="AN90" s="7">
        <v>0</v>
      </c>
      <c r="AO90" s="7">
        <f t="shared" si="128"/>
        <v>0</v>
      </c>
      <c r="AP90" s="7">
        <v>0</v>
      </c>
      <c r="AQ90" s="7">
        <v>0</v>
      </c>
      <c r="AR90" s="7">
        <v>0</v>
      </c>
      <c r="AS90" s="7">
        <v>0</v>
      </c>
      <c r="AT90" s="7">
        <v>0</v>
      </c>
      <c r="AU90" s="7">
        <v>0</v>
      </c>
      <c r="AV90" s="7">
        <v>0</v>
      </c>
      <c r="AW90" s="7">
        <v>0</v>
      </c>
      <c r="AX90" s="7">
        <v>0</v>
      </c>
      <c r="AY90" s="7">
        <v>0</v>
      </c>
      <c r="AZ90" s="7">
        <v>0</v>
      </c>
      <c r="BA90" s="7">
        <v>0</v>
      </c>
      <c r="BB90" s="7">
        <f t="shared" si="129"/>
        <v>0</v>
      </c>
      <c r="BC90" s="7">
        <v>0</v>
      </c>
      <c r="BD90" s="7">
        <v>0</v>
      </c>
      <c r="BE90" s="7">
        <v>0</v>
      </c>
      <c r="BF90" s="7">
        <v>0</v>
      </c>
      <c r="BG90" s="7">
        <v>0</v>
      </c>
      <c r="BH90" s="7">
        <v>0</v>
      </c>
      <c r="BI90" s="7">
        <v>0</v>
      </c>
      <c r="BJ90" s="7">
        <v>0</v>
      </c>
      <c r="BK90" s="7">
        <v>0</v>
      </c>
      <c r="BL90" s="7">
        <v>0</v>
      </c>
      <c r="BM90" s="7">
        <v>0</v>
      </c>
      <c r="BN90" s="7">
        <v>0</v>
      </c>
      <c r="BO90" s="7">
        <f t="shared" si="130"/>
        <v>0</v>
      </c>
      <c r="BP90" s="7">
        <v>0</v>
      </c>
      <c r="BQ90" s="7">
        <v>0</v>
      </c>
      <c r="BR90" s="7">
        <v>0</v>
      </c>
      <c r="BS90" s="7">
        <v>0</v>
      </c>
      <c r="BT90" s="7">
        <v>0</v>
      </c>
      <c r="BU90" s="7">
        <v>0</v>
      </c>
      <c r="BV90" s="7">
        <v>0</v>
      </c>
      <c r="BW90" s="7">
        <v>0</v>
      </c>
      <c r="BX90" s="7">
        <v>0</v>
      </c>
      <c r="BY90" s="7">
        <v>0</v>
      </c>
      <c r="BZ90" s="7">
        <v>0</v>
      </c>
      <c r="CA90" s="7">
        <v>0</v>
      </c>
      <c r="CB90" s="7">
        <f t="shared" si="131"/>
        <v>0</v>
      </c>
      <c r="CC90" s="7">
        <v>0</v>
      </c>
      <c r="CD90" s="7">
        <v>0</v>
      </c>
      <c r="CE90" s="7">
        <v>0</v>
      </c>
      <c r="CF90" s="7">
        <v>0</v>
      </c>
      <c r="CG90" s="7">
        <v>0</v>
      </c>
      <c r="CH90" s="7">
        <v>0</v>
      </c>
      <c r="CI90" s="7">
        <v>0</v>
      </c>
      <c r="CJ90" s="7">
        <v>0</v>
      </c>
      <c r="CK90" s="7">
        <v>0</v>
      </c>
      <c r="CL90" s="7">
        <v>0</v>
      </c>
      <c r="CM90" s="7">
        <v>0</v>
      </c>
      <c r="CN90" s="7">
        <v>0</v>
      </c>
      <c r="CO90" s="7">
        <f t="shared" si="132"/>
        <v>0</v>
      </c>
      <c r="CP90" s="7">
        <v>0</v>
      </c>
      <c r="CQ90" s="7">
        <v>0</v>
      </c>
      <c r="CR90" s="7">
        <v>0</v>
      </c>
      <c r="CS90" s="7">
        <v>0</v>
      </c>
      <c r="CT90" s="7">
        <v>0</v>
      </c>
      <c r="CU90" s="7">
        <v>0</v>
      </c>
      <c r="CV90" s="7">
        <v>0</v>
      </c>
      <c r="CW90" s="7">
        <v>0</v>
      </c>
      <c r="CX90" s="7">
        <v>0</v>
      </c>
      <c r="CY90" s="7">
        <v>0</v>
      </c>
      <c r="CZ90" s="7">
        <v>0</v>
      </c>
      <c r="DA90" s="7">
        <v>0</v>
      </c>
      <c r="DB90" s="7">
        <f t="shared" si="133"/>
        <v>0</v>
      </c>
      <c r="DC90" s="7">
        <v>0</v>
      </c>
      <c r="DD90" s="7">
        <v>0</v>
      </c>
      <c r="DE90" s="7">
        <v>0</v>
      </c>
      <c r="DF90" s="7">
        <v>0</v>
      </c>
      <c r="DG90" s="7">
        <v>0</v>
      </c>
      <c r="DH90" s="7">
        <v>0</v>
      </c>
      <c r="DI90" s="7">
        <v>0</v>
      </c>
      <c r="DJ90" s="7">
        <v>0</v>
      </c>
      <c r="DK90" s="7">
        <v>0</v>
      </c>
      <c r="DL90" s="7">
        <v>0</v>
      </c>
      <c r="DM90" s="7">
        <v>0</v>
      </c>
      <c r="DN90" s="7">
        <v>0</v>
      </c>
      <c r="DO90" s="7">
        <f t="shared" si="134"/>
        <v>0</v>
      </c>
      <c r="DP90" s="7">
        <v>0</v>
      </c>
      <c r="DQ90" s="7">
        <v>0</v>
      </c>
      <c r="DR90" s="7">
        <v>0</v>
      </c>
      <c r="DS90" s="7">
        <v>0</v>
      </c>
      <c r="DT90" s="7">
        <v>0</v>
      </c>
      <c r="DU90" s="7">
        <v>0</v>
      </c>
      <c r="DV90" s="7">
        <v>0</v>
      </c>
      <c r="DW90" s="7">
        <v>0</v>
      </c>
      <c r="DX90" s="7">
        <v>0</v>
      </c>
      <c r="DY90" s="7">
        <v>0</v>
      </c>
      <c r="DZ90" s="7">
        <v>0</v>
      </c>
      <c r="EA90" s="7">
        <v>0</v>
      </c>
      <c r="EB90" s="7">
        <f t="shared" si="135"/>
        <v>0</v>
      </c>
      <c r="EC90" s="7">
        <v>0</v>
      </c>
      <c r="ED90" s="7">
        <v>0</v>
      </c>
      <c r="EE90" s="7">
        <v>0</v>
      </c>
      <c r="EF90" s="7">
        <v>0</v>
      </c>
      <c r="EG90" s="7">
        <v>0</v>
      </c>
      <c r="EH90" s="7">
        <v>0</v>
      </c>
      <c r="EI90" s="7">
        <v>0</v>
      </c>
      <c r="EJ90" s="7">
        <v>0</v>
      </c>
      <c r="EK90" s="7">
        <v>0</v>
      </c>
      <c r="EL90" s="7">
        <v>0</v>
      </c>
      <c r="EM90" s="7">
        <v>0</v>
      </c>
      <c r="EN90" s="7">
        <v>0</v>
      </c>
      <c r="EO90" s="7">
        <f t="shared" si="136"/>
        <v>0</v>
      </c>
      <c r="EP90" s="7">
        <v>0</v>
      </c>
      <c r="EQ90" s="7">
        <v>0</v>
      </c>
      <c r="ER90" s="7">
        <v>0</v>
      </c>
      <c r="ES90" s="7">
        <v>0</v>
      </c>
      <c r="ET90" s="7">
        <v>0</v>
      </c>
      <c r="EU90" s="7">
        <v>0</v>
      </c>
      <c r="EV90" s="7">
        <v>0</v>
      </c>
      <c r="EW90" s="7">
        <v>0</v>
      </c>
      <c r="EX90" s="7">
        <v>0</v>
      </c>
      <c r="EY90" s="7">
        <v>0</v>
      </c>
      <c r="EZ90" s="7">
        <v>0</v>
      </c>
      <c r="FA90" s="7">
        <v>0</v>
      </c>
      <c r="FB90" s="7">
        <f t="shared" si="137"/>
        <v>0</v>
      </c>
      <c r="FC90" s="7">
        <v>0</v>
      </c>
      <c r="FD90" s="7">
        <v>0</v>
      </c>
      <c r="FE90" s="7">
        <v>0</v>
      </c>
      <c r="FF90" s="7">
        <v>0</v>
      </c>
      <c r="FG90" s="7">
        <v>0</v>
      </c>
      <c r="FH90" s="7">
        <v>0</v>
      </c>
      <c r="FI90" s="7">
        <v>0</v>
      </c>
      <c r="FO90" s="7">
        <f t="shared" si="138"/>
        <v>0</v>
      </c>
    </row>
    <row r="91" spans="2:171" ht="28.05" customHeight="1" x14ac:dyDescent="0.3">
      <c r="B91" s="6" t="s">
        <v>51</v>
      </c>
      <c r="C91" s="7">
        <v>0</v>
      </c>
      <c r="D91" s="7">
        <v>0</v>
      </c>
      <c r="E91" s="7">
        <v>0</v>
      </c>
      <c r="F91" s="7">
        <v>0</v>
      </c>
      <c r="G91" s="7">
        <v>0</v>
      </c>
      <c r="H91" s="7">
        <v>0</v>
      </c>
      <c r="I91" s="7">
        <v>0</v>
      </c>
      <c r="J91" s="7">
        <v>0</v>
      </c>
      <c r="K91" s="7">
        <v>0</v>
      </c>
      <c r="L91" s="7">
        <v>0</v>
      </c>
      <c r="M91" s="7">
        <v>0</v>
      </c>
      <c r="N91" s="7">
        <v>0</v>
      </c>
      <c r="O91" s="7">
        <f t="shared" si="126"/>
        <v>0</v>
      </c>
      <c r="P91" s="7">
        <v>0</v>
      </c>
      <c r="Q91" s="7">
        <v>0</v>
      </c>
      <c r="R91" s="7">
        <v>0</v>
      </c>
      <c r="S91" s="7">
        <v>0</v>
      </c>
      <c r="T91" s="7">
        <v>0</v>
      </c>
      <c r="U91" s="7">
        <v>0</v>
      </c>
      <c r="V91" s="7">
        <v>0</v>
      </c>
      <c r="W91" s="7">
        <v>0</v>
      </c>
      <c r="X91" s="7">
        <v>0</v>
      </c>
      <c r="Y91" s="7">
        <v>0</v>
      </c>
      <c r="Z91" s="7">
        <v>0</v>
      </c>
      <c r="AA91" s="7">
        <v>0</v>
      </c>
      <c r="AB91" s="7">
        <f t="shared" si="127"/>
        <v>0</v>
      </c>
      <c r="AC91" s="7">
        <v>0</v>
      </c>
      <c r="AD91" s="7">
        <v>0</v>
      </c>
      <c r="AE91" s="7">
        <v>0</v>
      </c>
      <c r="AF91" s="7">
        <v>0</v>
      </c>
      <c r="AG91" s="7">
        <v>0</v>
      </c>
      <c r="AH91" s="7">
        <v>0</v>
      </c>
      <c r="AI91" s="7">
        <v>0</v>
      </c>
      <c r="AJ91" s="7">
        <v>0</v>
      </c>
      <c r="AK91" s="7">
        <v>0</v>
      </c>
      <c r="AL91" s="7">
        <v>0</v>
      </c>
      <c r="AM91" s="7">
        <v>0</v>
      </c>
      <c r="AN91" s="7">
        <v>0</v>
      </c>
      <c r="AO91" s="7">
        <f t="shared" si="128"/>
        <v>0</v>
      </c>
      <c r="AP91" s="7">
        <v>0</v>
      </c>
      <c r="AQ91" s="7">
        <v>0</v>
      </c>
      <c r="AR91" s="7">
        <v>0</v>
      </c>
      <c r="AS91" s="7">
        <v>0</v>
      </c>
      <c r="AT91" s="7">
        <v>0</v>
      </c>
      <c r="AU91" s="7">
        <v>0</v>
      </c>
      <c r="AV91" s="7">
        <v>0</v>
      </c>
      <c r="AW91" s="7">
        <v>0</v>
      </c>
      <c r="AX91" s="7">
        <v>0</v>
      </c>
      <c r="AY91" s="7">
        <v>0</v>
      </c>
      <c r="AZ91" s="7">
        <v>0</v>
      </c>
      <c r="BA91" s="7">
        <v>0</v>
      </c>
      <c r="BB91" s="7">
        <f t="shared" si="129"/>
        <v>0</v>
      </c>
      <c r="BC91" s="7">
        <v>0</v>
      </c>
      <c r="BD91" s="7">
        <v>0</v>
      </c>
      <c r="BE91" s="7">
        <v>0</v>
      </c>
      <c r="BF91" s="7">
        <v>0</v>
      </c>
      <c r="BG91" s="7">
        <v>0</v>
      </c>
      <c r="BH91" s="7">
        <v>0</v>
      </c>
      <c r="BI91" s="7">
        <v>0</v>
      </c>
      <c r="BJ91" s="7">
        <v>0</v>
      </c>
      <c r="BK91" s="7">
        <v>0</v>
      </c>
      <c r="BL91" s="7">
        <v>0</v>
      </c>
      <c r="BM91" s="7">
        <v>0</v>
      </c>
      <c r="BN91" s="7">
        <v>0</v>
      </c>
      <c r="BO91" s="7">
        <f t="shared" si="130"/>
        <v>0</v>
      </c>
      <c r="BP91" s="7">
        <v>0</v>
      </c>
      <c r="BQ91" s="7">
        <v>0</v>
      </c>
      <c r="BR91" s="7">
        <v>0</v>
      </c>
      <c r="BS91" s="7">
        <v>0</v>
      </c>
      <c r="BT91" s="7">
        <v>0</v>
      </c>
      <c r="BU91" s="7">
        <v>0</v>
      </c>
      <c r="BV91" s="7">
        <v>0</v>
      </c>
      <c r="BW91" s="7">
        <v>0</v>
      </c>
      <c r="BX91" s="7">
        <v>0</v>
      </c>
      <c r="BY91" s="7">
        <v>0</v>
      </c>
      <c r="BZ91" s="7">
        <v>0</v>
      </c>
      <c r="CA91" s="7">
        <v>0</v>
      </c>
      <c r="CB91" s="7">
        <f t="shared" si="131"/>
        <v>0</v>
      </c>
      <c r="CC91" s="7">
        <v>0</v>
      </c>
      <c r="CD91" s="7">
        <v>0</v>
      </c>
      <c r="CE91" s="7">
        <v>0</v>
      </c>
      <c r="CF91" s="7">
        <v>0</v>
      </c>
      <c r="CG91" s="7">
        <v>0</v>
      </c>
      <c r="CH91" s="7">
        <v>0</v>
      </c>
      <c r="CI91" s="7">
        <v>0</v>
      </c>
      <c r="CJ91" s="7">
        <v>0</v>
      </c>
      <c r="CK91" s="7">
        <v>0</v>
      </c>
      <c r="CL91" s="7">
        <v>0</v>
      </c>
      <c r="CM91" s="7">
        <v>0</v>
      </c>
      <c r="CN91" s="7">
        <v>0</v>
      </c>
      <c r="CO91" s="7">
        <f t="shared" si="132"/>
        <v>0</v>
      </c>
      <c r="CP91" s="7">
        <v>0</v>
      </c>
      <c r="CQ91" s="7">
        <v>0</v>
      </c>
      <c r="CR91" s="7">
        <v>0</v>
      </c>
      <c r="CS91" s="7">
        <v>0</v>
      </c>
      <c r="CT91" s="7">
        <v>0</v>
      </c>
      <c r="CU91" s="7">
        <v>0</v>
      </c>
      <c r="CV91" s="7">
        <v>0</v>
      </c>
      <c r="CW91" s="7">
        <v>0</v>
      </c>
      <c r="CX91" s="7">
        <v>0</v>
      </c>
      <c r="CY91" s="7">
        <v>0</v>
      </c>
      <c r="CZ91" s="7">
        <v>0</v>
      </c>
      <c r="DA91" s="7">
        <v>0</v>
      </c>
      <c r="DB91" s="7">
        <f t="shared" si="133"/>
        <v>0</v>
      </c>
      <c r="DC91" s="7">
        <v>0</v>
      </c>
      <c r="DD91" s="7">
        <v>0</v>
      </c>
      <c r="DE91" s="7">
        <v>0</v>
      </c>
      <c r="DF91" s="7">
        <v>0</v>
      </c>
      <c r="DG91" s="7">
        <v>0</v>
      </c>
      <c r="DH91" s="7">
        <v>0</v>
      </c>
      <c r="DI91" s="7">
        <v>0</v>
      </c>
      <c r="DJ91" s="7">
        <v>0</v>
      </c>
      <c r="DK91" s="7">
        <v>0</v>
      </c>
      <c r="DL91" s="7">
        <v>0</v>
      </c>
      <c r="DM91" s="7">
        <v>0</v>
      </c>
      <c r="DN91" s="7">
        <v>0</v>
      </c>
      <c r="DO91" s="7">
        <f t="shared" si="134"/>
        <v>0</v>
      </c>
      <c r="DP91" s="7">
        <v>0</v>
      </c>
      <c r="DQ91" s="7">
        <v>0</v>
      </c>
      <c r="DR91" s="7">
        <v>0</v>
      </c>
      <c r="DS91" s="7">
        <v>0</v>
      </c>
      <c r="DT91" s="7">
        <v>0</v>
      </c>
      <c r="DU91" s="7">
        <v>0</v>
      </c>
      <c r="DV91" s="7">
        <v>0</v>
      </c>
      <c r="DW91" s="7">
        <v>0</v>
      </c>
      <c r="DX91" s="7">
        <v>0</v>
      </c>
      <c r="DY91" s="7">
        <v>0</v>
      </c>
      <c r="DZ91" s="7">
        <v>0</v>
      </c>
      <c r="EA91" s="7">
        <v>0</v>
      </c>
      <c r="EB91" s="7">
        <f t="shared" si="135"/>
        <v>0</v>
      </c>
      <c r="EC91" s="7">
        <v>0</v>
      </c>
      <c r="ED91" s="7">
        <v>0</v>
      </c>
      <c r="EE91" s="7">
        <v>0</v>
      </c>
      <c r="EF91" s="7">
        <v>0</v>
      </c>
      <c r="EG91" s="7">
        <v>0</v>
      </c>
      <c r="EH91" s="7">
        <v>0</v>
      </c>
      <c r="EI91" s="7">
        <v>0</v>
      </c>
      <c r="EJ91" s="7">
        <v>0</v>
      </c>
      <c r="EK91" s="7">
        <v>0</v>
      </c>
      <c r="EL91" s="7">
        <v>0</v>
      </c>
      <c r="EM91" s="7">
        <v>0</v>
      </c>
      <c r="EN91" s="7">
        <v>0</v>
      </c>
      <c r="EO91" s="7">
        <f t="shared" si="136"/>
        <v>0</v>
      </c>
      <c r="EP91" s="7">
        <v>0</v>
      </c>
      <c r="EQ91" s="7">
        <v>0</v>
      </c>
      <c r="ER91" s="7">
        <v>0</v>
      </c>
      <c r="ES91" s="7">
        <v>0</v>
      </c>
      <c r="ET91" s="7">
        <v>0</v>
      </c>
      <c r="EU91" s="7">
        <v>0</v>
      </c>
      <c r="EV91" s="7">
        <v>0</v>
      </c>
      <c r="EW91" s="7">
        <v>0</v>
      </c>
      <c r="EX91" s="7">
        <v>0</v>
      </c>
      <c r="EY91" s="7">
        <v>0</v>
      </c>
      <c r="EZ91" s="7">
        <v>0</v>
      </c>
      <c r="FA91" s="7">
        <v>0</v>
      </c>
      <c r="FB91" s="7">
        <f t="shared" si="137"/>
        <v>0</v>
      </c>
      <c r="FC91" s="7">
        <v>0</v>
      </c>
      <c r="FD91" s="7">
        <v>0</v>
      </c>
      <c r="FE91" s="7">
        <v>0</v>
      </c>
      <c r="FF91" s="7">
        <v>0</v>
      </c>
      <c r="FG91" s="7">
        <v>0</v>
      </c>
      <c r="FH91" s="7">
        <v>0</v>
      </c>
      <c r="FI91" s="7">
        <v>0</v>
      </c>
      <c r="FO91" s="7">
        <f t="shared" si="138"/>
        <v>0</v>
      </c>
    </row>
    <row r="92" spans="2:171" ht="22.05" customHeight="1" x14ac:dyDescent="0.3">
      <c r="B92" s="4" t="s">
        <v>104</v>
      </c>
      <c r="C92" s="8">
        <f t="shared" ref="C92:AH92" si="139">SUM(C86:C91)</f>
        <v>0</v>
      </c>
      <c r="D92" s="8">
        <f t="shared" si="139"/>
        <v>0</v>
      </c>
      <c r="E92" s="8">
        <f t="shared" si="139"/>
        <v>0</v>
      </c>
      <c r="F92" s="8">
        <f t="shared" si="139"/>
        <v>0</v>
      </c>
      <c r="G92" s="8">
        <f t="shared" si="139"/>
        <v>0</v>
      </c>
      <c r="H92" s="8">
        <f t="shared" si="139"/>
        <v>0</v>
      </c>
      <c r="I92" s="8">
        <f t="shared" si="139"/>
        <v>0</v>
      </c>
      <c r="J92" s="8">
        <f t="shared" si="139"/>
        <v>0</v>
      </c>
      <c r="K92" s="8">
        <f t="shared" si="139"/>
        <v>0</v>
      </c>
      <c r="L92" s="8">
        <f t="shared" si="139"/>
        <v>0</v>
      </c>
      <c r="M92" s="8">
        <f t="shared" si="139"/>
        <v>0</v>
      </c>
      <c r="N92" s="8">
        <f t="shared" si="139"/>
        <v>0</v>
      </c>
      <c r="O92" s="8">
        <f t="shared" si="139"/>
        <v>0</v>
      </c>
      <c r="P92" s="8">
        <f t="shared" si="139"/>
        <v>0</v>
      </c>
      <c r="Q92" s="8">
        <f t="shared" si="139"/>
        <v>0</v>
      </c>
      <c r="R92" s="8">
        <f t="shared" si="139"/>
        <v>0</v>
      </c>
      <c r="S92" s="8">
        <f t="shared" si="139"/>
        <v>0</v>
      </c>
      <c r="T92" s="8">
        <f t="shared" si="139"/>
        <v>0</v>
      </c>
      <c r="U92" s="8">
        <f t="shared" si="139"/>
        <v>0</v>
      </c>
      <c r="V92" s="8">
        <f t="shared" si="139"/>
        <v>0</v>
      </c>
      <c r="W92" s="8">
        <f t="shared" si="139"/>
        <v>0</v>
      </c>
      <c r="X92" s="8">
        <f t="shared" si="139"/>
        <v>0</v>
      </c>
      <c r="Y92" s="8">
        <f t="shared" si="139"/>
        <v>0</v>
      </c>
      <c r="Z92" s="8">
        <f t="shared" si="139"/>
        <v>0</v>
      </c>
      <c r="AA92" s="8">
        <f t="shared" si="139"/>
        <v>0</v>
      </c>
      <c r="AB92" s="8">
        <f t="shared" si="139"/>
        <v>0</v>
      </c>
      <c r="AC92" s="8">
        <f t="shared" si="139"/>
        <v>0</v>
      </c>
      <c r="AD92" s="8">
        <f t="shared" si="139"/>
        <v>0</v>
      </c>
      <c r="AE92" s="8">
        <f t="shared" si="139"/>
        <v>0</v>
      </c>
      <c r="AF92" s="8">
        <f t="shared" si="139"/>
        <v>0</v>
      </c>
      <c r="AG92" s="8">
        <f t="shared" si="139"/>
        <v>0</v>
      </c>
      <c r="AH92" s="8">
        <f t="shared" si="139"/>
        <v>0</v>
      </c>
      <c r="AI92" s="8">
        <f t="shared" ref="AI92:BN92" si="140">SUM(AI86:AI91)</f>
        <v>0</v>
      </c>
      <c r="AJ92" s="8">
        <f t="shared" si="140"/>
        <v>0</v>
      </c>
      <c r="AK92" s="8">
        <f t="shared" si="140"/>
        <v>0</v>
      </c>
      <c r="AL92" s="8">
        <f t="shared" si="140"/>
        <v>0</v>
      </c>
      <c r="AM92" s="8">
        <f t="shared" si="140"/>
        <v>0</v>
      </c>
      <c r="AN92" s="8">
        <f t="shared" si="140"/>
        <v>0</v>
      </c>
      <c r="AO92" s="8">
        <f t="shared" si="140"/>
        <v>0</v>
      </c>
      <c r="AP92" s="8">
        <f t="shared" si="140"/>
        <v>0</v>
      </c>
      <c r="AQ92" s="8">
        <f t="shared" si="140"/>
        <v>0</v>
      </c>
      <c r="AR92" s="8">
        <f t="shared" si="140"/>
        <v>0</v>
      </c>
      <c r="AS92" s="8">
        <f t="shared" si="140"/>
        <v>0</v>
      </c>
      <c r="AT92" s="8">
        <f t="shared" si="140"/>
        <v>0</v>
      </c>
      <c r="AU92" s="8">
        <f t="shared" si="140"/>
        <v>0</v>
      </c>
      <c r="AV92" s="8">
        <f t="shared" si="140"/>
        <v>0</v>
      </c>
      <c r="AW92" s="8">
        <f t="shared" si="140"/>
        <v>0</v>
      </c>
      <c r="AX92" s="8">
        <f t="shared" si="140"/>
        <v>0</v>
      </c>
      <c r="AY92" s="8">
        <f t="shared" si="140"/>
        <v>0</v>
      </c>
      <c r="AZ92" s="8">
        <f t="shared" si="140"/>
        <v>0</v>
      </c>
      <c r="BA92" s="8">
        <f t="shared" si="140"/>
        <v>0</v>
      </c>
      <c r="BB92" s="8">
        <f t="shared" si="140"/>
        <v>0</v>
      </c>
      <c r="BC92" s="8">
        <f t="shared" si="140"/>
        <v>0</v>
      </c>
      <c r="BD92" s="8">
        <f t="shared" si="140"/>
        <v>0</v>
      </c>
      <c r="BE92" s="8">
        <f t="shared" si="140"/>
        <v>0</v>
      </c>
      <c r="BF92" s="8">
        <f t="shared" si="140"/>
        <v>0</v>
      </c>
      <c r="BG92" s="8">
        <f t="shared" si="140"/>
        <v>0</v>
      </c>
      <c r="BH92" s="8">
        <f t="shared" si="140"/>
        <v>0</v>
      </c>
      <c r="BI92" s="8">
        <f t="shared" si="140"/>
        <v>0</v>
      </c>
      <c r="BJ92" s="8">
        <f t="shared" si="140"/>
        <v>0</v>
      </c>
      <c r="BK92" s="8">
        <f t="shared" si="140"/>
        <v>0</v>
      </c>
      <c r="BL92" s="8">
        <f t="shared" si="140"/>
        <v>0</v>
      </c>
      <c r="BM92" s="8">
        <f t="shared" si="140"/>
        <v>0</v>
      </c>
      <c r="BN92" s="8">
        <f t="shared" si="140"/>
        <v>0</v>
      </c>
      <c r="BO92" s="8">
        <f t="shared" ref="BO92:CT92" si="141">SUM(BO86:BO91)</f>
        <v>0</v>
      </c>
      <c r="BP92" s="8">
        <f t="shared" si="141"/>
        <v>0</v>
      </c>
      <c r="BQ92" s="8">
        <f t="shared" si="141"/>
        <v>0</v>
      </c>
      <c r="BR92" s="8">
        <f t="shared" si="141"/>
        <v>0</v>
      </c>
      <c r="BS92" s="8">
        <f t="shared" si="141"/>
        <v>0</v>
      </c>
      <c r="BT92" s="8">
        <f t="shared" si="141"/>
        <v>0</v>
      </c>
      <c r="BU92" s="8">
        <f t="shared" si="141"/>
        <v>0</v>
      </c>
      <c r="BV92" s="8">
        <f t="shared" si="141"/>
        <v>0</v>
      </c>
      <c r="BW92" s="8">
        <f t="shared" si="141"/>
        <v>0</v>
      </c>
      <c r="BX92" s="8">
        <f t="shared" si="141"/>
        <v>0</v>
      </c>
      <c r="BY92" s="8">
        <f t="shared" si="141"/>
        <v>0</v>
      </c>
      <c r="BZ92" s="8">
        <f t="shared" si="141"/>
        <v>0</v>
      </c>
      <c r="CA92" s="8">
        <f t="shared" si="141"/>
        <v>0</v>
      </c>
      <c r="CB92" s="8">
        <f t="shared" si="141"/>
        <v>0</v>
      </c>
      <c r="CC92" s="8">
        <f t="shared" si="141"/>
        <v>0</v>
      </c>
      <c r="CD92" s="8">
        <f t="shared" si="141"/>
        <v>0</v>
      </c>
      <c r="CE92" s="8">
        <f t="shared" si="141"/>
        <v>0</v>
      </c>
      <c r="CF92" s="8">
        <f t="shared" si="141"/>
        <v>0</v>
      </c>
      <c r="CG92" s="8">
        <f t="shared" si="141"/>
        <v>0</v>
      </c>
      <c r="CH92" s="8">
        <f t="shared" si="141"/>
        <v>0</v>
      </c>
      <c r="CI92" s="8">
        <f t="shared" si="141"/>
        <v>0</v>
      </c>
      <c r="CJ92" s="8">
        <f t="shared" si="141"/>
        <v>0</v>
      </c>
      <c r="CK92" s="8">
        <f t="shared" si="141"/>
        <v>0</v>
      </c>
      <c r="CL92" s="8">
        <f t="shared" si="141"/>
        <v>0</v>
      </c>
      <c r="CM92" s="8">
        <f t="shared" si="141"/>
        <v>0</v>
      </c>
      <c r="CN92" s="8">
        <f t="shared" si="141"/>
        <v>0</v>
      </c>
      <c r="CO92" s="8">
        <f t="shared" si="141"/>
        <v>0</v>
      </c>
      <c r="CP92" s="8">
        <f t="shared" si="141"/>
        <v>0</v>
      </c>
      <c r="CQ92" s="8">
        <f t="shared" si="141"/>
        <v>0</v>
      </c>
      <c r="CR92" s="8">
        <f t="shared" si="141"/>
        <v>0</v>
      </c>
      <c r="CS92" s="8">
        <f t="shared" si="141"/>
        <v>0</v>
      </c>
      <c r="CT92" s="8">
        <f t="shared" si="141"/>
        <v>0</v>
      </c>
      <c r="CU92" s="8">
        <f t="shared" ref="CU92:DZ92" si="142">SUM(CU86:CU91)</f>
        <v>0</v>
      </c>
      <c r="CV92" s="8">
        <f t="shared" si="142"/>
        <v>0</v>
      </c>
      <c r="CW92" s="8">
        <f t="shared" si="142"/>
        <v>0</v>
      </c>
      <c r="CX92" s="8">
        <f t="shared" si="142"/>
        <v>0</v>
      </c>
      <c r="CY92" s="8">
        <f t="shared" si="142"/>
        <v>0</v>
      </c>
      <c r="CZ92" s="8">
        <f t="shared" si="142"/>
        <v>0</v>
      </c>
      <c r="DA92" s="8">
        <f t="shared" si="142"/>
        <v>0</v>
      </c>
      <c r="DB92" s="8">
        <f t="shared" si="142"/>
        <v>0</v>
      </c>
      <c r="DC92" s="8">
        <f t="shared" si="142"/>
        <v>0</v>
      </c>
      <c r="DD92" s="8">
        <f t="shared" si="142"/>
        <v>0</v>
      </c>
      <c r="DE92" s="8">
        <f t="shared" si="142"/>
        <v>0</v>
      </c>
      <c r="DF92" s="8">
        <f t="shared" si="142"/>
        <v>0</v>
      </c>
      <c r="DG92" s="8">
        <f t="shared" si="142"/>
        <v>0</v>
      </c>
      <c r="DH92" s="8">
        <f t="shared" si="142"/>
        <v>0</v>
      </c>
      <c r="DI92" s="8">
        <f t="shared" si="142"/>
        <v>0</v>
      </c>
      <c r="DJ92" s="8">
        <f t="shared" si="142"/>
        <v>0</v>
      </c>
      <c r="DK92" s="8">
        <f t="shared" si="142"/>
        <v>0</v>
      </c>
      <c r="DL92" s="8">
        <f t="shared" si="142"/>
        <v>0</v>
      </c>
      <c r="DM92" s="8">
        <f t="shared" si="142"/>
        <v>0</v>
      </c>
      <c r="DN92" s="8">
        <f t="shared" si="142"/>
        <v>0</v>
      </c>
      <c r="DO92" s="8">
        <f t="shared" si="142"/>
        <v>0</v>
      </c>
      <c r="DP92" s="8">
        <f t="shared" si="142"/>
        <v>17877772</v>
      </c>
      <c r="DQ92" s="8">
        <f t="shared" si="142"/>
        <v>17877772</v>
      </c>
      <c r="DR92" s="8">
        <f t="shared" si="142"/>
        <v>17877772</v>
      </c>
      <c r="DS92" s="8">
        <f t="shared" si="142"/>
        <v>17877772</v>
      </c>
      <c r="DT92" s="8">
        <f t="shared" si="142"/>
        <v>17877772</v>
      </c>
      <c r="DU92" s="8">
        <f t="shared" si="142"/>
        <v>17877772</v>
      </c>
      <c r="DV92" s="8">
        <f t="shared" si="142"/>
        <v>17877772</v>
      </c>
      <c r="DW92" s="8">
        <f t="shared" si="142"/>
        <v>17877772</v>
      </c>
      <c r="DX92" s="8">
        <f t="shared" si="142"/>
        <v>17877772</v>
      </c>
      <c r="DY92" s="8">
        <f t="shared" si="142"/>
        <v>17877772</v>
      </c>
      <c r="DZ92" s="8">
        <f t="shared" si="142"/>
        <v>17877772</v>
      </c>
      <c r="EA92" s="8">
        <f t="shared" ref="EA92:FF92" si="143">SUM(EA86:EA91)</f>
        <v>17877772</v>
      </c>
      <c r="EB92" s="8">
        <f t="shared" si="143"/>
        <v>17877772</v>
      </c>
      <c r="EC92" s="8">
        <f t="shared" si="143"/>
        <v>0</v>
      </c>
      <c r="ED92" s="8">
        <f t="shared" si="143"/>
        <v>0</v>
      </c>
      <c r="EE92" s="8">
        <f t="shared" si="143"/>
        <v>0</v>
      </c>
      <c r="EF92" s="8">
        <f t="shared" si="143"/>
        <v>0</v>
      </c>
      <c r="EG92" s="8">
        <f t="shared" si="143"/>
        <v>0</v>
      </c>
      <c r="EH92" s="8">
        <f t="shared" si="143"/>
        <v>0</v>
      </c>
      <c r="EI92" s="8">
        <f t="shared" si="143"/>
        <v>0</v>
      </c>
      <c r="EJ92" s="8">
        <f t="shared" si="143"/>
        <v>0</v>
      </c>
      <c r="EK92" s="8">
        <f t="shared" si="143"/>
        <v>0</v>
      </c>
      <c r="EL92" s="8">
        <f t="shared" si="143"/>
        <v>0</v>
      </c>
      <c r="EM92" s="8">
        <f t="shared" si="143"/>
        <v>0</v>
      </c>
      <c r="EN92" s="8">
        <f t="shared" si="143"/>
        <v>0</v>
      </c>
      <c r="EO92" s="8">
        <f t="shared" si="143"/>
        <v>0</v>
      </c>
      <c r="EP92" s="8">
        <f t="shared" si="143"/>
        <v>0</v>
      </c>
      <c r="EQ92" s="8">
        <f t="shared" si="143"/>
        <v>0</v>
      </c>
      <c r="ER92" s="8">
        <f t="shared" si="143"/>
        <v>0</v>
      </c>
      <c r="ES92" s="8">
        <f t="shared" si="143"/>
        <v>0</v>
      </c>
      <c r="ET92" s="8">
        <f t="shared" si="143"/>
        <v>0</v>
      </c>
      <c r="EU92" s="8">
        <f t="shared" si="143"/>
        <v>0</v>
      </c>
      <c r="EV92" s="8">
        <f t="shared" si="143"/>
        <v>0</v>
      </c>
      <c r="EW92" s="8">
        <f t="shared" si="143"/>
        <v>0</v>
      </c>
      <c r="EX92" s="8">
        <f t="shared" si="143"/>
        <v>0</v>
      </c>
      <c r="EY92" s="8">
        <f t="shared" si="143"/>
        <v>0</v>
      </c>
      <c r="EZ92" s="8">
        <f t="shared" si="143"/>
        <v>0</v>
      </c>
      <c r="FA92" s="8">
        <f t="shared" si="143"/>
        <v>0</v>
      </c>
      <c r="FB92" s="8">
        <f t="shared" si="143"/>
        <v>0</v>
      </c>
      <c r="FC92" s="8">
        <f t="shared" si="143"/>
        <v>0</v>
      </c>
      <c r="FD92" s="8">
        <f t="shared" si="143"/>
        <v>0</v>
      </c>
      <c r="FE92" s="8">
        <f t="shared" si="143"/>
        <v>0</v>
      </c>
      <c r="FF92" s="8">
        <f t="shared" si="143"/>
        <v>0</v>
      </c>
      <c r="FG92" s="8">
        <f t="shared" ref="FG92:GL92" si="144">SUM(FG86:FG91)</f>
        <v>0</v>
      </c>
      <c r="FH92" s="8">
        <f t="shared" si="144"/>
        <v>0</v>
      </c>
      <c r="FI92" s="8">
        <f t="shared" si="144"/>
        <v>0</v>
      </c>
      <c r="FJ92" s="8">
        <f t="shared" si="144"/>
        <v>0</v>
      </c>
      <c r="FK92" s="8">
        <f t="shared" si="144"/>
        <v>0</v>
      </c>
      <c r="FL92" s="8">
        <f t="shared" si="144"/>
        <v>0</v>
      </c>
      <c r="FM92" s="8">
        <f t="shared" si="144"/>
        <v>0</v>
      </c>
      <c r="FN92" s="8">
        <f t="shared" si="144"/>
        <v>0</v>
      </c>
      <c r="FO92" s="8">
        <f t="shared" si="144"/>
        <v>0</v>
      </c>
    </row>
    <row r="93" spans="2:171" x14ac:dyDescent="0.3">
      <c r="B93" s="2" t="s">
        <v>117</v>
      </c>
    </row>
    <row r="95" spans="2:171" ht="16.05" customHeight="1" x14ac:dyDescent="0.3">
      <c r="B95" s="60" t="s">
        <v>118</v>
      </c>
      <c r="C95" s="57"/>
      <c r="D95" s="57"/>
      <c r="E95" s="57"/>
      <c r="F95" s="57"/>
      <c r="G95" s="57"/>
      <c r="H95" s="57"/>
      <c r="I95" s="57"/>
      <c r="J95" s="57"/>
      <c r="K95" s="57"/>
      <c r="L95" s="57"/>
      <c r="M95" s="57"/>
      <c r="N95" s="57"/>
      <c r="O95" s="57"/>
      <c r="P95" s="57"/>
      <c r="Q95" s="57"/>
      <c r="R95" s="57"/>
      <c r="S95" s="57"/>
      <c r="T95" s="57"/>
      <c r="U95" s="57"/>
      <c r="V95" s="57"/>
      <c r="W95" s="57"/>
      <c r="X95" s="57"/>
      <c r="Y95" s="57"/>
      <c r="Z95" s="57"/>
      <c r="AA95" s="57"/>
      <c r="AB95" s="57"/>
      <c r="AC95" s="57"/>
      <c r="AD95" s="57"/>
      <c r="AE95" s="57"/>
      <c r="AF95" s="57"/>
      <c r="AG95" s="57"/>
      <c r="AH95" s="57"/>
      <c r="AI95" s="57"/>
      <c r="AJ95" s="57"/>
      <c r="AK95" s="57"/>
      <c r="AL95" s="57"/>
      <c r="AM95" s="57"/>
      <c r="AN95" s="57"/>
      <c r="AO95" s="57"/>
      <c r="AP95" s="57"/>
      <c r="AQ95" s="57"/>
      <c r="AR95" s="57"/>
      <c r="AS95" s="57"/>
      <c r="AT95" s="57"/>
      <c r="AU95" s="57"/>
      <c r="AV95" s="57"/>
      <c r="AW95" s="57"/>
      <c r="AX95" s="57"/>
      <c r="AY95" s="57"/>
      <c r="AZ95" s="57"/>
      <c r="BA95" s="57"/>
      <c r="BB95" s="57"/>
      <c r="BC95" s="57"/>
      <c r="BD95" s="57"/>
      <c r="BE95" s="57"/>
      <c r="BF95" s="57"/>
      <c r="BG95" s="57"/>
      <c r="BH95" s="57"/>
      <c r="BI95" s="57"/>
      <c r="BJ95" s="57"/>
      <c r="BK95" s="57"/>
      <c r="BL95" s="57"/>
      <c r="BM95" s="57"/>
      <c r="BN95" s="57"/>
      <c r="BO95" s="57"/>
      <c r="BP95" s="57"/>
      <c r="BQ95" s="57"/>
      <c r="BR95" s="57"/>
      <c r="BS95" s="57"/>
      <c r="BT95" s="57"/>
      <c r="BU95" s="57"/>
      <c r="BV95" s="57"/>
      <c r="BW95" s="57"/>
      <c r="BX95" s="57"/>
      <c r="BY95" s="57"/>
      <c r="BZ95" s="57"/>
      <c r="CA95" s="57"/>
      <c r="CB95" s="57"/>
      <c r="CC95" s="57"/>
      <c r="CD95" s="57"/>
      <c r="CE95" s="57"/>
      <c r="CF95" s="57"/>
      <c r="CG95" s="57"/>
      <c r="CH95" s="57"/>
      <c r="CI95" s="57"/>
      <c r="CJ95" s="57"/>
      <c r="CK95" s="57"/>
      <c r="CL95" s="57"/>
      <c r="CM95" s="57"/>
      <c r="CN95" s="57"/>
      <c r="CO95" s="57"/>
      <c r="CP95" s="57"/>
      <c r="CQ95" s="57"/>
      <c r="CR95" s="57"/>
      <c r="CS95" s="57"/>
      <c r="CT95" s="57"/>
      <c r="CU95" s="57"/>
      <c r="CV95" s="57"/>
      <c r="CW95" s="57"/>
      <c r="CX95" s="57"/>
      <c r="CY95" s="57"/>
      <c r="CZ95" s="57"/>
      <c r="DA95" s="57"/>
      <c r="DB95" s="57"/>
      <c r="DC95" s="57"/>
      <c r="DD95" s="57"/>
      <c r="DE95" s="57"/>
      <c r="DF95" s="57"/>
      <c r="DG95" s="57"/>
      <c r="DH95" s="57"/>
      <c r="DI95" s="57"/>
      <c r="DJ95" s="57"/>
      <c r="DK95" s="57"/>
      <c r="DL95" s="57"/>
      <c r="DM95" s="57"/>
      <c r="DN95" s="57"/>
      <c r="DO95" s="57"/>
      <c r="DP95" s="57"/>
      <c r="DQ95" s="57"/>
      <c r="DR95" s="57"/>
      <c r="DS95" s="57"/>
      <c r="DT95" s="57"/>
      <c r="DU95" s="57"/>
      <c r="DV95" s="57"/>
      <c r="DW95" s="57"/>
      <c r="DX95" s="57"/>
      <c r="DY95" s="57"/>
      <c r="DZ95" s="57"/>
      <c r="EA95" s="57"/>
      <c r="EB95" s="57"/>
      <c r="EC95" s="57"/>
      <c r="ED95" s="57"/>
      <c r="EE95" s="57"/>
      <c r="EF95" s="57"/>
      <c r="EG95" s="57"/>
      <c r="EH95" s="57"/>
      <c r="EI95" s="57"/>
      <c r="EJ95" s="57"/>
      <c r="EK95" s="57"/>
      <c r="EL95" s="57"/>
      <c r="EM95" s="57"/>
      <c r="EN95" s="57"/>
      <c r="EO95" s="57"/>
      <c r="EP95" s="57"/>
      <c r="EQ95" s="57"/>
      <c r="ER95" s="57"/>
      <c r="ES95" s="57"/>
      <c r="ET95" s="57"/>
      <c r="EU95" s="57"/>
      <c r="EV95" s="57"/>
      <c r="EW95" s="57"/>
      <c r="EX95" s="57"/>
      <c r="EY95" s="57"/>
      <c r="EZ95" s="57"/>
      <c r="FA95" s="57"/>
      <c r="FB95" s="57"/>
      <c r="FC95" s="57"/>
      <c r="FD95" s="57"/>
      <c r="FE95" s="57"/>
      <c r="FF95" s="57"/>
      <c r="FG95" s="57"/>
      <c r="FH95" s="57"/>
      <c r="FI95" s="57"/>
      <c r="FJ95" s="57"/>
      <c r="FK95" s="57"/>
      <c r="FL95" s="57"/>
      <c r="FM95" s="57"/>
      <c r="FN95" s="57"/>
      <c r="FO95" s="57"/>
    </row>
    <row r="96" spans="2:171" ht="22.05" customHeight="1" x14ac:dyDescent="0.3">
      <c r="B96" s="3"/>
      <c r="C96" s="58" t="s">
        <v>77</v>
      </c>
      <c r="D96" s="59"/>
      <c r="E96" s="59"/>
      <c r="F96" s="59"/>
      <c r="G96" s="59"/>
      <c r="H96" s="59"/>
      <c r="I96" s="59"/>
      <c r="J96" s="59"/>
      <c r="K96" s="59"/>
      <c r="L96" s="59"/>
      <c r="M96" s="59"/>
      <c r="N96" s="59"/>
      <c r="O96" s="59"/>
      <c r="P96" s="58" t="s">
        <v>78</v>
      </c>
      <c r="Q96" s="59"/>
      <c r="R96" s="59"/>
      <c r="S96" s="59"/>
      <c r="T96" s="59"/>
      <c r="U96" s="59"/>
      <c r="V96" s="59"/>
      <c r="W96" s="59"/>
      <c r="X96" s="59"/>
      <c r="Y96" s="59"/>
      <c r="Z96" s="59"/>
      <c r="AA96" s="59"/>
      <c r="AB96" s="59"/>
      <c r="AC96" s="58" t="s">
        <v>79</v>
      </c>
      <c r="AD96" s="59"/>
      <c r="AE96" s="59"/>
      <c r="AF96" s="59"/>
      <c r="AG96" s="59"/>
      <c r="AH96" s="59"/>
      <c r="AI96" s="59"/>
      <c r="AJ96" s="59"/>
      <c r="AK96" s="59"/>
      <c r="AL96" s="59"/>
      <c r="AM96" s="59"/>
      <c r="AN96" s="59"/>
      <c r="AO96" s="59"/>
      <c r="AP96" s="58" t="s">
        <v>80</v>
      </c>
      <c r="AQ96" s="59"/>
      <c r="AR96" s="59"/>
      <c r="AS96" s="59"/>
      <c r="AT96" s="59"/>
      <c r="AU96" s="59"/>
      <c r="AV96" s="59"/>
      <c r="AW96" s="59"/>
      <c r="AX96" s="59"/>
      <c r="AY96" s="59"/>
      <c r="AZ96" s="59"/>
      <c r="BA96" s="59"/>
      <c r="BB96" s="59"/>
      <c r="BC96" s="58" t="s">
        <v>81</v>
      </c>
      <c r="BD96" s="59"/>
      <c r="BE96" s="59"/>
      <c r="BF96" s="59"/>
      <c r="BG96" s="59"/>
      <c r="BH96" s="59"/>
      <c r="BI96" s="59"/>
      <c r="BJ96" s="59"/>
      <c r="BK96" s="59"/>
      <c r="BL96" s="59"/>
      <c r="BM96" s="59"/>
      <c r="BN96" s="59"/>
      <c r="BO96" s="59"/>
      <c r="BP96" s="58" t="s">
        <v>82</v>
      </c>
      <c r="BQ96" s="59"/>
      <c r="BR96" s="59"/>
      <c r="BS96" s="59"/>
      <c r="BT96" s="59"/>
      <c r="BU96" s="59"/>
      <c r="BV96" s="59"/>
      <c r="BW96" s="59"/>
      <c r="BX96" s="59"/>
      <c r="BY96" s="59"/>
      <c r="BZ96" s="59"/>
      <c r="CA96" s="59"/>
      <c r="CB96" s="59"/>
      <c r="CC96" s="58" t="s">
        <v>83</v>
      </c>
      <c r="CD96" s="59"/>
      <c r="CE96" s="59"/>
      <c r="CF96" s="59"/>
      <c r="CG96" s="59"/>
      <c r="CH96" s="59"/>
      <c r="CI96" s="59"/>
      <c r="CJ96" s="59"/>
      <c r="CK96" s="59"/>
      <c r="CL96" s="59"/>
      <c r="CM96" s="59"/>
      <c r="CN96" s="59"/>
      <c r="CO96" s="59"/>
      <c r="CP96" s="58" t="s">
        <v>112</v>
      </c>
      <c r="CQ96" s="59"/>
      <c r="CR96" s="59"/>
      <c r="CS96" s="59"/>
      <c r="CT96" s="59"/>
      <c r="CU96" s="59"/>
      <c r="CV96" s="59"/>
      <c r="CW96" s="59"/>
      <c r="CX96" s="59"/>
      <c r="CY96" s="59"/>
      <c r="CZ96" s="59"/>
      <c r="DA96" s="59"/>
      <c r="DB96" s="59"/>
      <c r="DC96" s="58" t="s">
        <v>113</v>
      </c>
      <c r="DD96" s="59"/>
      <c r="DE96" s="59"/>
      <c r="DF96" s="59"/>
      <c r="DG96" s="59"/>
      <c r="DH96" s="59"/>
      <c r="DI96" s="59"/>
      <c r="DJ96" s="59"/>
      <c r="DK96" s="59"/>
      <c r="DL96" s="59"/>
      <c r="DM96" s="59"/>
      <c r="DN96" s="59"/>
      <c r="DO96" s="59"/>
      <c r="DP96" s="58" t="s">
        <v>86</v>
      </c>
      <c r="DQ96" s="59"/>
      <c r="DR96" s="59"/>
      <c r="DS96" s="59"/>
      <c r="DT96" s="59"/>
      <c r="DU96" s="59"/>
      <c r="DV96" s="59"/>
      <c r="DW96" s="59"/>
      <c r="DX96" s="59"/>
      <c r="DY96" s="59"/>
      <c r="DZ96" s="59"/>
      <c r="EA96" s="59"/>
      <c r="EB96" s="59"/>
      <c r="EC96" s="58" t="s">
        <v>87</v>
      </c>
      <c r="ED96" s="59"/>
      <c r="EE96" s="59"/>
      <c r="EF96" s="59"/>
      <c r="EG96" s="59"/>
      <c r="EH96" s="59"/>
      <c r="EI96" s="59"/>
      <c r="EJ96" s="59"/>
      <c r="EK96" s="59"/>
      <c r="EL96" s="59"/>
      <c r="EM96" s="59"/>
      <c r="EN96" s="59"/>
      <c r="EO96" s="59"/>
      <c r="EP96" s="58" t="s">
        <v>88</v>
      </c>
      <c r="EQ96" s="59"/>
      <c r="ER96" s="59"/>
      <c r="ES96" s="59"/>
      <c r="ET96" s="59"/>
      <c r="EU96" s="59"/>
      <c r="EV96" s="59"/>
      <c r="EW96" s="59"/>
      <c r="EX96" s="59"/>
      <c r="EY96" s="59"/>
      <c r="EZ96" s="59"/>
      <c r="FA96" s="59"/>
      <c r="FB96" s="59"/>
      <c r="FC96" s="58" t="s">
        <v>89</v>
      </c>
      <c r="FD96" s="59"/>
      <c r="FE96" s="59"/>
      <c r="FF96" s="59"/>
      <c r="FG96" s="59"/>
      <c r="FH96" s="59"/>
      <c r="FI96" s="59"/>
      <c r="FJ96" s="59"/>
      <c r="FK96" s="59"/>
      <c r="FL96" s="59"/>
      <c r="FM96" s="59"/>
      <c r="FN96" s="59"/>
      <c r="FO96" s="59"/>
    </row>
    <row r="97" spans="2:171" ht="28.05" customHeight="1" x14ac:dyDescent="0.3">
      <c r="B97" s="4" t="s">
        <v>90</v>
      </c>
      <c r="C97" s="5" t="s">
        <v>55</v>
      </c>
      <c r="D97" s="5" t="s">
        <v>56</v>
      </c>
      <c r="E97" s="5" t="s">
        <v>57</v>
      </c>
      <c r="F97" s="5" t="s">
        <v>58</v>
      </c>
      <c r="G97" s="5" t="s">
        <v>59</v>
      </c>
      <c r="H97" s="5" t="s">
        <v>60</v>
      </c>
      <c r="I97" s="5" t="s">
        <v>61</v>
      </c>
      <c r="J97" s="5" t="s">
        <v>62</v>
      </c>
      <c r="K97" s="5" t="s">
        <v>63</v>
      </c>
      <c r="L97" s="5" t="s">
        <v>64</v>
      </c>
      <c r="M97" s="5" t="s">
        <v>65</v>
      </c>
      <c r="N97" s="5" t="s">
        <v>66</v>
      </c>
      <c r="O97" s="5" t="s">
        <v>91</v>
      </c>
      <c r="P97" s="5" t="s">
        <v>55</v>
      </c>
      <c r="Q97" s="5" t="s">
        <v>56</v>
      </c>
      <c r="R97" s="5" t="s">
        <v>57</v>
      </c>
      <c r="S97" s="5" t="s">
        <v>58</v>
      </c>
      <c r="T97" s="5" t="s">
        <v>59</v>
      </c>
      <c r="U97" s="5" t="s">
        <v>60</v>
      </c>
      <c r="V97" s="5" t="s">
        <v>61</v>
      </c>
      <c r="W97" s="5" t="s">
        <v>62</v>
      </c>
      <c r="X97" s="5" t="s">
        <v>63</v>
      </c>
      <c r="Y97" s="5" t="s">
        <v>64</v>
      </c>
      <c r="Z97" s="5" t="s">
        <v>65</v>
      </c>
      <c r="AA97" s="5" t="s">
        <v>66</v>
      </c>
      <c r="AB97" s="5" t="s">
        <v>92</v>
      </c>
      <c r="AC97" s="5" t="s">
        <v>55</v>
      </c>
      <c r="AD97" s="5" t="s">
        <v>56</v>
      </c>
      <c r="AE97" s="5" t="s">
        <v>57</v>
      </c>
      <c r="AF97" s="5" t="s">
        <v>58</v>
      </c>
      <c r="AG97" s="5" t="s">
        <v>59</v>
      </c>
      <c r="AH97" s="5" t="s">
        <v>60</v>
      </c>
      <c r="AI97" s="5" t="s">
        <v>61</v>
      </c>
      <c r="AJ97" s="5" t="s">
        <v>62</v>
      </c>
      <c r="AK97" s="5" t="s">
        <v>63</v>
      </c>
      <c r="AL97" s="5" t="s">
        <v>64</v>
      </c>
      <c r="AM97" s="5" t="s">
        <v>65</v>
      </c>
      <c r="AN97" s="5" t="s">
        <v>66</v>
      </c>
      <c r="AO97" s="5" t="s">
        <v>93</v>
      </c>
      <c r="AP97" s="5" t="s">
        <v>55</v>
      </c>
      <c r="AQ97" s="5" t="s">
        <v>56</v>
      </c>
      <c r="AR97" s="5" t="s">
        <v>57</v>
      </c>
      <c r="AS97" s="5" t="s">
        <v>58</v>
      </c>
      <c r="AT97" s="5" t="s">
        <v>59</v>
      </c>
      <c r="AU97" s="5" t="s">
        <v>60</v>
      </c>
      <c r="AV97" s="5" t="s">
        <v>61</v>
      </c>
      <c r="AW97" s="5" t="s">
        <v>62</v>
      </c>
      <c r="AX97" s="5" t="s">
        <v>63</v>
      </c>
      <c r="AY97" s="5" t="s">
        <v>64</v>
      </c>
      <c r="AZ97" s="5" t="s">
        <v>65</v>
      </c>
      <c r="BA97" s="5" t="s">
        <v>66</v>
      </c>
      <c r="BB97" s="5" t="s">
        <v>94</v>
      </c>
      <c r="BC97" s="5" t="s">
        <v>55</v>
      </c>
      <c r="BD97" s="5" t="s">
        <v>56</v>
      </c>
      <c r="BE97" s="5" t="s">
        <v>57</v>
      </c>
      <c r="BF97" s="5" t="s">
        <v>58</v>
      </c>
      <c r="BG97" s="5" t="s">
        <v>59</v>
      </c>
      <c r="BH97" s="5" t="s">
        <v>60</v>
      </c>
      <c r="BI97" s="5" t="s">
        <v>61</v>
      </c>
      <c r="BJ97" s="5" t="s">
        <v>62</v>
      </c>
      <c r="BK97" s="5" t="s">
        <v>63</v>
      </c>
      <c r="BL97" s="5" t="s">
        <v>64</v>
      </c>
      <c r="BM97" s="5" t="s">
        <v>65</v>
      </c>
      <c r="BN97" s="5" t="s">
        <v>66</v>
      </c>
      <c r="BO97" s="5" t="s">
        <v>95</v>
      </c>
      <c r="BP97" s="5" t="s">
        <v>55</v>
      </c>
      <c r="BQ97" s="5" t="s">
        <v>56</v>
      </c>
      <c r="BR97" s="5" t="s">
        <v>57</v>
      </c>
      <c r="BS97" s="5" t="s">
        <v>58</v>
      </c>
      <c r="BT97" s="5" t="s">
        <v>59</v>
      </c>
      <c r="BU97" s="5" t="s">
        <v>60</v>
      </c>
      <c r="BV97" s="5" t="s">
        <v>61</v>
      </c>
      <c r="BW97" s="5" t="s">
        <v>62</v>
      </c>
      <c r="BX97" s="5" t="s">
        <v>63</v>
      </c>
      <c r="BY97" s="5" t="s">
        <v>64</v>
      </c>
      <c r="BZ97" s="5" t="s">
        <v>65</v>
      </c>
      <c r="CA97" s="5" t="s">
        <v>66</v>
      </c>
      <c r="CB97" s="5" t="s">
        <v>96</v>
      </c>
      <c r="CC97" s="5" t="s">
        <v>55</v>
      </c>
      <c r="CD97" s="5" t="s">
        <v>56</v>
      </c>
      <c r="CE97" s="5" t="s">
        <v>57</v>
      </c>
      <c r="CF97" s="5" t="s">
        <v>58</v>
      </c>
      <c r="CG97" s="5" t="s">
        <v>59</v>
      </c>
      <c r="CH97" s="5" t="s">
        <v>60</v>
      </c>
      <c r="CI97" s="5" t="s">
        <v>61</v>
      </c>
      <c r="CJ97" s="5" t="s">
        <v>62</v>
      </c>
      <c r="CK97" s="5" t="s">
        <v>63</v>
      </c>
      <c r="CL97" s="5" t="s">
        <v>64</v>
      </c>
      <c r="CM97" s="5" t="s">
        <v>65</v>
      </c>
      <c r="CN97" s="5" t="s">
        <v>66</v>
      </c>
      <c r="CO97" s="5" t="s">
        <v>97</v>
      </c>
      <c r="CP97" s="5" t="s">
        <v>55</v>
      </c>
      <c r="CQ97" s="5" t="s">
        <v>56</v>
      </c>
      <c r="CR97" s="5" t="s">
        <v>57</v>
      </c>
      <c r="CS97" s="5" t="s">
        <v>58</v>
      </c>
      <c r="CT97" s="5" t="s">
        <v>59</v>
      </c>
      <c r="CU97" s="5" t="s">
        <v>60</v>
      </c>
      <c r="CV97" s="5" t="s">
        <v>61</v>
      </c>
      <c r="CW97" s="5" t="s">
        <v>62</v>
      </c>
      <c r="CX97" s="5" t="s">
        <v>63</v>
      </c>
      <c r="CY97" s="5" t="s">
        <v>64</v>
      </c>
      <c r="CZ97" s="5" t="s">
        <v>65</v>
      </c>
      <c r="DA97" s="5" t="s">
        <v>66</v>
      </c>
      <c r="DB97" s="5" t="s">
        <v>98</v>
      </c>
      <c r="DC97" s="5" t="s">
        <v>55</v>
      </c>
      <c r="DD97" s="5" t="s">
        <v>56</v>
      </c>
      <c r="DE97" s="5" t="s">
        <v>57</v>
      </c>
      <c r="DF97" s="5" t="s">
        <v>58</v>
      </c>
      <c r="DG97" s="5" t="s">
        <v>59</v>
      </c>
      <c r="DH97" s="5" t="s">
        <v>60</v>
      </c>
      <c r="DI97" s="5" t="s">
        <v>61</v>
      </c>
      <c r="DJ97" s="5" t="s">
        <v>62</v>
      </c>
      <c r="DK97" s="5" t="s">
        <v>63</v>
      </c>
      <c r="DL97" s="5" t="s">
        <v>64</v>
      </c>
      <c r="DM97" s="5" t="s">
        <v>65</v>
      </c>
      <c r="DN97" s="5" t="s">
        <v>66</v>
      </c>
      <c r="DO97" s="5" t="s">
        <v>99</v>
      </c>
      <c r="DP97" s="5" t="s">
        <v>55</v>
      </c>
      <c r="DQ97" s="5" t="s">
        <v>56</v>
      </c>
      <c r="DR97" s="5" t="s">
        <v>57</v>
      </c>
      <c r="DS97" s="5" t="s">
        <v>58</v>
      </c>
      <c r="DT97" s="5" t="s">
        <v>59</v>
      </c>
      <c r="DU97" s="5" t="s">
        <v>60</v>
      </c>
      <c r="DV97" s="5" t="s">
        <v>61</v>
      </c>
      <c r="DW97" s="5" t="s">
        <v>62</v>
      </c>
      <c r="DX97" s="5" t="s">
        <v>63</v>
      </c>
      <c r="DY97" s="5" t="s">
        <v>64</v>
      </c>
      <c r="DZ97" s="5" t="s">
        <v>65</v>
      </c>
      <c r="EA97" s="5" t="s">
        <v>66</v>
      </c>
      <c r="EB97" s="5" t="s">
        <v>100</v>
      </c>
      <c r="EC97" s="5" t="s">
        <v>55</v>
      </c>
      <c r="ED97" s="5" t="s">
        <v>56</v>
      </c>
      <c r="EE97" s="5" t="s">
        <v>57</v>
      </c>
      <c r="EF97" s="5" t="s">
        <v>58</v>
      </c>
      <c r="EG97" s="5" t="s">
        <v>59</v>
      </c>
      <c r="EH97" s="5" t="s">
        <v>60</v>
      </c>
      <c r="EI97" s="5" t="s">
        <v>61</v>
      </c>
      <c r="EJ97" s="5" t="s">
        <v>62</v>
      </c>
      <c r="EK97" s="5" t="s">
        <v>63</v>
      </c>
      <c r="EL97" s="5" t="s">
        <v>64</v>
      </c>
      <c r="EM97" s="5" t="s">
        <v>65</v>
      </c>
      <c r="EN97" s="5" t="s">
        <v>66</v>
      </c>
      <c r="EO97" s="5" t="s">
        <v>101</v>
      </c>
      <c r="EP97" s="5" t="s">
        <v>55</v>
      </c>
      <c r="EQ97" s="5" t="s">
        <v>56</v>
      </c>
      <c r="ER97" s="5" t="s">
        <v>57</v>
      </c>
      <c r="ES97" s="5" t="s">
        <v>58</v>
      </c>
      <c r="ET97" s="5" t="s">
        <v>59</v>
      </c>
      <c r="EU97" s="5" t="s">
        <v>60</v>
      </c>
      <c r="EV97" s="5" t="s">
        <v>61</v>
      </c>
      <c r="EW97" s="5" t="s">
        <v>62</v>
      </c>
      <c r="EX97" s="5" t="s">
        <v>63</v>
      </c>
      <c r="EY97" s="5" t="s">
        <v>64</v>
      </c>
      <c r="EZ97" s="5" t="s">
        <v>65</v>
      </c>
      <c r="FA97" s="5" t="s">
        <v>66</v>
      </c>
      <c r="FB97" s="5" t="s">
        <v>102</v>
      </c>
      <c r="FC97" s="5" t="s">
        <v>55</v>
      </c>
      <c r="FD97" s="5" t="s">
        <v>56</v>
      </c>
      <c r="FE97" s="5" t="s">
        <v>57</v>
      </c>
      <c r="FF97" s="5" t="s">
        <v>58</v>
      </c>
      <c r="FG97" s="5" t="s">
        <v>59</v>
      </c>
      <c r="FH97" s="5" t="s">
        <v>60</v>
      </c>
      <c r="FI97" s="5" t="s">
        <v>61</v>
      </c>
      <c r="FJ97" s="5" t="s">
        <v>62</v>
      </c>
      <c r="FK97" s="5" t="s">
        <v>63</v>
      </c>
      <c r="FL97" s="5" t="s">
        <v>64</v>
      </c>
      <c r="FM97" s="5" t="s">
        <v>65</v>
      </c>
      <c r="FN97" s="5" t="s">
        <v>66</v>
      </c>
      <c r="FO97" s="5" t="s">
        <v>103</v>
      </c>
    </row>
    <row r="98" spans="2:171" ht="28.05" customHeight="1" x14ac:dyDescent="0.3">
      <c r="B98" s="6" t="s">
        <v>46</v>
      </c>
      <c r="C98" s="7">
        <v>0</v>
      </c>
      <c r="D98" s="7">
        <v>0</v>
      </c>
      <c r="E98" s="7">
        <v>0</v>
      </c>
      <c r="F98" s="7">
        <v>0</v>
      </c>
      <c r="G98" s="7">
        <v>0</v>
      </c>
      <c r="H98" s="7">
        <v>0</v>
      </c>
      <c r="I98" s="7">
        <v>0</v>
      </c>
      <c r="J98" s="7">
        <v>0</v>
      </c>
      <c r="K98" s="7">
        <v>0</v>
      </c>
      <c r="L98" s="7">
        <v>0</v>
      </c>
      <c r="M98" s="7">
        <v>0</v>
      </c>
      <c r="N98" s="7">
        <v>0</v>
      </c>
      <c r="O98" s="7">
        <f t="shared" ref="O98:O103" si="145">N98</f>
        <v>0</v>
      </c>
      <c r="P98" s="7">
        <v>0</v>
      </c>
      <c r="Q98" s="7">
        <v>0</v>
      </c>
      <c r="R98" s="7">
        <v>0</v>
      </c>
      <c r="S98" s="7">
        <v>0</v>
      </c>
      <c r="T98" s="7">
        <v>0</v>
      </c>
      <c r="U98" s="7">
        <v>0</v>
      </c>
      <c r="V98" s="7">
        <v>0</v>
      </c>
      <c r="W98" s="7">
        <v>0</v>
      </c>
      <c r="X98" s="7">
        <v>0</v>
      </c>
      <c r="Y98" s="7">
        <v>0</v>
      </c>
      <c r="Z98" s="7">
        <v>0</v>
      </c>
      <c r="AA98" s="7">
        <v>0</v>
      </c>
      <c r="AB98" s="7">
        <f t="shared" ref="AB98:AB103" si="146">AA98</f>
        <v>0</v>
      </c>
      <c r="AC98" s="7">
        <v>0</v>
      </c>
      <c r="AD98" s="7">
        <v>0</v>
      </c>
      <c r="AE98" s="7">
        <v>0</v>
      </c>
      <c r="AF98" s="7">
        <v>0</v>
      </c>
      <c r="AG98" s="7">
        <v>0</v>
      </c>
      <c r="AH98" s="7">
        <v>0</v>
      </c>
      <c r="AI98" s="7">
        <v>0</v>
      </c>
      <c r="AJ98" s="7">
        <v>0</v>
      </c>
      <c r="AK98" s="7">
        <v>0</v>
      </c>
      <c r="AL98" s="7">
        <v>0</v>
      </c>
      <c r="AM98" s="7">
        <v>0</v>
      </c>
      <c r="AN98" s="7">
        <v>0</v>
      </c>
      <c r="AO98" s="7">
        <f t="shared" ref="AO98:AO103" si="147">AN98</f>
        <v>0</v>
      </c>
      <c r="AP98" s="7">
        <v>0</v>
      </c>
      <c r="AQ98" s="7">
        <v>0</v>
      </c>
      <c r="AR98" s="7">
        <v>0</v>
      </c>
      <c r="AS98" s="7">
        <v>0</v>
      </c>
      <c r="AT98" s="7">
        <v>0</v>
      </c>
      <c r="AU98" s="7">
        <v>0</v>
      </c>
      <c r="AV98" s="7">
        <v>0</v>
      </c>
      <c r="AW98" s="7">
        <v>0</v>
      </c>
      <c r="AX98" s="7">
        <v>0</v>
      </c>
      <c r="AY98" s="7">
        <v>0</v>
      </c>
      <c r="AZ98" s="7">
        <v>0</v>
      </c>
      <c r="BA98" s="7">
        <v>0</v>
      </c>
      <c r="BB98" s="7">
        <f t="shared" ref="BB98:BB103" si="148">BA98</f>
        <v>0</v>
      </c>
      <c r="BC98" s="7">
        <v>0</v>
      </c>
      <c r="BD98" s="7">
        <v>0</v>
      </c>
      <c r="BE98" s="7">
        <v>0</v>
      </c>
      <c r="BF98" s="7">
        <v>0</v>
      </c>
      <c r="BG98" s="7">
        <v>0</v>
      </c>
      <c r="BH98" s="7">
        <v>0</v>
      </c>
      <c r="BI98" s="7">
        <v>0</v>
      </c>
      <c r="BJ98" s="7">
        <v>0</v>
      </c>
      <c r="BK98" s="7">
        <v>0</v>
      </c>
      <c r="BL98" s="7">
        <v>0</v>
      </c>
      <c r="BM98" s="7">
        <v>0</v>
      </c>
      <c r="BN98" s="7">
        <v>0</v>
      </c>
      <c r="BO98" s="7">
        <f t="shared" ref="BO98:BO103" si="149">BN98</f>
        <v>0</v>
      </c>
      <c r="BP98" s="7">
        <v>0</v>
      </c>
      <c r="BQ98" s="7">
        <v>0</v>
      </c>
      <c r="BR98" s="7">
        <v>0</v>
      </c>
      <c r="BS98" s="7">
        <v>0</v>
      </c>
      <c r="BT98" s="7">
        <v>0</v>
      </c>
      <c r="BU98" s="7">
        <v>0</v>
      </c>
      <c r="BV98" s="7">
        <v>0</v>
      </c>
      <c r="BW98" s="7">
        <v>0</v>
      </c>
      <c r="BX98" s="7">
        <v>0</v>
      </c>
      <c r="BY98" s="7">
        <v>0</v>
      </c>
      <c r="BZ98" s="7">
        <v>0</v>
      </c>
      <c r="CA98" s="7">
        <v>0</v>
      </c>
      <c r="CB98" s="7">
        <f t="shared" ref="CB98:CB103" si="150">CA98</f>
        <v>0</v>
      </c>
      <c r="CC98" s="7">
        <v>0</v>
      </c>
      <c r="CD98" s="7">
        <v>0</v>
      </c>
      <c r="CE98" s="7">
        <v>0</v>
      </c>
      <c r="CF98" s="7">
        <v>0</v>
      </c>
      <c r="CG98" s="7">
        <v>0</v>
      </c>
      <c r="CH98" s="7">
        <v>0</v>
      </c>
      <c r="CI98" s="7">
        <v>0</v>
      </c>
      <c r="CJ98" s="7">
        <v>0</v>
      </c>
      <c r="CK98" s="7">
        <v>0</v>
      </c>
      <c r="CL98" s="7">
        <v>0</v>
      </c>
      <c r="CM98" s="7">
        <v>0</v>
      </c>
      <c r="CN98" s="7">
        <v>0</v>
      </c>
      <c r="CO98" s="7">
        <f t="shared" ref="CO98:CO103" si="151">CN98</f>
        <v>0</v>
      </c>
      <c r="CP98" s="7">
        <v>0</v>
      </c>
      <c r="CQ98" s="7">
        <v>0</v>
      </c>
      <c r="CR98" s="7">
        <v>0</v>
      </c>
      <c r="CS98" s="7">
        <v>0</v>
      </c>
      <c r="CT98" s="7">
        <v>0</v>
      </c>
      <c r="CU98" s="7">
        <v>0</v>
      </c>
      <c r="CV98" s="7">
        <v>0</v>
      </c>
      <c r="CW98" s="7">
        <v>0</v>
      </c>
      <c r="CX98" s="7">
        <v>0</v>
      </c>
      <c r="CY98" s="7">
        <v>0</v>
      </c>
      <c r="CZ98" s="7">
        <v>0</v>
      </c>
      <c r="DA98" s="7">
        <v>0</v>
      </c>
      <c r="DB98" s="7">
        <f t="shared" ref="DB98:DB103" si="152">DA98</f>
        <v>0</v>
      </c>
      <c r="DC98" s="7">
        <v>0</v>
      </c>
      <c r="DD98" s="7">
        <v>0</v>
      </c>
      <c r="DE98" s="7">
        <v>0</v>
      </c>
      <c r="DF98" s="7">
        <v>0</v>
      </c>
      <c r="DG98" s="7">
        <v>0</v>
      </c>
      <c r="DH98" s="7">
        <v>0</v>
      </c>
      <c r="DI98" s="7">
        <v>0</v>
      </c>
      <c r="DJ98" s="7">
        <v>0</v>
      </c>
      <c r="DK98" s="7">
        <v>0</v>
      </c>
      <c r="DL98" s="7">
        <v>0</v>
      </c>
      <c r="DM98" s="7">
        <v>0</v>
      </c>
      <c r="DN98" s="7">
        <v>0</v>
      </c>
      <c r="DO98" s="7">
        <f t="shared" ref="DO98:DO103" si="153">DN98</f>
        <v>0</v>
      </c>
      <c r="DP98" s="7">
        <v>0</v>
      </c>
      <c r="DQ98" s="7">
        <v>0</v>
      </c>
      <c r="DR98" s="7">
        <v>0</v>
      </c>
      <c r="DS98" s="7">
        <v>0</v>
      </c>
      <c r="DT98" s="7">
        <v>0</v>
      </c>
      <c r="DU98" s="7">
        <v>0</v>
      </c>
      <c r="DV98" s="7">
        <v>0</v>
      </c>
      <c r="DW98" s="7">
        <v>0</v>
      </c>
      <c r="DX98" s="7">
        <v>0</v>
      </c>
      <c r="DY98" s="7">
        <v>0</v>
      </c>
      <c r="DZ98" s="7">
        <v>0</v>
      </c>
      <c r="EA98" s="7">
        <v>0</v>
      </c>
      <c r="EB98" s="7">
        <f t="shared" ref="EB98:EB103" si="154">EA98</f>
        <v>0</v>
      </c>
      <c r="EC98" s="7">
        <v>0</v>
      </c>
      <c r="ED98" s="7">
        <v>0</v>
      </c>
      <c r="EE98" s="7">
        <v>0</v>
      </c>
      <c r="EF98" s="7">
        <v>0</v>
      </c>
      <c r="EG98" s="7">
        <v>0</v>
      </c>
      <c r="EH98" s="7">
        <v>0</v>
      </c>
      <c r="EI98" s="7">
        <v>0</v>
      </c>
      <c r="EJ98" s="7">
        <v>0</v>
      </c>
      <c r="EK98" s="7">
        <v>0</v>
      </c>
      <c r="EL98" s="7">
        <v>0</v>
      </c>
      <c r="EM98" s="7">
        <v>0</v>
      </c>
      <c r="EN98" s="7">
        <v>0</v>
      </c>
      <c r="EO98" s="7">
        <f t="shared" ref="EO98:EO103" si="155">EN98</f>
        <v>0</v>
      </c>
      <c r="EP98" s="7">
        <v>0</v>
      </c>
      <c r="EQ98" s="7">
        <v>0</v>
      </c>
      <c r="ER98" s="7">
        <v>0</v>
      </c>
      <c r="ES98" s="7">
        <v>0</v>
      </c>
      <c r="ET98" s="7">
        <v>0</v>
      </c>
      <c r="EU98" s="7">
        <v>0</v>
      </c>
      <c r="EV98" s="7">
        <v>0</v>
      </c>
      <c r="EW98" s="7">
        <v>0</v>
      </c>
      <c r="EX98" s="7">
        <v>0</v>
      </c>
      <c r="EY98" s="7">
        <v>0</v>
      </c>
      <c r="EZ98" s="7">
        <v>0</v>
      </c>
      <c r="FA98" s="7">
        <v>0</v>
      </c>
      <c r="FB98" s="7">
        <f t="shared" ref="FB98:FB103" si="156">FA98</f>
        <v>0</v>
      </c>
      <c r="FC98" s="7">
        <v>0</v>
      </c>
      <c r="FD98" s="7">
        <v>0</v>
      </c>
      <c r="FE98" s="7">
        <v>0</v>
      </c>
      <c r="FF98" s="7">
        <v>0</v>
      </c>
      <c r="FG98" s="7">
        <v>0</v>
      </c>
      <c r="FH98" s="7">
        <v>0</v>
      </c>
      <c r="FI98" s="7">
        <v>0</v>
      </c>
      <c r="FO98" s="7">
        <f t="shared" ref="FO98:FO103" si="157">FI98</f>
        <v>0</v>
      </c>
    </row>
    <row r="99" spans="2:171" ht="28.05" customHeight="1" x14ac:dyDescent="0.3">
      <c r="B99" s="6" t="s">
        <v>47</v>
      </c>
      <c r="C99" s="7">
        <v>0</v>
      </c>
      <c r="D99" s="7">
        <v>0</v>
      </c>
      <c r="E99" s="7">
        <v>0</v>
      </c>
      <c r="F99" s="7">
        <v>0</v>
      </c>
      <c r="G99" s="7">
        <v>0</v>
      </c>
      <c r="H99" s="7">
        <v>0</v>
      </c>
      <c r="I99" s="7">
        <v>0</v>
      </c>
      <c r="J99" s="7">
        <v>0</v>
      </c>
      <c r="K99" s="7">
        <v>0</v>
      </c>
      <c r="L99" s="7">
        <v>0</v>
      </c>
      <c r="M99" s="7">
        <v>0</v>
      </c>
      <c r="N99" s="7">
        <v>0</v>
      </c>
      <c r="O99" s="7">
        <f t="shared" si="145"/>
        <v>0</v>
      </c>
      <c r="P99" s="7">
        <v>0</v>
      </c>
      <c r="Q99" s="7">
        <v>0</v>
      </c>
      <c r="R99" s="7">
        <v>0</v>
      </c>
      <c r="S99" s="7">
        <v>0</v>
      </c>
      <c r="T99" s="7">
        <v>0</v>
      </c>
      <c r="U99" s="7">
        <v>0</v>
      </c>
      <c r="V99" s="7">
        <v>0</v>
      </c>
      <c r="W99" s="7">
        <v>0</v>
      </c>
      <c r="X99" s="7">
        <v>0</v>
      </c>
      <c r="Y99" s="7">
        <v>0</v>
      </c>
      <c r="Z99" s="7">
        <v>0</v>
      </c>
      <c r="AA99" s="7">
        <v>0</v>
      </c>
      <c r="AB99" s="7">
        <f t="shared" si="146"/>
        <v>0</v>
      </c>
      <c r="AC99" s="7">
        <v>0</v>
      </c>
      <c r="AD99" s="7">
        <v>0</v>
      </c>
      <c r="AE99" s="7">
        <v>0</v>
      </c>
      <c r="AF99" s="7">
        <v>0</v>
      </c>
      <c r="AG99" s="7">
        <v>0</v>
      </c>
      <c r="AH99" s="7">
        <v>0</v>
      </c>
      <c r="AI99" s="7">
        <v>0</v>
      </c>
      <c r="AJ99" s="7">
        <v>0</v>
      </c>
      <c r="AK99" s="7">
        <v>0</v>
      </c>
      <c r="AL99" s="7">
        <v>0</v>
      </c>
      <c r="AM99" s="7">
        <v>0</v>
      </c>
      <c r="AN99" s="7">
        <v>0</v>
      </c>
      <c r="AO99" s="7">
        <f t="shared" si="147"/>
        <v>0</v>
      </c>
      <c r="AP99" s="7">
        <v>0</v>
      </c>
      <c r="AQ99" s="7">
        <v>0</v>
      </c>
      <c r="AR99" s="7">
        <v>0</v>
      </c>
      <c r="AS99" s="7">
        <v>0</v>
      </c>
      <c r="AT99" s="7">
        <v>0</v>
      </c>
      <c r="AU99" s="7">
        <v>0</v>
      </c>
      <c r="AV99" s="7">
        <v>0</v>
      </c>
      <c r="AW99" s="7">
        <v>0</v>
      </c>
      <c r="AX99" s="7">
        <v>0</v>
      </c>
      <c r="AY99" s="7">
        <v>0</v>
      </c>
      <c r="AZ99" s="7">
        <v>0</v>
      </c>
      <c r="BA99" s="7">
        <v>0</v>
      </c>
      <c r="BB99" s="7">
        <f t="shared" si="148"/>
        <v>0</v>
      </c>
      <c r="BC99" s="7">
        <v>0</v>
      </c>
      <c r="BD99" s="7">
        <v>0</v>
      </c>
      <c r="BE99" s="7">
        <v>0</v>
      </c>
      <c r="BF99" s="7">
        <v>0</v>
      </c>
      <c r="BG99" s="7">
        <v>0</v>
      </c>
      <c r="BH99" s="7">
        <v>0</v>
      </c>
      <c r="BI99" s="7">
        <v>0</v>
      </c>
      <c r="BJ99" s="7">
        <v>0</v>
      </c>
      <c r="BK99" s="7">
        <v>0</v>
      </c>
      <c r="BL99" s="7">
        <v>0</v>
      </c>
      <c r="BM99" s="7">
        <v>0</v>
      </c>
      <c r="BN99" s="7">
        <v>0</v>
      </c>
      <c r="BO99" s="7">
        <f t="shared" si="149"/>
        <v>0</v>
      </c>
      <c r="BP99" s="7">
        <v>0</v>
      </c>
      <c r="BQ99" s="7">
        <v>0</v>
      </c>
      <c r="BR99" s="7">
        <v>0</v>
      </c>
      <c r="BS99" s="7">
        <v>0</v>
      </c>
      <c r="BT99" s="7">
        <v>0</v>
      </c>
      <c r="BU99" s="7">
        <v>0</v>
      </c>
      <c r="BV99" s="7">
        <v>0</v>
      </c>
      <c r="BW99" s="7">
        <v>0</v>
      </c>
      <c r="BX99" s="7">
        <v>0</v>
      </c>
      <c r="BY99" s="7">
        <v>0</v>
      </c>
      <c r="BZ99" s="7">
        <v>0</v>
      </c>
      <c r="CA99" s="7">
        <v>0</v>
      </c>
      <c r="CB99" s="7">
        <f t="shared" si="150"/>
        <v>0</v>
      </c>
      <c r="CC99" s="7">
        <v>0</v>
      </c>
      <c r="CD99" s="7">
        <v>0</v>
      </c>
      <c r="CE99" s="7">
        <v>0</v>
      </c>
      <c r="CF99" s="7">
        <v>0</v>
      </c>
      <c r="CG99" s="7">
        <v>0</v>
      </c>
      <c r="CH99" s="7">
        <v>0</v>
      </c>
      <c r="CI99" s="7">
        <v>0</v>
      </c>
      <c r="CJ99" s="7">
        <v>0</v>
      </c>
      <c r="CK99" s="7">
        <v>0</v>
      </c>
      <c r="CL99" s="7">
        <v>0</v>
      </c>
      <c r="CM99" s="7">
        <v>0</v>
      </c>
      <c r="CN99" s="7">
        <v>0</v>
      </c>
      <c r="CO99" s="7">
        <f t="shared" si="151"/>
        <v>0</v>
      </c>
      <c r="CP99" s="7">
        <v>0</v>
      </c>
      <c r="CQ99" s="7">
        <v>0</v>
      </c>
      <c r="CR99" s="7">
        <v>0</v>
      </c>
      <c r="CS99" s="7">
        <v>0</v>
      </c>
      <c r="CT99" s="7">
        <v>0</v>
      </c>
      <c r="CU99" s="7">
        <v>0</v>
      </c>
      <c r="CV99" s="7">
        <v>0</v>
      </c>
      <c r="CW99" s="7">
        <v>0</v>
      </c>
      <c r="CX99" s="7">
        <v>0</v>
      </c>
      <c r="CY99" s="7">
        <v>0</v>
      </c>
      <c r="CZ99" s="7">
        <v>0</v>
      </c>
      <c r="DA99" s="7">
        <v>0</v>
      </c>
      <c r="DB99" s="7">
        <f t="shared" si="152"/>
        <v>0</v>
      </c>
      <c r="DC99" s="7">
        <v>0</v>
      </c>
      <c r="DD99" s="7">
        <v>0</v>
      </c>
      <c r="DE99" s="7">
        <v>0</v>
      </c>
      <c r="DF99" s="7">
        <v>0</v>
      </c>
      <c r="DG99" s="7">
        <v>0</v>
      </c>
      <c r="DH99" s="7">
        <v>0</v>
      </c>
      <c r="DI99" s="7">
        <v>0</v>
      </c>
      <c r="DJ99" s="7">
        <v>0</v>
      </c>
      <c r="DK99" s="7">
        <v>0</v>
      </c>
      <c r="DL99" s="7">
        <v>0</v>
      </c>
      <c r="DM99" s="7">
        <v>0</v>
      </c>
      <c r="DN99" s="7">
        <v>0</v>
      </c>
      <c r="DO99" s="7">
        <f t="shared" si="153"/>
        <v>0</v>
      </c>
      <c r="DP99" s="7">
        <v>0</v>
      </c>
      <c r="DQ99" s="7">
        <v>0</v>
      </c>
      <c r="DR99" s="7">
        <v>0</v>
      </c>
      <c r="DS99" s="7">
        <v>0</v>
      </c>
      <c r="DT99" s="7">
        <v>0</v>
      </c>
      <c r="DU99" s="7">
        <v>0</v>
      </c>
      <c r="DV99" s="7">
        <v>0</v>
      </c>
      <c r="DW99" s="7">
        <v>0</v>
      </c>
      <c r="DX99" s="7">
        <v>0</v>
      </c>
      <c r="DY99" s="7">
        <v>0</v>
      </c>
      <c r="DZ99" s="7">
        <v>0</v>
      </c>
      <c r="EA99" s="7">
        <v>0</v>
      </c>
      <c r="EB99" s="7">
        <f t="shared" si="154"/>
        <v>0</v>
      </c>
      <c r="EC99" s="7">
        <v>0</v>
      </c>
      <c r="ED99" s="7">
        <v>0</v>
      </c>
      <c r="EE99" s="7">
        <v>0</v>
      </c>
      <c r="EF99" s="7">
        <v>0</v>
      </c>
      <c r="EG99" s="7">
        <v>0</v>
      </c>
      <c r="EH99" s="7">
        <v>0</v>
      </c>
      <c r="EI99" s="7">
        <v>0</v>
      </c>
      <c r="EJ99" s="7">
        <v>0</v>
      </c>
      <c r="EK99" s="7">
        <v>0</v>
      </c>
      <c r="EL99" s="7">
        <v>0</v>
      </c>
      <c r="EM99" s="7">
        <v>0</v>
      </c>
      <c r="EN99" s="7">
        <v>0</v>
      </c>
      <c r="EO99" s="7">
        <f t="shared" si="155"/>
        <v>0</v>
      </c>
      <c r="EP99" s="7">
        <v>0</v>
      </c>
      <c r="EQ99" s="7">
        <v>0</v>
      </c>
      <c r="ER99" s="7">
        <v>0</v>
      </c>
      <c r="ES99" s="7">
        <v>0</v>
      </c>
      <c r="ET99" s="7">
        <v>0</v>
      </c>
      <c r="EU99" s="7">
        <v>0</v>
      </c>
      <c r="EV99" s="7">
        <v>0</v>
      </c>
      <c r="EW99" s="7">
        <v>0</v>
      </c>
      <c r="EX99" s="7">
        <v>0</v>
      </c>
      <c r="EY99" s="7">
        <v>0</v>
      </c>
      <c r="EZ99" s="7">
        <v>0</v>
      </c>
      <c r="FA99" s="7">
        <v>0</v>
      </c>
      <c r="FB99" s="7">
        <f t="shared" si="156"/>
        <v>0</v>
      </c>
      <c r="FC99" s="7">
        <v>0</v>
      </c>
      <c r="FD99" s="7">
        <v>0</v>
      </c>
      <c r="FE99" s="7">
        <v>0</v>
      </c>
      <c r="FF99" s="7">
        <v>0</v>
      </c>
      <c r="FG99" s="7">
        <v>0</v>
      </c>
      <c r="FH99" s="7">
        <v>0</v>
      </c>
      <c r="FI99" s="7">
        <v>0</v>
      </c>
      <c r="FO99" s="7">
        <f t="shared" si="157"/>
        <v>0</v>
      </c>
    </row>
    <row r="100" spans="2:171" ht="28.05" customHeight="1" x14ac:dyDescent="0.3">
      <c r="B100" s="6" t="s">
        <v>48</v>
      </c>
      <c r="C100" s="7">
        <v>0</v>
      </c>
      <c r="D100" s="7">
        <v>0</v>
      </c>
      <c r="E100" s="7">
        <v>0</v>
      </c>
      <c r="F100" s="7">
        <v>0</v>
      </c>
      <c r="G100" s="7">
        <v>0</v>
      </c>
      <c r="H100" s="7">
        <v>0</v>
      </c>
      <c r="I100" s="7">
        <v>0</v>
      </c>
      <c r="J100" s="7">
        <v>0</v>
      </c>
      <c r="K100" s="7">
        <v>0</v>
      </c>
      <c r="L100" s="7">
        <v>0</v>
      </c>
      <c r="M100" s="7">
        <v>0</v>
      </c>
      <c r="N100" s="7">
        <v>0</v>
      </c>
      <c r="O100" s="7">
        <f t="shared" si="145"/>
        <v>0</v>
      </c>
      <c r="P100" s="7">
        <v>0</v>
      </c>
      <c r="Q100" s="7">
        <v>0</v>
      </c>
      <c r="R100" s="7">
        <v>0</v>
      </c>
      <c r="S100" s="7">
        <v>0</v>
      </c>
      <c r="T100" s="7">
        <v>0</v>
      </c>
      <c r="U100" s="7">
        <v>0</v>
      </c>
      <c r="V100" s="7">
        <v>0</v>
      </c>
      <c r="W100" s="7">
        <v>0</v>
      </c>
      <c r="X100" s="7">
        <v>0</v>
      </c>
      <c r="Y100" s="7">
        <v>0</v>
      </c>
      <c r="Z100" s="7">
        <v>0</v>
      </c>
      <c r="AA100" s="7">
        <v>0</v>
      </c>
      <c r="AB100" s="7">
        <f t="shared" si="146"/>
        <v>0</v>
      </c>
      <c r="AC100" s="7">
        <v>0</v>
      </c>
      <c r="AD100" s="7">
        <v>0</v>
      </c>
      <c r="AE100" s="7">
        <v>0</v>
      </c>
      <c r="AF100" s="7">
        <v>0</v>
      </c>
      <c r="AG100" s="7">
        <v>0</v>
      </c>
      <c r="AH100" s="7">
        <v>0</v>
      </c>
      <c r="AI100" s="7">
        <v>0</v>
      </c>
      <c r="AJ100" s="7">
        <v>0</v>
      </c>
      <c r="AK100" s="7">
        <v>0</v>
      </c>
      <c r="AL100" s="7">
        <v>0</v>
      </c>
      <c r="AM100" s="7">
        <v>0</v>
      </c>
      <c r="AN100" s="7">
        <v>0</v>
      </c>
      <c r="AO100" s="7">
        <f t="shared" si="147"/>
        <v>0</v>
      </c>
      <c r="AP100" s="7">
        <v>0</v>
      </c>
      <c r="AQ100" s="7">
        <v>0</v>
      </c>
      <c r="AR100" s="7">
        <v>0</v>
      </c>
      <c r="AS100" s="7">
        <v>0</v>
      </c>
      <c r="AT100" s="7">
        <v>0</v>
      </c>
      <c r="AU100" s="7">
        <v>0</v>
      </c>
      <c r="AV100" s="7">
        <v>0</v>
      </c>
      <c r="AW100" s="7">
        <v>0</v>
      </c>
      <c r="AX100" s="7">
        <v>0</v>
      </c>
      <c r="AY100" s="7">
        <v>0</v>
      </c>
      <c r="AZ100" s="7">
        <v>0</v>
      </c>
      <c r="BA100" s="7">
        <v>0</v>
      </c>
      <c r="BB100" s="7">
        <f t="shared" si="148"/>
        <v>0</v>
      </c>
      <c r="BC100" s="7">
        <v>0</v>
      </c>
      <c r="BD100" s="7">
        <v>0</v>
      </c>
      <c r="BE100" s="7">
        <v>0</v>
      </c>
      <c r="BF100" s="7">
        <v>0</v>
      </c>
      <c r="BG100" s="7">
        <v>0</v>
      </c>
      <c r="BH100" s="7">
        <v>0</v>
      </c>
      <c r="BI100" s="7">
        <v>0</v>
      </c>
      <c r="BJ100" s="7">
        <v>0</v>
      </c>
      <c r="BK100" s="7">
        <v>0</v>
      </c>
      <c r="BL100" s="7">
        <v>0</v>
      </c>
      <c r="BM100" s="7">
        <v>0</v>
      </c>
      <c r="BN100" s="7">
        <v>0</v>
      </c>
      <c r="BO100" s="7">
        <f t="shared" si="149"/>
        <v>0</v>
      </c>
      <c r="BP100" s="7">
        <v>0</v>
      </c>
      <c r="BQ100" s="7">
        <v>0</v>
      </c>
      <c r="BR100" s="7">
        <v>0</v>
      </c>
      <c r="BS100" s="7">
        <v>0</v>
      </c>
      <c r="BT100" s="7">
        <v>0</v>
      </c>
      <c r="BU100" s="7">
        <v>0</v>
      </c>
      <c r="BV100" s="7">
        <v>0</v>
      </c>
      <c r="BW100" s="7">
        <v>0</v>
      </c>
      <c r="BX100" s="7">
        <v>0</v>
      </c>
      <c r="BY100" s="7">
        <v>0</v>
      </c>
      <c r="BZ100" s="7">
        <v>0</v>
      </c>
      <c r="CA100" s="7">
        <v>0</v>
      </c>
      <c r="CB100" s="7">
        <f t="shared" si="150"/>
        <v>0</v>
      </c>
      <c r="CC100" s="7">
        <v>0</v>
      </c>
      <c r="CD100" s="7">
        <v>0</v>
      </c>
      <c r="CE100" s="7">
        <v>0</v>
      </c>
      <c r="CF100" s="7">
        <v>0</v>
      </c>
      <c r="CG100" s="7">
        <v>0</v>
      </c>
      <c r="CH100" s="7">
        <v>0</v>
      </c>
      <c r="CI100" s="7">
        <v>0</v>
      </c>
      <c r="CJ100" s="7">
        <v>0</v>
      </c>
      <c r="CK100" s="7">
        <v>0</v>
      </c>
      <c r="CL100" s="7">
        <v>0</v>
      </c>
      <c r="CM100" s="7">
        <v>0</v>
      </c>
      <c r="CN100" s="7">
        <v>0</v>
      </c>
      <c r="CO100" s="7">
        <f t="shared" si="151"/>
        <v>0</v>
      </c>
      <c r="CP100" s="7">
        <v>0</v>
      </c>
      <c r="CQ100" s="7">
        <v>0</v>
      </c>
      <c r="CR100" s="7">
        <v>0</v>
      </c>
      <c r="CS100" s="7">
        <v>0</v>
      </c>
      <c r="CT100" s="7">
        <v>0</v>
      </c>
      <c r="CU100" s="7">
        <v>0</v>
      </c>
      <c r="CV100" s="7">
        <v>0</v>
      </c>
      <c r="CW100" s="7">
        <v>0</v>
      </c>
      <c r="CX100" s="7">
        <v>0</v>
      </c>
      <c r="CY100" s="7">
        <v>0</v>
      </c>
      <c r="CZ100" s="7">
        <v>0</v>
      </c>
      <c r="DA100" s="7">
        <v>0</v>
      </c>
      <c r="DB100" s="7">
        <f t="shared" si="152"/>
        <v>0</v>
      </c>
      <c r="DC100" s="7">
        <v>0</v>
      </c>
      <c r="DD100" s="7">
        <v>0</v>
      </c>
      <c r="DE100" s="7">
        <v>0</v>
      </c>
      <c r="DF100" s="7">
        <v>0</v>
      </c>
      <c r="DG100" s="7">
        <v>0</v>
      </c>
      <c r="DH100" s="7">
        <v>0</v>
      </c>
      <c r="DI100" s="7">
        <v>0</v>
      </c>
      <c r="DJ100" s="7">
        <v>0</v>
      </c>
      <c r="DK100" s="7">
        <v>0</v>
      </c>
      <c r="DL100" s="7">
        <v>0</v>
      </c>
      <c r="DM100" s="7">
        <v>0</v>
      </c>
      <c r="DN100" s="7">
        <v>0</v>
      </c>
      <c r="DO100" s="7">
        <f t="shared" si="153"/>
        <v>0</v>
      </c>
      <c r="DP100" s="7">
        <v>17877772</v>
      </c>
      <c r="DQ100" s="7">
        <v>17877772</v>
      </c>
      <c r="DR100" s="7">
        <v>17877772</v>
      </c>
      <c r="DS100" s="7">
        <v>17877772</v>
      </c>
      <c r="DT100" s="7">
        <v>17877772</v>
      </c>
      <c r="DU100" s="7">
        <v>17877772</v>
      </c>
      <c r="DV100" s="7">
        <v>17877772</v>
      </c>
      <c r="DW100" s="7">
        <v>17772523</v>
      </c>
      <c r="DX100" s="7">
        <v>17772523</v>
      </c>
      <c r="DY100" s="7">
        <v>17772523</v>
      </c>
      <c r="DZ100" s="7">
        <v>10123523</v>
      </c>
      <c r="EA100" s="7">
        <v>10123523</v>
      </c>
      <c r="EB100" s="7">
        <f t="shared" si="154"/>
        <v>10123523</v>
      </c>
      <c r="EC100" s="7">
        <v>0</v>
      </c>
      <c r="ED100" s="7">
        <v>0</v>
      </c>
      <c r="EE100" s="7">
        <v>0</v>
      </c>
      <c r="EF100" s="7">
        <v>0</v>
      </c>
      <c r="EG100" s="7">
        <v>0</v>
      </c>
      <c r="EH100" s="7">
        <v>0</v>
      </c>
      <c r="EI100" s="7">
        <v>0</v>
      </c>
      <c r="EJ100" s="7">
        <v>0</v>
      </c>
      <c r="EK100" s="7">
        <v>0</v>
      </c>
      <c r="EL100" s="7">
        <v>0</v>
      </c>
      <c r="EM100" s="7">
        <v>0</v>
      </c>
      <c r="EN100" s="7">
        <v>0</v>
      </c>
      <c r="EO100" s="7">
        <f t="shared" si="155"/>
        <v>0</v>
      </c>
      <c r="EP100" s="7">
        <v>0</v>
      </c>
      <c r="EQ100" s="7">
        <v>0</v>
      </c>
      <c r="ER100" s="7">
        <v>0</v>
      </c>
      <c r="ES100" s="7">
        <v>0</v>
      </c>
      <c r="ET100" s="7">
        <v>0</v>
      </c>
      <c r="EU100" s="7">
        <v>0</v>
      </c>
      <c r="EV100" s="7">
        <v>0</v>
      </c>
      <c r="EW100" s="7">
        <v>0</v>
      </c>
      <c r="EX100" s="7">
        <v>0</v>
      </c>
      <c r="EY100" s="7">
        <v>0</v>
      </c>
      <c r="EZ100" s="7">
        <v>0</v>
      </c>
      <c r="FA100" s="7">
        <v>0</v>
      </c>
      <c r="FB100" s="7">
        <f t="shared" si="156"/>
        <v>0</v>
      </c>
      <c r="FC100" s="7">
        <v>0</v>
      </c>
      <c r="FD100" s="7">
        <v>0</v>
      </c>
      <c r="FE100" s="7">
        <v>0</v>
      </c>
      <c r="FF100" s="7">
        <v>0</v>
      </c>
      <c r="FG100" s="7">
        <v>0</v>
      </c>
      <c r="FH100" s="7">
        <v>0</v>
      </c>
      <c r="FI100" s="7">
        <v>0</v>
      </c>
      <c r="FO100" s="7">
        <f t="shared" si="157"/>
        <v>0</v>
      </c>
    </row>
    <row r="101" spans="2:171" ht="28.05" customHeight="1" x14ac:dyDescent="0.3">
      <c r="B101" s="6" t="s">
        <v>49</v>
      </c>
      <c r="C101" s="7">
        <v>0</v>
      </c>
      <c r="D101" s="7">
        <v>0</v>
      </c>
      <c r="E101" s="7">
        <v>0</v>
      </c>
      <c r="F101" s="7">
        <v>0</v>
      </c>
      <c r="G101" s="7">
        <v>0</v>
      </c>
      <c r="H101" s="7">
        <v>0</v>
      </c>
      <c r="I101" s="7">
        <v>0</v>
      </c>
      <c r="J101" s="7">
        <v>0</v>
      </c>
      <c r="K101" s="7">
        <v>0</v>
      </c>
      <c r="L101" s="7">
        <v>0</v>
      </c>
      <c r="M101" s="7">
        <v>0</v>
      </c>
      <c r="N101" s="7">
        <v>0</v>
      </c>
      <c r="O101" s="7">
        <f t="shared" si="145"/>
        <v>0</v>
      </c>
      <c r="P101" s="7">
        <v>0</v>
      </c>
      <c r="Q101" s="7">
        <v>0</v>
      </c>
      <c r="R101" s="7">
        <v>0</v>
      </c>
      <c r="S101" s="7">
        <v>0</v>
      </c>
      <c r="T101" s="7">
        <v>0</v>
      </c>
      <c r="U101" s="7">
        <v>0</v>
      </c>
      <c r="V101" s="7">
        <v>0</v>
      </c>
      <c r="W101" s="7">
        <v>0</v>
      </c>
      <c r="X101" s="7">
        <v>0</v>
      </c>
      <c r="Y101" s="7">
        <v>0</v>
      </c>
      <c r="Z101" s="7">
        <v>0</v>
      </c>
      <c r="AA101" s="7">
        <v>0</v>
      </c>
      <c r="AB101" s="7">
        <f t="shared" si="146"/>
        <v>0</v>
      </c>
      <c r="AC101" s="7">
        <v>0</v>
      </c>
      <c r="AD101" s="7">
        <v>0</v>
      </c>
      <c r="AE101" s="7">
        <v>0</v>
      </c>
      <c r="AF101" s="7">
        <v>0</v>
      </c>
      <c r="AG101" s="7">
        <v>0</v>
      </c>
      <c r="AH101" s="7">
        <v>0</v>
      </c>
      <c r="AI101" s="7">
        <v>0</v>
      </c>
      <c r="AJ101" s="7">
        <v>0</v>
      </c>
      <c r="AK101" s="7">
        <v>0</v>
      </c>
      <c r="AL101" s="7">
        <v>0</v>
      </c>
      <c r="AM101" s="7">
        <v>0</v>
      </c>
      <c r="AN101" s="7">
        <v>0</v>
      </c>
      <c r="AO101" s="7">
        <f t="shared" si="147"/>
        <v>0</v>
      </c>
      <c r="AP101" s="7">
        <v>0</v>
      </c>
      <c r="AQ101" s="7">
        <v>0</v>
      </c>
      <c r="AR101" s="7">
        <v>0</v>
      </c>
      <c r="AS101" s="7">
        <v>0</v>
      </c>
      <c r="AT101" s="7">
        <v>0</v>
      </c>
      <c r="AU101" s="7">
        <v>0</v>
      </c>
      <c r="AV101" s="7">
        <v>0</v>
      </c>
      <c r="AW101" s="7">
        <v>0</v>
      </c>
      <c r="AX101" s="7">
        <v>0</v>
      </c>
      <c r="AY101" s="7">
        <v>0</v>
      </c>
      <c r="AZ101" s="7">
        <v>0</v>
      </c>
      <c r="BA101" s="7">
        <v>0</v>
      </c>
      <c r="BB101" s="7">
        <f t="shared" si="148"/>
        <v>0</v>
      </c>
      <c r="BC101" s="7">
        <v>0</v>
      </c>
      <c r="BD101" s="7">
        <v>0</v>
      </c>
      <c r="BE101" s="7">
        <v>0</v>
      </c>
      <c r="BF101" s="7">
        <v>0</v>
      </c>
      <c r="BG101" s="7">
        <v>0</v>
      </c>
      <c r="BH101" s="7">
        <v>0</v>
      </c>
      <c r="BI101" s="7">
        <v>0</v>
      </c>
      <c r="BJ101" s="7">
        <v>0</v>
      </c>
      <c r="BK101" s="7">
        <v>0</v>
      </c>
      <c r="BL101" s="7">
        <v>0</v>
      </c>
      <c r="BM101" s="7">
        <v>0</v>
      </c>
      <c r="BN101" s="7">
        <v>0</v>
      </c>
      <c r="BO101" s="7">
        <f t="shared" si="149"/>
        <v>0</v>
      </c>
      <c r="BP101" s="7">
        <v>0</v>
      </c>
      <c r="BQ101" s="7">
        <v>0</v>
      </c>
      <c r="BR101" s="7">
        <v>0</v>
      </c>
      <c r="BS101" s="7">
        <v>0</v>
      </c>
      <c r="BT101" s="7">
        <v>0</v>
      </c>
      <c r="BU101" s="7">
        <v>0</v>
      </c>
      <c r="BV101" s="7">
        <v>0</v>
      </c>
      <c r="BW101" s="7">
        <v>0</v>
      </c>
      <c r="BX101" s="7">
        <v>0</v>
      </c>
      <c r="BY101" s="7">
        <v>0</v>
      </c>
      <c r="BZ101" s="7">
        <v>0</v>
      </c>
      <c r="CA101" s="7">
        <v>0</v>
      </c>
      <c r="CB101" s="7">
        <f t="shared" si="150"/>
        <v>0</v>
      </c>
      <c r="CC101" s="7">
        <v>0</v>
      </c>
      <c r="CD101" s="7">
        <v>0</v>
      </c>
      <c r="CE101" s="7">
        <v>0</v>
      </c>
      <c r="CF101" s="7">
        <v>0</v>
      </c>
      <c r="CG101" s="7">
        <v>0</v>
      </c>
      <c r="CH101" s="7">
        <v>0</v>
      </c>
      <c r="CI101" s="7">
        <v>0</v>
      </c>
      <c r="CJ101" s="7">
        <v>0</v>
      </c>
      <c r="CK101" s="7">
        <v>0</v>
      </c>
      <c r="CL101" s="7">
        <v>0</v>
      </c>
      <c r="CM101" s="7">
        <v>0</v>
      </c>
      <c r="CN101" s="7">
        <v>0</v>
      </c>
      <c r="CO101" s="7">
        <f t="shared" si="151"/>
        <v>0</v>
      </c>
      <c r="CP101" s="7">
        <v>0</v>
      </c>
      <c r="CQ101" s="7">
        <v>0</v>
      </c>
      <c r="CR101" s="7">
        <v>0</v>
      </c>
      <c r="CS101" s="7">
        <v>0</v>
      </c>
      <c r="CT101" s="7">
        <v>0</v>
      </c>
      <c r="CU101" s="7">
        <v>0</v>
      </c>
      <c r="CV101" s="7">
        <v>0</v>
      </c>
      <c r="CW101" s="7">
        <v>0</v>
      </c>
      <c r="CX101" s="7">
        <v>0</v>
      </c>
      <c r="CY101" s="7">
        <v>0</v>
      </c>
      <c r="CZ101" s="7">
        <v>0</v>
      </c>
      <c r="DA101" s="7">
        <v>0</v>
      </c>
      <c r="DB101" s="7">
        <f t="shared" si="152"/>
        <v>0</v>
      </c>
      <c r="DC101" s="7">
        <v>0</v>
      </c>
      <c r="DD101" s="7">
        <v>0</v>
      </c>
      <c r="DE101" s="7">
        <v>0</v>
      </c>
      <c r="DF101" s="7">
        <v>0</v>
      </c>
      <c r="DG101" s="7">
        <v>0</v>
      </c>
      <c r="DH101" s="7">
        <v>0</v>
      </c>
      <c r="DI101" s="7">
        <v>0</v>
      </c>
      <c r="DJ101" s="7">
        <v>0</v>
      </c>
      <c r="DK101" s="7">
        <v>0</v>
      </c>
      <c r="DL101" s="7">
        <v>0</v>
      </c>
      <c r="DM101" s="7">
        <v>0</v>
      </c>
      <c r="DN101" s="7">
        <v>0</v>
      </c>
      <c r="DO101" s="7">
        <f t="shared" si="153"/>
        <v>0</v>
      </c>
      <c r="DP101" s="7">
        <v>0</v>
      </c>
      <c r="DQ101" s="7">
        <v>0</v>
      </c>
      <c r="DR101" s="7">
        <v>0</v>
      </c>
      <c r="DS101" s="7">
        <v>0</v>
      </c>
      <c r="DT101" s="7">
        <v>0</v>
      </c>
      <c r="DU101" s="7">
        <v>0</v>
      </c>
      <c r="DV101" s="7">
        <v>0</v>
      </c>
      <c r="DW101" s="7">
        <v>0</v>
      </c>
      <c r="DX101" s="7">
        <v>0</v>
      </c>
      <c r="DY101" s="7">
        <v>0</v>
      </c>
      <c r="DZ101" s="7">
        <v>0</v>
      </c>
      <c r="EA101" s="7">
        <v>0</v>
      </c>
      <c r="EB101" s="7">
        <f t="shared" si="154"/>
        <v>0</v>
      </c>
      <c r="EC101" s="7">
        <v>0</v>
      </c>
      <c r="ED101" s="7">
        <v>0</v>
      </c>
      <c r="EE101" s="7">
        <v>0</v>
      </c>
      <c r="EF101" s="7">
        <v>0</v>
      </c>
      <c r="EG101" s="7">
        <v>0</v>
      </c>
      <c r="EH101" s="7">
        <v>0</v>
      </c>
      <c r="EI101" s="7">
        <v>0</v>
      </c>
      <c r="EJ101" s="7">
        <v>0</v>
      </c>
      <c r="EK101" s="7">
        <v>0</v>
      </c>
      <c r="EL101" s="7">
        <v>0</v>
      </c>
      <c r="EM101" s="7">
        <v>0</v>
      </c>
      <c r="EN101" s="7">
        <v>0</v>
      </c>
      <c r="EO101" s="7">
        <f t="shared" si="155"/>
        <v>0</v>
      </c>
      <c r="EP101" s="7">
        <v>0</v>
      </c>
      <c r="EQ101" s="7">
        <v>0</v>
      </c>
      <c r="ER101" s="7">
        <v>0</v>
      </c>
      <c r="ES101" s="7">
        <v>0</v>
      </c>
      <c r="ET101" s="7">
        <v>0</v>
      </c>
      <c r="EU101" s="7">
        <v>0</v>
      </c>
      <c r="EV101" s="7">
        <v>0</v>
      </c>
      <c r="EW101" s="7">
        <v>0</v>
      </c>
      <c r="EX101" s="7">
        <v>0</v>
      </c>
      <c r="EY101" s="7">
        <v>0</v>
      </c>
      <c r="EZ101" s="7">
        <v>0</v>
      </c>
      <c r="FA101" s="7">
        <v>0</v>
      </c>
      <c r="FB101" s="7">
        <f t="shared" si="156"/>
        <v>0</v>
      </c>
      <c r="FC101" s="7">
        <v>0</v>
      </c>
      <c r="FD101" s="7">
        <v>0</v>
      </c>
      <c r="FE101" s="7">
        <v>0</v>
      </c>
      <c r="FF101" s="7">
        <v>0</v>
      </c>
      <c r="FG101" s="7">
        <v>0</v>
      </c>
      <c r="FH101" s="7">
        <v>0</v>
      </c>
      <c r="FI101" s="7">
        <v>0</v>
      </c>
      <c r="FO101" s="7">
        <f t="shared" si="157"/>
        <v>0</v>
      </c>
    </row>
    <row r="102" spans="2:171" ht="28.05" customHeight="1" x14ac:dyDescent="0.3">
      <c r="B102" s="6" t="s">
        <v>50</v>
      </c>
      <c r="C102" s="7">
        <v>0</v>
      </c>
      <c r="D102" s="7">
        <v>0</v>
      </c>
      <c r="E102" s="7">
        <v>0</v>
      </c>
      <c r="F102" s="7">
        <v>0</v>
      </c>
      <c r="G102" s="7">
        <v>0</v>
      </c>
      <c r="H102" s="7">
        <v>0</v>
      </c>
      <c r="I102" s="7">
        <v>0</v>
      </c>
      <c r="J102" s="7">
        <v>0</v>
      </c>
      <c r="K102" s="7">
        <v>0</v>
      </c>
      <c r="L102" s="7">
        <v>0</v>
      </c>
      <c r="M102" s="7">
        <v>0</v>
      </c>
      <c r="N102" s="7">
        <v>0</v>
      </c>
      <c r="O102" s="7">
        <f t="shared" si="145"/>
        <v>0</v>
      </c>
      <c r="P102" s="7">
        <v>0</v>
      </c>
      <c r="Q102" s="7">
        <v>0</v>
      </c>
      <c r="R102" s="7">
        <v>0</v>
      </c>
      <c r="S102" s="7">
        <v>0</v>
      </c>
      <c r="T102" s="7">
        <v>0</v>
      </c>
      <c r="U102" s="7">
        <v>0</v>
      </c>
      <c r="V102" s="7">
        <v>0</v>
      </c>
      <c r="W102" s="7">
        <v>0</v>
      </c>
      <c r="X102" s="7">
        <v>0</v>
      </c>
      <c r="Y102" s="7">
        <v>0</v>
      </c>
      <c r="Z102" s="7">
        <v>0</v>
      </c>
      <c r="AA102" s="7">
        <v>0</v>
      </c>
      <c r="AB102" s="7">
        <f t="shared" si="146"/>
        <v>0</v>
      </c>
      <c r="AC102" s="7">
        <v>0</v>
      </c>
      <c r="AD102" s="7">
        <v>0</v>
      </c>
      <c r="AE102" s="7">
        <v>0</v>
      </c>
      <c r="AF102" s="7">
        <v>0</v>
      </c>
      <c r="AG102" s="7">
        <v>0</v>
      </c>
      <c r="AH102" s="7">
        <v>0</v>
      </c>
      <c r="AI102" s="7">
        <v>0</v>
      </c>
      <c r="AJ102" s="7">
        <v>0</v>
      </c>
      <c r="AK102" s="7">
        <v>0</v>
      </c>
      <c r="AL102" s="7">
        <v>0</v>
      </c>
      <c r="AM102" s="7">
        <v>0</v>
      </c>
      <c r="AN102" s="7">
        <v>0</v>
      </c>
      <c r="AO102" s="7">
        <f t="shared" si="147"/>
        <v>0</v>
      </c>
      <c r="AP102" s="7">
        <v>0</v>
      </c>
      <c r="AQ102" s="7">
        <v>0</v>
      </c>
      <c r="AR102" s="7">
        <v>0</v>
      </c>
      <c r="AS102" s="7">
        <v>0</v>
      </c>
      <c r="AT102" s="7">
        <v>0</v>
      </c>
      <c r="AU102" s="7">
        <v>0</v>
      </c>
      <c r="AV102" s="7">
        <v>0</v>
      </c>
      <c r="AW102" s="7">
        <v>0</v>
      </c>
      <c r="AX102" s="7">
        <v>0</v>
      </c>
      <c r="AY102" s="7">
        <v>0</v>
      </c>
      <c r="AZ102" s="7">
        <v>0</v>
      </c>
      <c r="BA102" s="7">
        <v>0</v>
      </c>
      <c r="BB102" s="7">
        <f t="shared" si="148"/>
        <v>0</v>
      </c>
      <c r="BC102" s="7">
        <v>0</v>
      </c>
      <c r="BD102" s="7">
        <v>0</v>
      </c>
      <c r="BE102" s="7">
        <v>0</v>
      </c>
      <c r="BF102" s="7">
        <v>0</v>
      </c>
      <c r="BG102" s="7">
        <v>0</v>
      </c>
      <c r="BH102" s="7">
        <v>0</v>
      </c>
      <c r="BI102" s="7">
        <v>0</v>
      </c>
      <c r="BJ102" s="7">
        <v>0</v>
      </c>
      <c r="BK102" s="7">
        <v>0</v>
      </c>
      <c r="BL102" s="7">
        <v>0</v>
      </c>
      <c r="BM102" s="7">
        <v>0</v>
      </c>
      <c r="BN102" s="7">
        <v>0</v>
      </c>
      <c r="BO102" s="7">
        <f t="shared" si="149"/>
        <v>0</v>
      </c>
      <c r="BP102" s="7">
        <v>0</v>
      </c>
      <c r="BQ102" s="7">
        <v>0</v>
      </c>
      <c r="BR102" s="7">
        <v>0</v>
      </c>
      <c r="BS102" s="7">
        <v>0</v>
      </c>
      <c r="BT102" s="7">
        <v>0</v>
      </c>
      <c r="BU102" s="7">
        <v>0</v>
      </c>
      <c r="BV102" s="7">
        <v>0</v>
      </c>
      <c r="BW102" s="7">
        <v>0</v>
      </c>
      <c r="BX102" s="7">
        <v>0</v>
      </c>
      <c r="BY102" s="7">
        <v>0</v>
      </c>
      <c r="BZ102" s="7">
        <v>0</v>
      </c>
      <c r="CA102" s="7">
        <v>0</v>
      </c>
      <c r="CB102" s="7">
        <f t="shared" si="150"/>
        <v>0</v>
      </c>
      <c r="CC102" s="7">
        <v>0</v>
      </c>
      <c r="CD102" s="7">
        <v>0</v>
      </c>
      <c r="CE102" s="7">
        <v>0</v>
      </c>
      <c r="CF102" s="7">
        <v>0</v>
      </c>
      <c r="CG102" s="7">
        <v>0</v>
      </c>
      <c r="CH102" s="7">
        <v>0</v>
      </c>
      <c r="CI102" s="7">
        <v>0</v>
      </c>
      <c r="CJ102" s="7">
        <v>0</v>
      </c>
      <c r="CK102" s="7">
        <v>0</v>
      </c>
      <c r="CL102" s="7">
        <v>0</v>
      </c>
      <c r="CM102" s="7">
        <v>0</v>
      </c>
      <c r="CN102" s="7">
        <v>0</v>
      </c>
      <c r="CO102" s="7">
        <f t="shared" si="151"/>
        <v>0</v>
      </c>
      <c r="CP102" s="7">
        <v>0</v>
      </c>
      <c r="CQ102" s="7">
        <v>0</v>
      </c>
      <c r="CR102" s="7">
        <v>0</v>
      </c>
      <c r="CS102" s="7">
        <v>0</v>
      </c>
      <c r="CT102" s="7">
        <v>0</v>
      </c>
      <c r="CU102" s="7">
        <v>0</v>
      </c>
      <c r="CV102" s="7">
        <v>0</v>
      </c>
      <c r="CW102" s="7">
        <v>0</v>
      </c>
      <c r="CX102" s="7">
        <v>0</v>
      </c>
      <c r="CY102" s="7">
        <v>0</v>
      </c>
      <c r="CZ102" s="7">
        <v>0</v>
      </c>
      <c r="DA102" s="7">
        <v>0</v>
      </c>
      <c r="DB102" s="7">
        <f t="shared" si="152"/>
        <v>0</v>
      </c>
      <c r="DC102" s="7">
        <v>0</v>
      </c>
      <c r="DD102" s="7">
        <v>0</v>
      </c>
      <c r="DE102" s="7">
        <v>0</v>
      </c>
      <c r="DF102" s="7">
        <v>0</v>
      </c>
      <c r="DG102" s="7">
        <v>0</v>
      </c>
      <c r="DH102" s="7">
        <v>0</v>
      </c>
      <c r="DI102" s="7">
        <v>0</v>
      </c>
      <c r="DJ102" s="7">
        <v>0</v>
      </c>
      <c r="DK102" s="7">
        <v>0</v>
      </c>
      <c r="DL102" s="7">
        <v>0</v>
      </c>
      <c r="DM102" s="7">
        <v>0</v>
      </c>
      <c r="DN102" s="7">
        <v>0</v>
      </c>
      <c r="DO102" s="7">
        <f t="shared" si="153"/>
        <v>0</v>
      </c>
      <c r="DP102" s="7">
        <v>0</v>
      </c>
      <c r="DQ102" s="7">
        <v>0</v>
      </c>
      <c r="DR102" s="7">
        <v>0</v>
      </c>
      <c r="DS102" s="7">
        <v>0</v>
      </c>
      <c r="DT102" s="7">
        <v>0</v>
      </c>
      <c r="DU102" s="7">
        <v>0</v>
      </c>
      <c r="DV102" s="7">
        <v>0</v>
      </c>
      <c r="DW102" s="7">
        <v>0</v>
      </c>
      <c r="DX102" s="7">
        <v>0</v>
      </c>
      <c r="DY102" s="7">
        <v>0</v>
      </c>
      <c r="DZ102" s="7">
        <v>0</v>
      </c>
      <c r="EA102" s="7">
        <v>0</v>
      </c>
      <c r="EB102" s="7">
        <f t="shared" si="154"/>
        <v>0</v>
      </c>
      <c r="EC102" s="7">
        <v>0</v>
      </c>
      <c r="ED102" s="7">
        <v>0</v>
      </c>
      <c r="EE102" s="7">
        <v>0</v>
      </c>
      <c r="EF102" s="7">
        <v>0</v>
      </c>
      <c r="EG102" s="7">
        <v>0</v>
      </c>
      <c r="EH102" s="7">
        <v>0</v>
      </c>
      <c r="EI102" s="7">
        <v>0</v>
      </c>
      <c r="EJ102" s="7">
        <v>0</v>
      </c>
      <c r="EK102" s="7">
        <v>0</v>
      </c>
      <c r="EL102" s="7">
        <v>0</v>
      </c>
      <c r="EM102" s="7">
        <v>0</v>
      </c>
      <c r="EN102" s="7">
        <v>0</v>
      </c>
      <c r="EO102" s="7">
        <f t="shared" si="155"/>
        <v>0</v>
      </c>
      <c r="EP102" s="7">
        <v>0</v>
      </c>
      <c r="EQ102" s="7">
        <v>0</v>
      </c>
      <c r="ER102" s="7">
        <v>0</v>
      </c>
      <c r="ES102" s="7">
        <v>0</v>
      </c>
      <c r="ET102" s="7">
        <v>0</v>
      </c>
      <c r="EU102" s="7">
        <v>0</v>
      </c>
      <c r="EV102" s="7">
        <v>0</v>
      </c>
      <c r="EW102" s="7">
        <v>0</v>
      </c>
      <c r="EX102" s="7">
        <v>0</v>
      </c>
      <c r="EY102" s="7">
        <v>0</v>
      </c>
      <c r="EZ102" s="7">
        <v>0</v>
      </c>
      <c r="FA102" s="7">
        <v>0</v>
      </c>
      <c r="FB102" s="7">
        <f t="shared" si="156"/>
        <v>0</v>
      </c>
      <c r="FC102" s="7">
        <v>0</v>
      </c>
      <c r="FD102" s="7">
        <v>0</v>
      </c>
      <c r="FE102" s="7">
        <v>0</v>
      </c>
      <c r="FF102" s="7">
        <v>0</v>
      </c>
      <c r="FG102" s="7">
        <v>0</v>
      </c>
      <c r="FH102" s="7">
        <v>0</v>
      </c>
      <c r="FI102" s="7">
        <v>0</v>
      </c>
      <c r="FO102" s="7">
        <f t="shared" si="157"/>
        <v>0</v>
      </c>
    </row>
    <row r="103" spans="2:171" ht="28.05" customHeight="1" x14ac:dyDescent="0.3">
      <c r="B103" s="6" t="s">
        <v>51</v>
      </c>
      <c r="C103" s="7">
        <v>0</v>
      </c>
      <c r="D103" s="7">
        <v>0</v>
      </c>
      <c r="E103" s="7">
        <v>0</v>
      </c>
      <c r="F103" s="7">
        <v>0</v>
      </c>
      <c r="G103" s="7">
        <v>0</v>
      </c>
      <c r="H103" s="7">
        <v>0</v>
      </c>
      <c r="I103" s="7">
        <v>0</v>
      </c>
      <c r="J103" s="7">
        <v>0</v>
      </c>
      <c r="K103" s="7">
        <v>0</v>
      </c>
      <c r="L103" s="7">
        <v>0</v>
      </c>
      <c r="M103" s="7">
        <v>0</v>
      </c>
      <c r="N103" s="7">
        <v>0</v>
      </c>
      <c r="O103" s="7">
        <f t="shared" si="145"/>
        <v>0</v>
      </c>
      <c r="P103" s="7">
        <v>0</v>
      </c>
      <c r="Q103" s="7">
        <v>0</v>
      </c>
      <c r="R103" s="7">
        <v>0</v>
      </c>
      <c r="S103" s="7">
        <v>0</v>
      </c>
      <c r="T103" s="7">
        <v>0</v>
      </c>
      <c r="U103" s="7">
        <v>0</v>
      </c>
      <c r="V103" s="7">
        <v>0</v>
      </c>
      <c r="W103" s="7">
        <v>0</v>
      </c>
      <c r="X103" s="7">
        <v>0</v>
      </c>
      <c r="Y103" s="7">
        <v>0</v>
      </c>
      <c r="Z103" s="7">
        <v>0</v>
      </c>
      <c r="AA103" s="7">
        <v>0</v>
      </c>
      <c r="AB103" s="7">
        <f t="shared" si="146"/>
        <v>0</v>
      </c>
      <c r="AC103" s="7">
        <v>0</v>
      </c>
      <c r="AD103" s="7">
        <v>0</v>
      </c>
      <c r="AE103" s="7">
        <v>0</v>
      </c>
      <c r="AF103" s="7">
        <v>0</v>
      </c>
      <c r="AG103" s="7">
        <v>0</v>
      </c>
      <c r="AH103" s="7">
        <v>0</v>
      </c>
      <c r="AI103" s="7">
        <v>0</v>
      </c>
      <c r="AJ103" s="7">
        <v>0</v>
      </c>
      <c r="AK103" s="7">
        <v>0</v>
      </c>
      <c r="AL103" s="7">
        <v>0</v>
      </c>
      <c r="AM103" s="7">
        <v>0</v>
      </c>
      <c r="AN103" s="7">
        <v>0</v>
      </c>
      <c r="AO103" s="7">
        <f t="shared" si="147"/>
        <v>0</v>
      </c>
      <c r="AP103" s="7">
        <v>0</v>
      </c>
      <c r="AQ103" s="7">
        <v>0</v>
      </c>
      <c r="AR103" s="7">
        <v>0</v>
      </c>
      <c r="AS103" s="7">
        <v>0</v>
      </c>
      <c r="AT103" s="7">
        <v>0</v>
      </c>
      <c r="AU103" s="7">
        <v>0</v>
      </c>
      <c r="AV103" s="7">
        <v>0</v>
      </c>
      <c r="AW103" s="7">
        <v>0</v>
      </c>
      <c r="AX103" s="7">
        <v>0</v>
      </c>
      <c r="AY103" s="7">
        <v>0</v>
      </c>
      <c r="AZ103" s="7">
        <v>0</v>
      </c>
      <c r="BA103" s="7">
        <v>0</v>
      </c>
      <c r="BB103" s="7">
        <f t="shared" si="148"/>
        <v>0</v>
      </c>
      <c r="BC103" s="7">
        <v>0</v>
      </c>
      <c r="BD103" s="7">
        <v>0</v>
      </c>
      <c r="BE103" s="7">
        <v>0</v>
      </c>
      <c r="BF103" s="7">
        <v>0</v>
      </c>
      <c r="BG103" s="7">
        <v>0</v>
      </c>
      <c r="BH103" s="7">
        <v>0</v>
      </c>
      <c r="BI103" s="7">
        <v>0</v>
      </c>
      <c r="BJ103" s="7">
        <v>0</v>
      </c>
      <c r="BK103" s="7">
        <v>0</v>
      </c>
      <c r="BL103" s="7">
        <v>0</v>
      </c>
      <c r="BM103" s="7">
        <v>0</v>
      </c>
      <c r="BN103" s="7">
        <v>0</v>
      </c>
      <c r="BO103" s="7">
        <f t="shared" si="149"/>
        <v>0</v>
      </c>
      <c r="BP103" s="7">
        <v>0</v>
      </c>
      <c r="BQ103" s="7">
        <v>0</v>
      </c>
      <c r="BR103" s="7">
        <v>0</v>
      </c>
      <c r="BS103" s="7">
        <v>0</v>
      </c>
      <c r="BT103" s="7">
        <v>0</v>
      </c>
      <c r="BU103" s="7">
        <v>0</v>
      </c>
      <c r="BV103" s="7">
        <v>0</v>
      </c>
      <c r="BW103" s="7">
        <v>0</v>
      </c>
      <c r="BX103" s="7">
        <v>0</v>
      </c>
      <c r="BY103" s="7">
        <v>0</v>
      </c>
      <c r="BZ103" s="7">
        <v>0</v>
      </c>
      <c r="CA103" s="7">
        <v>0</v>
      </c>
      <c r="CB103" s="7">
        <f t="shared" si="150"/>
        <v>0</v>
      </c>
      <c r="CC103" s="7">
        <v>0</v>
      </c>
      <c r="CD103" s="7">
        <v>0</v>
      </c>
      <c r="CE103" s="7">
        <v>0</v>
      </c>
      <c r="CF103" s="7">
        <v>0</v>
      </c>
      <c r="CG103" s="7">
        <v>0</v>
      </c>
      <c r="CH103" s="7">
        <v>0</v>
      </c>
      <c r="CI103" s="7">
        <v>0</v>
      </c>
      <c r="CJ103" s="7">
        <v>0</v>
      </c>
      <c r="CK103" s="7">
        <v>0</v>
      </c>
      <c r="CL103" s="7">
        <v>0</v>
      </c>
      <c r="CM103" s="7">
        <v>0</v>
      </c>
      <c r="CN103" s="7">
        <v>0</v>
      </c>
      <c r="CO103" s="7">
        <f t="shared" si="151"/>
        <v>0</v>
      </c>
      <c r="CP103" s="7">
        <v>0</v>
      </c>
      <c r="CQ103" s="7">
        <v>0</v>
      </c>
      <c r="CR103" s="7">
        <v>0</v>
      </c>
      <c r="CS103" s="7">
        <v>0</v>
      </c>
      <c r="CT103" s="7">
        <v>0</v>
      </c>
      <c r="CU103" s="7">
        <v>0</v>
      </c>
      <c r="CV103" s="7">
        <v>0</v>
      </c>
      <c r="CW103" s="7">
        <v>0</v>
      </c>
      <c r="CX103" s="7">
        <v>0</v>
      </c>
      <c r="CY103" s="7">
        <v>0</v>
      </c>
      <c r="CZ103" s="7">
        <v>0</v>
      </c>
      <c r="DA103" s="7">
        <v>0</v>
      </c>
      <c r="DB103" s="7">
        <f t="shared" si="152"/>
        <v>0</v>
      </c>
      <c r="DC103" s="7">
        <v>0</v>
      </c>
      <c r="DD103" s="7">
        <v>0</v>
      </c>
      <c r="DE103" s="7">
        <v>0</v>
      </c>
      <c r="DF103" s="7">
        <v>0</v>
      </c>
      <c r="DG103" s="7">
        <v>0</v>
      </c>
      <c r="DH103" s="7">
        <v>0</v>
      </c>
      <c r="DI103" s="7">
        <v>0</v>
      </c>
      <c r="DJ103" s="7">
        <v>0</v>
      </c>
      <c r="DK103" s="7">
        <v>0</v>
      </c>
      <c r="DL103" s="7">
        <v>0</v>
      </c>
      <c r="DM103" s="7">
        <v>0</v>
      </c>
      <c r="DN103" s="7">
        <v>0</v>
      </c>
      <c r="DO103" s="7">
        <f t="shared" si="153"/>
        <v>0</v>
      </c>
      <c r="DP103" s="7">
        <v>0</v>
      </c>
      <c r="DQ103" s="7">
        <v>0</v>
      </c>
      <c r="DR103" s="7">
        <v>0</v>
      </c>
      <c r="DS103" s="7">
        <v>0</v>
      </c>
      <c r="DT103" s="7">
        <v>0</v>
      </c>
      <c r="DU103" s="7">
        <v>0</v>
      </c>
      <c r="DV103" s="7">
        <v>0</v>
      </c>
      <c r="DW103" s="7">
        <v>0</v>
      </c>
      <c r="DX103" s="7">
        <v>0</v>
      </c>
      <c r="DY103" s="7">
        <v>0</v>
      </c>
      <c r="DZ103" s="7">
        <v>0</v>
      </c>
      <c r="EA103" s="7">
        <v>0</v>
      </c>
      <c r="EB103" s="7">
        <f t="shared" si="154"/>
        <v>0</v>
      </c>
      <c r="EC103" s="7">
        <v>0</v>
      </c>
      <c r="ED103" s="7">
        <v>0</v>
      </c>
      <c r="EE103" s="7">
        <v>0</v>
      </c>
      <c r="EF103" s="7">
        <v>0</v>
      </c>
      <c r="EG103" s="7">
        <v>0</v>
      </c>
      <c r="EH103" s="7">
        <v>0</v>
      </c>
      <c r="EI103" s="7">
        <v>0</v>
      </c>
      <c r="EJ103" s="7">
        <v>0</v>
      </c>
      <c r="EK103" s="7">
        <v>0</v>
      </c>
      <c r="EL103" s="7">
        <v>0</v>
      </c>
      <c r="EM103" s="7">
        <v>0</v>
      </c>
      <c r="EN103" s="7">
        <v>0</v>
      </c>
      <c r="EO103" s="7">
        <f t="shared" si="155"/>
        <v>0</v>
      </c>
      <c r="EP103" s="7">
        <v>0</v>
      </c>
      <c r="EQ103" s="7">
        <v>0</v>
      </c>
      <c r="ER103" s="7">
        <v>0</v>
      </c>
      <c r="ES103" s="7">
        <v>0</v>
      </c>
      <c r="ET103" s="7">
        <v>0</v>
      </c>
      <c r="EU103" s="7">
        <v>0</v>
      </c>
      <c r="EV103" s="7">
        <v>0</v>
      </c>
      <c r="EW103" s="7">
        <v>0</v>
      </c>
      <c r="EX103" s="7">
        <v>0</v>
      </c>
      <c r="EY103" s="7">
        <v>0</v>
      </c>
      <c r="EZ103" s="7">
        <v>0</v>
      </c>
      <c r="FA103" s="7">
        <v>0</v>
      </c>
      <c r="FB103" s="7">
        <f t="shared" si="156"/>
        <v>0</v>
      </c>
      <c r="FC103" s="7">
        <v>0</v>
      </c>
      <c r="FD103" s="7">
        <v>0</v>
      </c>
      <c r="FE103" s="7">
        <v>0</v>
      </c>
      <c r="FF103" s="7">
        <v>0</v>
      </c>
      <c r="FG103" s="7">
        <v>0</v>
      </c>
      <c r="FH103" s="7">
        <v>0</v>
      </c>
      <c r="FI103" s="7">
        <v>0</v>
      </c>
      <c r="FO103" s="7">
        <f t="shared" si="157"/>
        <v>0</v>
      </c>
    </row>
    <row r="104" spans="2:171" ht="22.05" customHeight="1" x14ac:dyDescent="0.3">
      <c r="B104" s="4" t="s">
        <v>104</v>
      </c>
      <c r="C104" s="8">
        <f t="shared" ref="C104:AH104" si="158">SUM(C98:C103)</f>
        <v>0</v>
      </c>
      <c r="D104" s="8">
        <f t="shared" si="158"/>
        <v>0</v>
      </c>
      <c r="E104" s="8">
        <f t="shared" si="158"/>
        <v>0</v>
      </c>
      <c r="F104" s="8">
        <f t="shared" si="158"/>
        <v>0</v>
      </c>
      <c r="G104" s="8">
        <f t="shared" si="158"/>
        <v>0</v>
      </c>
      <c r="H104" s="8">
        <f t="shared" si="158"/>
        <v>0</v>
      </c>
      <c r="I104" s="8">
        <f t="shared" si="158"/>
        <v>0</v>
      </c>
      <c r="J104" s="8">
        <f t="shared" si="158"/>
        <v>0</v>
      </c>
      <c r="K104" s="8">
        <f t="shared" si="158"/>
        <v>0</v>
      </c>
      <c r="L104" s="8">
        <f t="shared" si="158"/>
        <v>0</v>
      </c>
      <c r="M104" s="8">
        <f t="shared" si="158"/>
        <v>0</v>
      </c>
      <c r="N104" s="8">
        <f t="shared" si="158"/>
        <v>0</v>
      </c>
      <c r="O104" s="8">
        <f t="shared" si="158"/>
        <v>0</v>
      </c>
      <c r="P104" s="8">
        <f t="shared" si="158"/>
        <v>0</v>
      </c>
      <c r="Q104" s="8">
        <f t="shared" si="158"/>
        <v>0</v>
      </c>
      <c r="R104" s="8">
        <f t="shared" si="158"/>
        <v>0</v>
      </c>
      <c r="S104" s="8">
        <f t="shared" si="158"/>
        <v>0</v>
      </c>
      <c r="T104" s="8">
        <f t="shared" si="158"/>
        <v>0</v>
      </c>
      <c r="U104" s="8">
        <f t="shared" si="158"/>
        <v>0</v>
      </c>
      <c r="V104" s="8">
        <f t="shared" si="158"/>
        <v>0</v>
      </c>
      <c r="W104" s="8">
        <f t="shared" si="158"/>
        <v>0</v>
      </c>
      <c r="X104" s="8">
        <f t="shared" si="158"/>
        <v>0</v>
      </c>
      <c r="Y104" s="8">
        <f t="shared" si="158"/>
        <v>0</v>
      </c>
      <c r="Z104" s="8">
        <f t="shared" si="158"/>
        <v>0</v>
      </c>
      <c r="AA104" s="8">
        <f t="shared" si="158"/>
        <v>0</v>
      </c>
      <c r="AB104" s="8">
        <f t="shared" si="158"/>
        <v>0</v>
      </c>
      <c r="AC104" s="8">
        <f t="shared" si="158"/>
        <v>0</v>
      </c>
      <c r="AD104" s="8">
        <f t="shared" si="158"/>
        <v>0</v>
      </c>
      <c r="AE104" s="8">
        <f t="shared" si="158"/>
        <v>0</v>
      </c>
      <c r="AF104" s="8">
        <f t="shared" si="158"/>
        <v>0</v>
      </c>
      <c r="AG104" s="8">
        <f t="shared" si="158"/>
        <v>0</v>
      </c>
      <c r="AH104" s="8">
        <f t="shared" si="158"/>
        <v>0</v>
      </c>
      <c r="AI104" s="8">
        <f t="shared" ref="AI104:BN104" si="159">SUM(AI98:AI103)</f>
        <v>0</v>
      </c>
      <c r="AJ104" s="8">
        <f t="shared" si="159"/>
        <v>0</v>
      </c>
      <c r="AK104" s="8">
        <f t="shared" si="159"/>
        <v>0</v>
      </c>
      <c r="AL104" s="8">
        <f t="shared" si="159"/>
        <v>0</v>
      </c>
      <c r="AM104" s="8">
        <f t="shared" si="159"/>
        <v>0</v>
      </c>
      <c r="AN104" s="8">
        <f t="shared" si="159"/>
        <v>0</v>
      </c>
      <c r="AO104" s="8">
        <f t="shared" si="159"/>
        <v>0</v>
      </c>
      <c r="AP104" s="8">
        <f t="shared" si="159"/>
        <v>0</v>
      </c>
      <c r="AQ104" s="8">
        <f t="shared" si="159"/>
        <v>0</v>
      </c>
      <c r="AR104" s="8">
        <f t="shared" si="159"/>
        <v>0</v>
      </c>
      <c r="AS104" s="8">
        <f t="shared" si="159"/>
        <v>0</v>
      </c>
      <c r="AT104" s="8">
        <f t="shared" si="159"/>
        <v>0</v>
      </c>
      <c r="AU104" s="8">
        <f t="shared" si="159"/>
        <v>0</v>
      </c>
      <c r="AV104" s="8">
        <f t="shared" si="159"/>
        <v>0</v>
      </c>
      <c r="AW104" s="8">
        <f t="shared" si="159"/>
        <v>0</v>
      </c>
      <c r="AX104" s="8">
        <f t="shared" si="159"/>
        <v>0</v>
      </c>
      <c r="AY104" s="8">
        <f t="shared" si="159"/>
        <v>0</v>
      </c>
      <c r="AZ104" s="8">
        <f t="shared" si="159"/>
        <v>0</v>
      </c>
      <c r="BA104" s="8">
        <f t="shared" si="159"/>
        <v>0</v>
      </c>
      <c r="BB104" s="8">
        <f t="shared" si="159"/>
        <v>0</v>
      </c>
      <c r="BC104" s="8">
        <f t="shared" si="159"/>
        <v>0</v>
      </c>
      <c r="BD104" s="8">
        <f t="shared" si="159"/>
        <v>0</v>
      </c>
      <c r="BE104" s="8">
        <f t="shared" si="159"/>
        <v>0</v>
      </c>
      <c r="BF104" s="8">
        <f t="shared" si="159"/>
        <v>0</v>
      </c>
      <c r="BG104" s="8">
        <f t="shared" si="159"/>
        <v>0</v>
      </c>
      <c r="BH104" s="8">
        <f t="shared" si="159"/>
        <v>0</v>
      </c>
      <c r="BI104" s="8">
        <f t="shared" si="159"/>
        <v>0</v>
      </c>
      <c r="BJ104" s="8">
        <f t="shared" si="159"/>
        <v>0</v>
      </c>
      <c r="BK104" s="8">
        <f t="shared" si="159"/>
        <v>0</v>
      </c>
      <c r="BL104" s="8">
        <f t="shared" si="159"/>
        <v>0</v>
      </c>
      <c r="BM104" s="8">
        <f t="shared" si="159"/>
        <v>0</v>
      </c>
      <c r="BN104" s="8">
        <f t="shared" si="159"/>
        <v>0</v>
      </c>
      <c r="BO104" s="8">
        <f t="shared" ref="BO104:CT104" si="160">SUM(BO98:BO103)</f>
        <v>0</v>
      </c>
      <c r="BP104" s="8">
        <f t="shared" si="160"/>
        <v>0</v>
      </c>
      <c r="BQ104" s="8">
        <f t="shared" si="160"/>
        <v>0</v>
      </c>
      <c r="BR104" s="8">
        <f t="shared" si="160"/>
        <v>0</v>
      </c>
      <c r="BS104" s="8">
        <f t="shared" si="160"/>
        <v>0</v>
      </c>
      <c r="BT104" s="8">
        <f t="shared" si="160"/>
        <v>0</v>
      </c>
      <c r="BU104" s="8">
        <f t="shared" si="160"/>
        <v>0</v>
      </c>
      <c r="BV104" s="8">
        <f t="shared" si="160"/>
        <v>0</v>
      </c>
      <c r="BW104" s="8">
        <f t="shared" si="160"/>
        <v>0</v>
      </c>
      <c r="BX104" s="8">
        <f t="shared" si="160"/>
        <v>0</v>
      </c>
      <c r="BY104" s="8">
        <f t="shared" si="160"/>
        <v>0</v>
      </c>
      <c r="BZ104" s="8">
        <f t="shared" si="160"/>
        <v>0</v>
      </c>
      <c r="CA104" s="8">
        <f t="shared" si="160"/>
        <v>0</v>
      </c>
      <c r="CB104" s="8">
        <f t="shared" si="160"/>
        <v>0</v>
      </c>
      <c r="CC104" s="8">
        <f t="shared" si="160"/>
        <v>0</v>
      </c>
      <c r="CD104" s="8">
        <f t="shared" si="160"/>
        <v>0</v>
      </c>
      <c r="CE104" s="8">
        <f t="shared" si="160"/>
        <v>0</v>
      </c>
      <c r="CF104" s="8">
        <f t="shared" si="160"/>
        <v>0</v>
      </c>
      <c r="CG104" s="8">
        <f t="shared" si="160"/>
        <v>0</v>
      </c>
      <c r="CH104" s="8">
        <f t="shared" si="160"/>
        <v>0</v>
      </c>
      <c r="CI104" s="8">
        <f t="shared" si="160"/>
        <v>0</v>
      </c>
      <c r="CJ104" s="8">
        <f t="shared" si="160"/>
        <v>0</v>
      </c>
      <c r="CK104" s="8">
        <f t="shared" si="160"/>
        <v>0</v>
      </c>
      <c r="CL104" s="8">
        <f t="shared" si="160"/>
        <v>0</v>
      </c>
      <c r="CM104" s="8">
        <f t="shared" si="160"/>
        <v>0</v>
      </c>
      <c r="CN104" s="8">
        <f t="shared" si="160"/>
        <v>0</v>
      </c>
      <c r="CO104" s="8">
        <f t="shared" si="160"/>
        <v>0</v>
      </c>
      <c r="CP104" s="8">
        <f t="shared" si="160"/>
        <v>0</v>
      </c>
      <c r="CQ104" s="8">
        <f t="shared" si="160"/>
        <v>0</v>
      </c>
      <c r="CR104" s="8">
        <f t="shared" si="160"/>
        <v>0</v>
      </c>
      <c r="CS104" s="8">
        <f t="shared" si="160"/>
        <v>0</v>
      </c>
      <c r="CT104" s="8">
        <f t="shared" si="160"/>
        <v>0</v>
      </c>
      <c r="CU104" s="8">
        <f t="shared" ref="CU104:DZ104" si="161">SUM(CU98:CU103)</f>
        <v>0</v>
      </c>
      <c r="CV104" s="8">
        <f t="shared" si="161"/>
        <v>0</v>
      </c>
      <c r="CW104" s="8">
        <f t="shared" si="161"/>
        <v>0</v>
      </c>
      <c r="CX104" s="8">
        <f t="shared" si="161"/>
        <v>0</v>
      </c>
      <c r="CY104" s="8">
        <f t="shared" si="161"/>
        <v>0</v>
      </c>
      <c r="CZ104" s="8">
        <f t="shared" si="161"/>
        <v>0</v>
      </c>
      <c r="DA104" s="8">
        <f t="shared" si="161"/>
        <v>0</v>
      </c>
      <c r="DB104" s="8">
        <f t="shared" si="161"/>
        <v>0</v>
      </c>
      <c r="DC104" s="8">
        <f t="shared" si="161"/>
        <v>0</v>
      </c>
      <c r="DD104" s="8">
        <f t="shared" si="161"/>
        <v>0</v>
      </c>
      <c r="DE104" s="8">
        <f t="shared" si="161"/>
        <v>0</v>
      </c>
      <c r="DF104" s="8">
        <f t="shared" si="161"/>
        <v>0</v>
      </c>
      <c r="DG104" s="8">
        <f t="shared" si="161"/>
        <v>0</v>
      </c>
      <c r="DH104" s="8">
        <f t="shared" si="161"/>
        <v>0</v>
      </c>
      <c r="DI104" s="8">
        <f t="shared" si="161"/>
        <v>0</v>
      </c>
      <c r="DJ104" s="8">
        <f t="shared" si="161"/>
        <v>0</v>
      </c>
      <c r="DK104" s="8">
        <f t="shared" si="161"/>
        <v>0</v>
      </c>
      <c r="DL104" s="8">
        <f t="shared" si="161"/>
        <v>0</v>
      </c>
      <c r="DM104" s="8">
        <f t="shared" si="161"/>
        <v>0</v>
      </c>
      <c r="DN104" s="8">
        <f t="shared" si="161"/>
        <v>0</v>
      </c>
      <c r="DO104" s="8">
        <f t="shared" si="161"/>
        <v>0</v>
      </c>
      <c r="DP104" s="8">
        <f t="shared" si="161"/>
        <v>17877772</v>
      </c>
      <c r="DQ104" s="8">
        <f t="shared" si="161"/>
        <v>17877772</v>
      </c>
      <c r="DR104" s="8">
        <f t="shared" si="161"/>
        <v>17877772</v>
      </c>
      <c r="DS104" s="8">
        <f t="shared" si="161"/>
        <v>17877772</v>
      </c>
      <c r="DT104" s="8">
        <f t="shared" si="161"/>
        <v>17877772</v>
      </c>
      <c r="DU104" s="8">
        <f t="shared" si="161"/>
        <v>17877772</v>
      </c>
      <c r="DV104" s="8">
        <f t="shared" si="161"/>
        <v>17877772</v>
      </c>
      <c r="DW104" s="8">
        <f t="shared" si="161"/>
        <v>17772523</v>
      </c>
      <c r="DX104" s="8">
        <f t="shared" si="161"/>
        <v>17772523</v>
      </c>
      <c r="DY104" s="8">
        <f t="shared" si="161"/>
        <v>17772523</v>
      </c>
      <c r="DZ104" s="8">
        <f t="shared" si="161"/>
        <v>10123523</v>
      </c>
      <c r="EA104" s="8">
        <f t="shared" ref="EA104:FF104" si="162">SUM(EA98:EA103)</f>
        <v>10123523</v>
      </c>
      <c r="EB104" s="8">
        <f t="shared" si="162"/>
        <v>10123523</v>
      </c>
      <c r="EC104" s="8">
        <f t="shared" si="162"/>
        <v>0</v>
      </c>
      <c r="ED104" s="8">
        <f t="shared" si="162"/>
        <v>0</v>
      </c>
      <c r="EE104" s="8">
        <f t="shared" si="162"/>
        <v>0</v>
      </c>
      <c r="EF104" s="8">
        <f t="shared" si="162"/>
        <v>0</v>
      </c>
      <c r="EG104" s="8">
        <f t="shared" si="162"/>
        <v>0</v>
      </c>
      <c r="EH104" s="8">
        <f t="shared" si="162"/>
        <v>0</v>
      </c>
      <c r="EI104" s="8">
        <f t="shared" si="162"/>
        <v>0</v>
      </c>
      <c r="EJ104" s="8">
        <f t="shared" si="162"/>
        <v>0</v>
      </c>
      <c r="EK104" s="8">
        <f t="shared" si="162"/>
        <v>0</v>
      </c>
      <c r="EL104" s="8">
        <f t="shared" si="162"/>
        <v>0</v>
      </c>
      <c r="EM104" s="8">
        <f t="shared" si="162"/>
        <v>0</v>
      </c>
      <c r="EN104" s="8">
        <f t="shared" si="162"/>
        <v>0</v>
      </c>
      <c r="EO104" s="8">
        <f t="shared" si="162"/>
        <v>0</v>
      </c>
      <c r="EP104" s="8">
        <f t="shared" si="162"/>
        <v>0</v>
      </c>
      <c r="EQ104" s="8">
        <f t="shared" si="162"/>
        <v>0</v>
      </c>
      <c r="ER104" s="8">
        <f t="shared" si="162"/>
        <v>0</v>
      </c>
      <c r="ES104" s="8">
        <f t="shared" si="162"/>
        <v>0</v>
      </c>
      <c r="ET104" s="8">
        <f t="shared" si="162"/>
        <v>0</v>
      </c>
      <c r="EU104" s="8">
        <f t="shared" si="162"/>
        <v>0</v>
      </c>
      <c r="EV104" s="8">
        <f t="shared" si="162"/>
        <v>0</v>
      </c>
      <c r="EW104" s="8">
        <f t="shared" si="162"/>
        <v>0</v>
      </c>
      <c r="EX104" s="8">
        <f t="shared" si="162"/>
        <v>0</v>
      </c>
      <c r="EY104" s="8">
        <f t="shared" si="162"/>
        <v>0</v>
      </c>
      <c r="EZ104" s="8">
        <f t="shared" si="162"/>
        <v>0</v>
      </c>
      <c r="FA104" s="8">
        <f t="shared" si="162"/>
        <v>0</v>
      </c>
      <c r="FB104" s="8">
        <f t="shared" si="162"/>
        <v>0</v>
      </c>
      <c r="FC104" s="8">
        <f t="shared" si="162"/>
        <v>0</v>
      </c>
      <c r="FD104" s="8">
        <f t="shared" si="162"/>
        <v>0</v>
      </c>
      <c r="FE104" s="8">
        <f t="shared" si="162"/>
        <v>0</v>
      </c>
      <c r="FF104" s="8">
        <f t="shared" si="162"/>
        <v>0</v>
      </c>
      <c r="FG104" s="8">
        <f t="shared" ref="FG104:GL104" si="163">SUM(FG98:FG103)</f>
        <v>0</v>
      </c>
      <c r="FH104" s="8">
        <f t="shared" si="163"/>
        <v>0</v>
      </c>
      <c r="FI104" s="8">
        <f t="shared" si="163"/>
        <v>0</v>
      </c>
      <c r="FJ104" s="8">
        <f t="shared" si="163"/>
        <v>0</v>
      </c>
      <c r="FK104" s="8">
        <f t="shared" si="163"/>
        <v>0</v>
      </c>
      <c r="FL104" s="8">
        <f t="shared" si="163"/>
        <v>0</v>
      </c>
      <c r="FM104" s="8">
        <f t="shared" si="163"/>
        <v>0</v>
      </c>
      <c r="FN104" s="8">
        <f t="shared" si="163"/>
        <v>0</v>
      </c>
      <c r="FO104" s="8">
        <f t="shared" si="163"/>
        <v>0</v>
      </c>
    </row>
    <row r="105" spans="2:171" x14ac:dyDescent="0.3">
      <c r="B105" s="2" t="s">
        <v>117</v>
      </c>
    </row>
    <row r="107" spans="2:171" ht="16.05" customHeight="1" x14ac:dyDescent="0.3">
      <c r="B107" s="60" t="s">
        <v>119</v>
      </c>
      <c r="C107" s="57"/>
      <c r="D107" s="57"/>
      <c r="E107" s="57"/>
      <c r="F107" s="57"/>
      <c r="G107" s="57"/>
      <c r="H107" s="57"/>
      <c r="I107" s="57"/>
      <c r="J107" s="57"/>
      <c r="K107" s="57"/>
      <c r="L107" s="57"/>
      <c r="M107" s="57"/>
      <c r="N107" s="57"/>
      <c r="O107" s="57"/>
      <c r="P107" s="57"/>
      <c r="Q107" s="57"/>
      <c r="R107" s="57"/>
      <c r="S107" s="57"/>
      <c r="T107" s="57"/>
      <c r="U107" s="57"/>
      <c r="V107" s="57"/>
      <c r="W107" s="57"/>
      <c r="X107" s="57"/>
      <c r="Y107" s="57"/>
      <c r="Z107" s="57"/>
      <c r="AA107" s="57"/>
      <c r="AB107" s="57"/>
      <c r="AC107" s="57"/>
      <c r="AD107" s="57"/>
      <c r="AE107" s="57"/>
      <c r="AF107" s="57"/>
      <c r="AG107" s="57"/>
      <c r="AH107" s="57"/>
      <c r="AI107" s="57"/>
      <c r="AJ107" s="57"/>
      <c r="AK107" s="57"/>
      <c r="AL107" s="57"/>
      <c r="AM107" s="57"/>
      <c r="AN107" s="57"/>
      <c r="AO107" s="57"/>
      <c r="AP107" s="57"/>
      <c r="AQ107" s="57"/>
      <c r="AR107" s="57"/>
      <c r="AS107" s="57"/>
      <c r="AT107" s="57"/>
      <c r="AU107" s="57"/>
      <c r="AV107" s="57"/>
      <c r="AW107" s="57"/>
      <c r="AX107" s="57"/>
      <c r="AY107" s="57"/>
      <c r="AZ107" s="57"/>
      <c r="BA107" s="57"/>
      <c r="BB107" s="57"/>
      <c r="BC107" s="57"/>
      <c r="BD107" s="57"/>
      <c r="BE107" s="57"/>
      <c r="BF107" s="57"/>
      <c r="BG107" s="57"/>
      <c r="BH107" s="57"/>
      <c r="BI107" s="57"/>
      <c r="BJ107" s="57"/>
      <c r="BK107" s="57"/>
      <c r="BL107" s="57"/>
      <c r="BM107" s="57"/>
      <c r="BN107" s="57"/>
      <c r="BO107" s="57"/>
      <c r="BP107" s="57"/>
      <c r="BQ107" s="57"/>
      <c r="BR107" s="57"/>
      <c r="BS107" s="57"/>
      <c r="BT107" s="57"/>
      <c r="BU107" s="57"/>
      <c r="BV107" s="57"/>
      <c r="BW107" s="57"/>
      <c r="BX107" s="57"/>
      <c r="BY107" s="57"/>
      <c r="BZ107" s="57"/>
      <c r="CA107" s="57"/>
      <c r="CB107" s="57"/>
      <c r="CC107" s="57"/>
      <c r="CD107" s="57"/>
      <c r="CE107" s="57"/>
      <c r="CF107" s="57"/>
      <c r="CG107" s="57"/>
      <c r="CH107" s="57"/>
      <c r="CI107" s="57"/>
      <c r="CJ107" s="57"/>
      <c r="CK107" s="57"/>
      <c r="CL107" s="57"/>
      <c r="CM107" s="57"/>
      <c r="CN107" s="57"/>
      <c r="CO107" s="57"/>
      <c r="CP107" s="57"/>
      <c r="CQ107" s="57"/>
      <c r="CR107" s="57"/>
      <c r="CS107" s="57"/>
      <c r="CT107" s="57"/>
      <c r="CU107" s="57"/>
      <c r="CV107" s="57"/>
      <c r="CW107" s="57"/>
      <c r="CX107" s="57"/>
      <c r="CY107" s="57"/>
      <c r="CZ107" s="57"/>
      <c r="DA107" s="57"/>
      <c r="DB107" s="57"/>
      <c r="DC107" s="57"/>
      <c r="DD107" s="57"/>
      <c r="DE107" s="57"/>
      <c r="DF107" s="57"/>
      <c r="DG107" s="57"/>
      <c r="DH107" s="57"/>
      <c r="DI107" s="57"/>
      <c r="DJ107" s="57"/>
      <c r="DK107" s="57"/>
      <c r="DL107" s="57"/>
      <c r="DM107" s="57"/>
      <c r="DN107" s="57"/>
      <c r="DO107" s="57"/>
      <c r="DP107" s="57"/>
      <c r="DQ107" s="57"/>
      <c r="DR107" s="57"/>
      <c r="DS107" s="57"/>
      <c r="DT107" s="57"/>
      <c r="DU107" s="57"/>
      <c r="DV107" s="57"/>
      <c r="DW107" s="57"/>
      <c r="DX107" s="57"/>
      <c r="DY107" s="57"/>
      <c r="DZ107" s="57"/>
      <c r="EA107" s="57"/>
      <c r="EB107" s="57"/>
      <c r="EC107" s="57"/>
      <c r="ED107" s="57"/>
      <c r="EE107" s="57"/>
      <c r="EF107" s="57"/>
      <c r="EG107" s="57"/>
      <c r="EH107" s="57"/>
      <c r="EI107" s="57"/>
      <c r="EJ107" s="57"/>
      <c r="EK107" s="57"/>
      <c r="EL107" s="57"/>
      <c r="EM107" s="57"/>
      <c r="EN107" s="57"/>
      <c r="EO107" s="57"/>
      <c r="EP107" s="57"/>
      <c r="EQ107" s="57"/>
      <c r="ER107" s="57"/>
      <c r="ES107" s="57"/>
      <c r="ET107" s="57"/>
      <c r="EU107" s="57"/>
      <c r="EV107" s="57"/>
      <c r="EW107" s="57"/>
      <c r="EX107" s="57"/>
      <c r="EY107" s="57"/>
      <c r="EZ107" s="57"/>
      <c r="FA107" s="57"/>
      <c r="FB107" s="57"/>
      <c r="FC107" s="57"/>
      <c r="FD107" s="57"/>
      <c r="FE107" s="57"/>
      <c r="FF107" s="57"/>
      <c r="FG107" s="57"/>
      <c r="FH107" s="57"/>
      <c r="FI107" s="57"/>
      <c r="FJ107" s="57"/>
      <c r="FK107" s="57"/>
      <c r="FL107" s="57"/>
      <c r="FM107" s="57"/>
      <c r="FN107" s="57"/>
      <c r="FO107" s="57"/>
    </row>
    <row r="108" spans="2:171" ht="22.05" customHeight="1" x14ac:dyDescent="0.3">
      <c r="B108" s="3"/>
      <c r="C108" s="58" t="s">
        <v>77</v>
      </c>
      <c r="D108" s="59"/>
      <c r="E108" s="59"/>
      <c r="F108" s="59"/>
      <c r="G108" s="59"/>
      <c r="H108" s="59"/>
      <c r="I108" s="59"/>
      <c r="J108" s="59"/>
      <c r="K108" s="59"/>
      <c r="L108" s="59"/>
      <c r="M108" s="59"/>
      <c r="N108" s="59"/>
      <c r="O108" s="59"/>
      <c r="P108" s="58" t="s">
        <v>78</v>
      </c>
      <c r="Q108" s="59"/>
      <c r="R108" s="59"/>
      <c r="S108" s="59"/>
      <c r="T108" s="59"/>
      <c r="U108" s="59"/>
      <c r="V108" s="59"/>
      <c r="W108" s="59"/>
      <c r="X108" s="59"/>
      <c r="Y108" s="59"/>
      <c r="Z108" s="59"/>
      <c r="AA108" s="59"/>
      <c r="AB108" s="59"/>
      <c r="AC108" s="58" t="s">
        <v>79</v>
      </c>
      <c r="AD108" s="59"/>
      <c r="AE108" s="59"/>
      <c r="AF108" s="59"/>
      <c r="AG108" s="59"/>
      <c r="AH108" s="59"/>
      <c r="AI108" s="59"/>
      <c r="AJ108" s="59"/>
      <c r="AK108" s="59"/>
      <c r="AL108" s="59"/>
      <c r="AM108" s="59"/>
      <c r="AN108" s="59"/>
      <c r="AO108" s="59"/>
      <c r="AP108" s="58" t="s">
        <v>80</v>
      </c>
      <c r="AQ108" s="59"/>
      <c r="AR108" s="59"/>
      <c r="AS108" s="59"/>
      <c r="AT108" s="59"/>
      <c r="AU108" s="59"/>
      <c r="AV108" s="59"/>
      <c r="AW108" s="59"/>
      <c r="AX108" s="59"/>
      <c r="AY108" s="59"/>
      <c r="AZ108" s="59"/>
      <c r="BA108" s="59"/>
      <c r="BB108" s="59"/>
      <c r="BC108" s="58" t="s">
        <v>81</v>
      </c>
      <c r="BD108" s="59"/>
      <c r="BE108" s="59"/>
      <c r="BF108" s="59"/>
      <c r="BG108" s="59"/>
      <c r="BH108" s="59"/>
      <c r="BI108" s="59"/>
      <c r="BJ108" s="59"/>
      <c r="BK108" s="59"/>
      <c r="BL108" s="59"/>
      <c r="BM108" s="59"/>
      <c r="BN108" s="59"/>
      <c r="BO108" s="59"/>
      <c r="BP108" s="58" t="s">
        <v>82</v>
      </c>
      <c r="BQ108" s="59"/>
      <c r="BR108" s="59"/>
      <c r="BS108" s="59"/>
      <c r="BT108" s="59"/>
      <c r="BU108" s="59"/>
      <c r="BV108" s="59"/>
      <c r="BW108" s="59"/>
      <c r="BX108" s="59"/>
      <c r="BY108" s="59"/>
      <c r="BZ108" s="59"/>
      <c r="CA108" s="59"/>
      <c r="CB108" s="59"/>
      <c r="CC108" s="58" t="s">
        <v>83</v>
      </c>
      <c r="CD108" s="59"/>
      <c r="CE108" s="59"/>
      <c r="CF108" s="59"/>
      <c r="CG108" s="59"/>
      <c r="CH108" s="59"/>
      <c r="CI108" s="59"/>
      <c r="CJ108" s="59"/>
      <c r="CK108" s="59"/>
      <c r="CL108" s="59"/>
      <c r="CM108" s="59"/>
      <c r="CN108" s="59"/>
      <c r="CO108" s="59"/>
      <c r="CP108" s="58" t="s">
        <v>112</v>
      </c>
      <c r="CQ108" s="59"/>
      <c r="CR108" s="59"/>
      <c r="CS108" s="59"/>
      <c r="CT108" s="59"/>
      <c r="CU108" s="59"/>
      <c r="CV108" s="59"/>
      <c r="CW108" s="59"/>
      <c r="CX108" s="59"/>
      <c r="CY108" s="59"/>
      <c r="CZ108" s="59"/>
      <c r="DA108" s="59"/>
      <c r="DB108" s="59"/>
      <c r="DC108" s="58" t="s">
        <v>113</v>
      </c>
      <c r="DD108" s="59"/>
      <c r="DE108" s="59"/>
      <c r="DF108" s="59"/>
      <c r="DG108" s="59"/>
      <c r="DH108" s="59"/>
      <c r="DI108" s="59"/>
      <c r="DJ108" s="59"/>
      <c r="DK108" s="59"/>
      <c r="DL108" s="59"/>
      <c r="DM108" s="59"/>
      <c r="DN108" s="59"/>
      <c r="DO108" s="59"/>
      <c r="DP108" s="58" t="s">
        <v>86</v>
      </c>
      <c r="DQ108" s="59"/>
      <c r="DR108" s="59"/>
      <c r="DS108" s="59"/>
      <c r="DT108" s="59"/>
      <c r="DU108" s="59"/>
      <c r="DV108" s="59"/>
      <c r="DW108" s="59"/>
      <c r="DX108" s="59"/>
      <c r="DY108" s="59"/>
      <c r="DZ108" s="59"/>
      <c r="EA108" s="59"/>
      <c r="EB108" s="59"/>
      <c r="EC108" s="58" t="s">
        <v>87</v>
      </c>
      <c r="ED108" s="59"/>
      <c r="EE108" s="59"/>
      <c r="EF108" s="59"/>
      <c r="EG108" s="59"/>
      <c r="EH108" s="59"/>
      <c r="EI108" s="59"/>
      <c r="EJ108" s="59"/>
      <c r="EK108" s="59"/>
      <c r="EL108" s="59"/>
      <c r="EM108" s="59"/>
      <c r="EN108" s="59"/>
      <c r="EO108" s="59"/>
      <c r="EP108" s="58" t="s">
        <v>88</v>
      </c>
      <c r="EQ108" s="59"/>
      <c r="ER108" s="59"/>
      <c r="ES108" s="59"/>
      <c r="ET108" s="59"/>
      <c r="EU108" s="59"/>
      <c r="EV108" s="59"/>
      <c r="EW108" s="59"/>
      <c r="EX108" s="59"/>
      <c r="EY108" s="59"/>
      <c r="EZ108" s="59"/>
      <c r="FA108" s="59"/>
      <c r="FB108" s="59"/>
      <c r="FC108" s="58" t="s">
        <v>89</v>
      </c>
      <c r="FD108" s="59"/>
      <c r="FE108" s="59"/>
      <c r="FF108" s="59"/>
      <c r="FG108" s="59"/>
      <c r="FH108" s="59"/>
      <c r="FI108" s="59"/>
      <c r="FJ108" s="59"/>
      <c r="FK108" s="59"/>
      <c r="FL108" s="59"/>
      <c r="FM108" s="59"/>
      <c r="FN108" s="59"/>
      <c r="FO108" s="59"/>
    </row>
    <row r="109" spans="2:171" ht="28.05" customHeight="1" x14ac:dyDescent="0.3">
      <c r="B109" s="4" t="s">
        <v>90</v>
      </c>
      <c r="C109" s="5" t="s">
        <v>55</v>
      </c>
      <c r="D109" s="5" t="s">
        <v>56</v>
      </c>
      <c r="E109" s="5" t="s">
        <v>57</v>
      </c>
      <c r="F109" s="5" t="s">
        <v>58</v>
      </c>
      <c r="G109" s="5" t="s">
        <v>59</v>
      </c>
      <c r="H109" s="5" t="s">
        <v>60</v>
      </c>
      <c r="I109" s="5" t="s">
        <v>61</v>
      </c>
      <c r="J109" s="5" t="s">
        <v>62</v>
      </c>
      <c r="K109" s="5" t="s">
        <v>63</v>
      </c>
      <c r="L109" s="5" t="s">
        <v>64</v>
      </c>
      <c r="M109" s="5" t="s">
        <v>65</v>
      </c>
      <c r="N109" s="5" t="s">
        <v>66</v>
      </c>
      <c r="O109" s="5" t="s">
        <v>91</v>
      </c>
      <c r="P109" s="5" t="s">
        <v>55</v>
      </c>
      <c r="Q109" s="5" t="s">
        <v>56</v>
      </c>
      <c r="R109" s="5" t="s">
        <v>57</v>
      </c>
      <c r="S109" s="5" t="s">
        <v>58</v>
      </c>
      <c r="T109" s="5" t="s">
        <v>59</v>
      </c>
      <c r="U109" s="5" t="s">
        <v>60</v>
      </c>
      <c r="V109" s="5" t="s">
        <v>61</v>
      </c>
      <c r="W109" s="5" t="s">
        <v>62</v>
      </c>
      <c r="X109" s="5" t="s">
        <v>63</v>
      </c>
      <c r="Y109" s="5" t="s">
        <v>64</v>
      </c>
      <c r="Z109" s="5" t="s">
        <v>65</v>
      </c>
      <c r="AA109" s="5" t="s">
        <v>66</v>
      </c>
      <c r="AB109" s="5" t="s">
        <v>92</v>
      </c>
      <c r="AC109" s="5" t="s">
        <v>55</v>
      </c>
      <c r="AD109" s="5" t="s">
        <v>56</v>
      </c>
      <c r="AE109" s="5" t="s">
        <v>57</v>
      </c>
      <c r="AF109" s="5" t="s">
        <v>58</v>
      </c>
      <c r="AG109" s="5" t="s">
        <v>59</v>
      </c>
      <c r="AH109" s="5" t="s">
        <v>60</v>
      </c>
      <c r="AI109" s="5" t="s">
        <v>61</v>
      </c>
      <c r="AJ109" s="5" t="s">
        <v>62</v>
      </c>
      <c r="AK109" s="5" t="s">
        <v>63</v>
      </c>
      <c r="AL109" s="5" t="s">
        <v>64</v>
      </c>
      <c r="AM109" s="5" t="s">
        <v>65</v>
      </c>
      <c r="AN109" s="5" t="s">
        <v>66</v>
      </c>
      <c r="AO109" s="5" t="s">
        <v>93</v>
      </c>
      <c r="AP109" s="5" t="s">
        <v>55</v>
      </c>
      <c r="AQ109" s="5" t="s">
        <v>56</v>
      </c>
      <c r="AR109" s="5" t="s">
        <v>57</v>
      </c>
      <c r="AS109" s="5" t="s">
        <v>58</v>
      </c>
      <c r="AT109" s="5" t="s">
        <v>59</v>
      </c>
      <c r="AU109" s="5" t="s">
        <v>60</v>
      </c>
      <c r="AV109" s="5" t="s">
        <v>61</v>
      </c>
      <c r="AW109" s="5" t="s">
        <v>62</v>
      </c>
      <c r="AX109" s="5" t="s">
        <v>63</v>
      </c>
      <c r="AY109" s="5" t="s">
        <v>64</v>
      </c>
      <c r="AZ109" s="5" t="s">
        <v>65</v>
      </c>
      <c r="BA109" s="5" t="s">
        <v>66</v>
      </c>
      <c r="BB109" s="5" t="s">
        <v>94</v>
      </c>
      <c r="BC109" s="5" t="s">
        <v>55</v>
      </c>
      <c r="BD109" s="5" t="s">
        <v>56</v>
      </c>
      <c r="BE109" s="5" t="s">
        <v>57</v>
      </c>
      <c r="BF109" s="5" t="s">
        <v>58</v>
      </c>
      <c r="BG109" s="5" t="s">
        <v>59</v>
      </c>
      <c r="BH109" s="5" t="s">
        <v>60</v>
      </c>
      <c r="BI109" s="5" t="s">
        <v>61</v>
      </c>
      <c r="BJ109" s="5" t="s">
        <v>62</v>
      </c>
      <c r="BK109" s="5" t="s">
        <v>63</v>
      </c>
      <c r="BL109" s="5" t="s">
        <v>64</v>
      </c>
      <c r="BM109" s="5" t="s">
        <v>65</v>
      </c>
      <c r="BN109" s="5" t="s">
        <v>66</v>
      </c>
      <c r="BO109" s="5" t="s">
        <v>95</v>
      </c>
      <c r="BP109" s="5" t="s">
        <v>55</v>
      </c>
      <c r="BQ109" s="5" t="s">
        <v>56</v>
      </c>
      <c r="BR109" s="5" t="s">
        <v>57</v>
      </c>
      <c r="BS109" s="5" t="s">
        <v>58</v>
      </c>
      <c r="BT109" s="5" t="s">
        <v>59</v>
      </c>
      <c r="BU109" s="5" t="s">
        <v>60</v>
      </c>
      <c r="BV109" s="5" t="s">
        <v>61</v>
      </c>
      <c r="BW109" s="5" t="s">
        <v>62</v>
      </c>
      <c r="BX109" s="5" t="s">
        <v>63</v>
      </c>
      <c r="BY109" s="5" t="s">
        <v>64</v>
      </c>
      <c r="BZ109" s="5" t="s">
        <v>65</v>
      </c>
      <c r="CA109" s="5" t="s">
        <v>66</v>
      </c>
      <c r="CB109" s="5" t="s">
        <v>96</v>
      </c>
      <c r="CC109" s="5" t="s">
        <v>55</v>
      </c>
      <c r="CD109" s="5" t="s">
        <v>56</v>
      </c>
      <c r="CE109" s="5" t="s">
        <v>57</v>
      </c>
      <c r="CF109" s="5" t="s">
        <v>58</v>
      </c>
      <c r="CG109" s="5" t="s">
        <v>59</v>
      </c>
      <c r="CH109" s="5" t="s">
        <v>60</v>
      </c>
      <c r="CI109" s="5" t="s">
        <v>61</v>
      </c>
      <c r="CJ109" s="5" t="s">
        <v>62</v>
      </c>
      <c r="CK109" s="5" t="s">
        <v>63</v>
      </c>
      <c r="CL109" s="5" t="s">
        <v>64</v>
      </c>
      <c r="CM109" s="5" t="s">
        <v>65</v>
      </c>
      <c r="CN109" s="5" t="s">
        <v>66</v>
      </c>
      <c r="CO109" s="5" t="s">
        <v>97</v>
      </c>
      <c r="CP109" s="5" t="s">
        <v>55</v>
      </c>
      <c r="CQ109" s="5" t="s">
        <v>56</v>
      </c>
      <c r="CR109" s="5" t="s">
        <v>57</v>
      </c>
      <c r="CS109" s="5" t="s">
        <v>58</v>
      </c>
      <c r="CT109" s="5" t="s">
        <v>59</v>
      </c>
      <c r="CU109" s="5" t="s">
        <v>60</v>
      </c>
      <c r="CV109" s="5" t="s">
        <v>61</v>
      </c>
      <c r="CW109" s="5" t="s">
        <v>62</v>
      </c>
      <c r="CX109" s="5" t="s">
        <v>63</v>
      </c>
      <c r="CY109" s="5" t="s">
        <v>64</v>
      </c>
      <c r="CZ109" s="5" t="s">
        <v>65</v>
      </c>
      <c r="DA109" s="5" t="s">
        <v>66</v>
      </c>
      <c r="DB109" s="5" t="s">
        <v>98</v>
      </c>
      <c r="DC109" s="5" t="s">
        <v>55</v>
      </c>
      <c r="DD109" s="5" t="s">
        <v>56</v>
      </c>
      <c r="DE109" s="5" t="s">
        <v>57</v>
      </c>
      <c r="DF109" s="5" t="s">
        <v>58</v>
      </c>
      <c r="DG109" s="5" t="s">
        <v>59</v>
      </c>
      <c r="DH109" s="5" t="s">
        <v>60</v>
      </c>
      <c r="DI109" s="5" t="s">
        <v>61</v>
      </c>
      <c r="DJ109" s="5" t="s">
        <v>62</v>
      </c>
      <c r="DK109" s="5" t="s">
        <v>63</v>
      </c>
      <c r="DL109" s="5" t="s">
        <v>64</v>
      </c>
      <c r="DM109" s="5" t="s">
        <v>65</v>
      </c>
      <c r="DN109" s="5" t="s">
        <v>66</v>
      </c>
      <c r="DO109" s="5" t="s">
        <v>99</v>
      </c>
      <c r="DP109" s="5" t="s">
        <v>55</v>
      </c>
      <c r="DQ109" s="5" t="s">
        <v>56</v>
      </c>
      <c r="DR109" s="5" t="s">
        <v>57</v>
      </c>
      <c r="DS109" s="5" t="s">
        <v>58</v>
      </c>
      <c r="DT109" s="5" t="s">
        <v>59</v>
      </c>
      <c r="DU109" s="5" t="s">
        <v>60</v>
      </c>
      <c r="DV109" s="5" t="s">
        <v>61</v>
      </c>
      <c r="DW109" s="5" t="s">
        <v>62</v>
      </c>
      <c r="DX109" s="5" t="s">
        <v>63</v>
      </c>
      <c r="DY109" s="5" t="s">
        <v>64</v>
      </c>
      <c r="DZ109" s="5" t="s">
        <v>65</v>
      </c>
      <c r="EA109" s="5" t="s">
        <v>66</v>
      </c>
      <c r="EB109" s="5" t="s">
        <v>100</v>
      </c>
      <c r="EC109" s="5" t="s">
        <v>55</v>
      </c>
      <c r="ED109" s="5" t="s">
        <v>56</v>
      </c>
      <c r="EE109" s="5" t="s">
        <v>57</v>
      </c>
      <c r="EF109" s="5" t="s">
        <v>58</v>
      </c>
      <c r="EG109" s="5" t="s">
        <v>59</v>
      </c>
      <c r="EH109" s="5" t="s">
        <v>60</v>
      </c>
      <c r="EI109" s="5" t="s">
        <v>61</v>
      </c>
      <c r="EJ109" s="5" t="s">
        <v>62</v>
      </c>
      <c r="EK109" s="5" t="s">
        <v>63</v>
      </c>
      <c r="EL109" s="5" t="s">
        <v>64</v>
      </c>
      <c r="EM109" s="5" t="s">
        <v>65</v>
      </c>
      <c r="EN109" s="5" t="s">
        <v>66</v>
      </c>
      <c r="EO109" s="5" t="s">
        <v>101</v>
      </c>
      <c r="EP109" s="5" t="s">
        <v>55</v>
      </c>
      <c r="EQ109" s="5" t="s">
        <v>56</v>
      </c>
      <c r="ER109" s="5" t="s">
        <v>57</v>
      </c>
      <c r="ES109" s="5" t="s">
        <v>58</v>
      </c>
      <c r="ET109" s="5" t="s">
        <v>59</v>
      </c>
      <c r="EU109" s="5" t="s">
        <v>60</v>
      </c>
      <c r="EV109" s="5" t="s">
        <v>61</v>
      </c>
      <c r="EW109" s="5" t="s">
        <v>62</v>
      </c>
      <c r="EX109" s="5" t="s">
        <v>63</v>
      </c>
      <c r="EY109" s="5" t="s">
        <v>64</v>
      </c>
      <c r="EZ109" s="5" t="s">
        <v>65</v>
      </c>
      <c r="FA109" s="5" t="s">
        <v>66</v>
      </c>
      <c r="FB109" s="5" t="s">
        <v>102</v>
      </c>
      <c r="FC109" s="5" t="s">
        <v>55</v>
      </c>
      <c r="FD109" s="5" t="s">
        <v>56</v>
      </c>
      <c r="FE109" s="5" t="s">
        <v>57</v>
      </c>
      <c r="FF109" s="5" t="s">
        <v>58</v>
      </c>
      <c r="FG109" s="5" t="s">
        <v>59</v>
      </c>
      <c r="FH109" s="5" t="s">
        <v>60</v>
      </c>
      <c r="FI109" s="5" t="s">
        <v>61</v>
      </c>
      <c r="FJ109" s="5" t="s">
        <v>62</v>
      </c>
      <c r="FK109" s="5" t="s">
        <v>63</v>
      </c>
      <c r="FL109" s="5" t="s">
        <v>64</v>
      </c>
      <c r="FM109" s="5" t="s">
        <v>65</v>
      </c>
      <c r="FN109" s="5" t="s">
        <v>66</v>
      </c>
      <c r="FO109" s="5" t="s">
        <v>103</v>
      </c>
    </row>
    <row r="110" spans="2:171" ht="28.05" customHeight="1" x14ac:dyDescent="0.3">
      <c r="B110" s="6" t="s">
        <v>46</v>
      </c>
      <c r="C110" s="7">
        <v>0</v>
      </c>
      <c r="D110" s="7">
        <v>0</v>
      </c>
      <c r="E110" s="7">
        <v>0</v>
      </c>
      <c r="F110" s="7">
        <v>0</v>
      </c>
      <c r="G110" s="7">
        <v>0</v>
      </c>
      <c r="H110" s="7">
        <v>0</v>
      </c>
      <c r="I110" s="7">
        <v>0</v>
      </c>
      <c r="J110" s="7">
        <v>0</v>
      </c>
      <c r="K110" s="7">
        <v>0</v>
      </c>
      <c r="L110" s="7">
        <v>0</v>
      </c>
      <c r="M110" s="7">
        <v>0</v>
      </c>
      <c r="N110" s="7">
        <v>0</v>
      </c>
      <c r="O110" s="7">
        <f t="shared" ref="O110:O115" si="164">N110</f>
        <v>0</v>
      </c>
      <c r="P110" s="7">
        <v>0</v>
      </c>
      <c r="Q110" s="7">
        <v>0</v>
      </c>
      <c r="R110" s="7">
        <v>0</v>
      </c>
      <c r="S110" s="7">
        <v>0</v>
      </c>
      <c r="T110" s="7">
        <v>0</v>
      </c>
      <c r="U110" s="7">
        <v>0</v>
      </c>
      <c r="V110" s="7">
        <v>0</v>
      </c>
      <c r="W110" s="7">
        <v>0</v>
      </c>
      <c r="X110" s="7">
        <v>0</v>
      </c>
      <c r="Y110" s="7">
        <v>0</v>
      </c>
      <c r="Z110" s="7">
        <v>0</v>
      </c>
      <c r="AA110" s="7">
        <v>0</v>
      </c>
      <c r="AB110" s="7">
        <f t="shared" ref="AB110:AB115" si="165">AA110</f>
        <v>0</v>
      </c>
      <c r="AC110" s="7">
        <v>0</v>
      </c>
      <c r="AD110" s="7">
        <v>0</v>
      </c>
      <c r="AE110" s="7">
        <v>0</v>
      </c>
      <c r="AF110" s="7">
        <v>0</v>
      </c>
      <c r="AG110" s="7">
        <v>0</v>
      </c>
      <c r="AH110" s="7">
        <v>0</v>
      </c>
      <c r="AI110" s="7">
        <v>0</v>
      </c>
      <c r="AJ110" s="7">
        <v>0</v>
      </c>
      <c r="AK110" s="7">
        <v>0</v>
      </c>
      <c r="AL110" s="7">
        <v>0</v>
      </c>
      <c r="AM110" s="7">
        <v>0</v>
      </c>
      <c r="AN110" s="7">
        <v>0</v>
      </c>
      <c r="AO110" s="7">
        <f t="shared" ref="AO110:AO115" si="166">AN110</f>
        <v>0</v>
      </c>
      <c r="AP110" s="7">
        <v>0</v>
      </c>
      <c r="AQ110" s="7">
        <v>0</v>
      </c>
      <c r="AR110" s="7">
        <v>0</v>
      </c>
      <c r="AS110" s="7">
        <v>0</v>
      </c>
      <c r="AT110" s="7">
        <v>0</v>
      </c>
      <c r="AU110" s="7">
        <v>0</v>
      </c>
      <c r="AV110" s="7">
        <v>0</v>
      </c>
      <c r="AW110" s="7">
        <v>0</v>
      </c>
      <c r="AX110" s="7">
        <v>0</v>
      </c>
      <c r="AY110" s="7">
        <v>0</v>
      </c>
      <c r="AZ110" s="7">
        <v>0</v>
      </c>
      <c r="BA110" s="7">
        <v>0</v>
      </c>
      <c r="BB110" s="7">
        <f t="shared" ref="BB110:BB115" si="167">BA110</f>
        <v>0</v>
      </c>
      <c r="BC110" s="7">
        <v>0</v>
      </c>
      <c r="BD110" s="7">
        <v>0</v>
      </c>
      <c r="BE110" s="7">
        <v>0</v>
      </c>
      <c r="BF110" s="7">
        <v>0</v>
      </c>
      <c r="BG110" s="7">
        <v>0</v>
      </c>
      <c r="BH110" s="7">
        <v>0</v>
      </c>
      <c r="BI110" s="7">
        <v>0</v>
      </c>
      <c r="BJ110" s="7">
        <v>0</v>
      </c>
      <c r="BK110" s="7">
        <v>0</v>
      </c>
      <c r="BL110" s="7">
        <v>0</v>
      </c>
      <c r="BM110" s="7">
        <v>0</v>
      </c>
      <c r="BN110" s="7">
        <v>0</v>
      </c>
      <c r="BO110" s="7">
        <f t="shared" ref="BO110:BO115" si="168">BN110</f>
        <v>0</v>
      </c>
      <c r="BP110" s="7">
        <v>0</v>
      </c>
      <c r="BQ110" s="7">
        <v>0</v>
      </c>
      <c r="BR110" s="7">
        <v>0</v>
      </c>
      <c r="BS110" s="7">
        <v>0</v>
      </c>
      <c r="BT110" s="7">
        <v>0</v>
      </c>
      <c r="BU110" s="7">
        <v>0</v>
      </c>
      <c r="BV110" s="7">
        <v>0</v>
      </c>
      <c r="BW110" s="7">
        <v>0</v>
      </c>
      <c r="BX110" s="7">
        <v>0</v>
      </c>
      <c r="BY110" s="7">
        <v>0</v>
      </c>
      <c r="BZ110" s="7">
        <v>0</v>
      </c>
      <c r="CA110" s="7">
        <v>0</v>
      </c>
      <c r="CB110" s="7">
        <f t="shared" ref="CB110:CB115" si="169">CA110</f>
        <v>0</v>
      </c>
      <c r="CC110" s="7">
        <v>0</v>
      </c>
      <c r="CD110" s="7">
        <v>0</v>
      </c>
      <c r="CE110" s="7">
        <v>0</v>
      </c>
      <c r="CF110" s="7">
        <v>0</v>
      </c>
      <c r="CG110" s="7">
        <v>0</v>
      </c>
      <c r="CH110" s="7">
        <v>0</v>
      </c>
      <c r="CI110" s="7">
        <v>0</v>
      </c>
      <c r="CJ110" s="7">
        <v>0</v>
      </c>
      <c r="CK110" s="7">
        <v>0</v>
      </c>
      <c r="CL110" s="7">
        <v>0</v>
      </c>
      <c r="CM110" s="7">
        <v>0</v>
      </c>
      <c r="CN110" s="7">
        <v>0</v>
      </c>
      <c r="CO110" s="7">
        <f t="shared" ref="CO110:CO115" si="170">CN110</f>
        <v>0</v>
      </c>
      <c r="CP110" s="7">
        <v>0</v>
      </c>
      <c r="CQ110" s="7">
        <v>0</v>
      </c>
      <c r="CR110" s="7">
        <v>0</v>
      </c>
      <c r="CS110" s="7">
        <v>0</v>
      </c>
      <c r="CT110" s="7">
        <v>0</v>
      </c>
      <c r="CU110" s="7">
        <v>0</v>
      </c>
      <c r="CV110" s="7">
        <v>0</v>
      </c>
      <c r="CW110" s="7">
        <v>0</v>
      </c>
      <c r="CX110" s="7">
        <v>0</v>
      </c>
      <c r="CY110" s="7">
        <v>0</v>
      </c>
      <c r="CZ110" s="7">
        <v>0</v>
      </c>
      <c r="DA110" s="7">
        <v>0</v>
      </c>
      <c r="DB110" s="7">
        <f t="shared" ref="DB110:DB115" si="171">DA110</f>
        <v>0</v>
      </c>
      <c r="DC110" s="7">
        <v>0</v>
      </c>
      <c r="DD110" s="7">
        <v>0</v>
      </c>
      <c r="DE110" s="7">
        <v>0</v>
      </c>
      <c r="DF110" s="7">
        <v>0</v>
      </c>
      <c r="DG110" s="7">
        <v>0</v>
      </c>
      <c r="DH110" s="7">
        <v>0</v>
      </c>
      <c r="DI110" s="7">
        <v>0</v>
      </c>
      <c r="DJ110" s="7">
        <v>0</v>
      </c>
      <c r="DK110" s="7">
        <v>0</v>
      </c>
      <c r="DL110" s="7">
        <v>0</v>
      </c>
      <c r="DM110" s="7">
        <v>0</v>
      </c>
      <c r="DN110" s="7">
        <v>0</v>
      </c>
      <c r="DO110" s="7">
        <f t="shared" ref="DO110:DO115" si="172">DN110</f>
        <v>0</v>
      </c>
      <c r="DP110" s="7">
        <v>0</v>
      </c>
      <c r="DQ110" s="7">
        <v>0</v>
      </c>
      <c r="DR110" s="7">
        <v>0</v>
      </c>
      <c r="DS110" s="7">
        <v>0</v>
      </c>
      <c r="DT110" s="7">
        <v>0</v>
      </c>
      <c r="DU110" s="7">
        <v>0</v>
      </c>
      <c r="DV110" s="7">
        <v>0</v>
      </c>
      <c r="DW110" s="7">
        <v>0</v>
      </c>
      <c r="DX110" s="7">
        <v>0</v>
      </c>
      <c r="DY110" s="7">
        <v>0</v>
      </c>
      <c r="DZ110" s="7">
        <v>0</v>
      </c>
      <c r="EA110" s="7">
        <v>0</v>
      </c>
      <c r="EB110" s="7">
        <f t="shared" ref="EB110:EB115" si="173">EA110</f>
        <v>0</v>
      </c>
      <c r="EC110" s="7">
        <v>0</v>
      </c>
      <c r="ED110" s="7">
        <v>0</v>
      </c>
      <c r="EE110" s="7">
        <v>0</v>
      </c>
      <c r="EF110" s="7">
        <v>0</v>
      </c>
      <c r="EG110" s="7">
        <v>0</v>
      </c>
      <c r="EH110" s="7">
        <v>0</v>
      </c>
      <c r="EI110" s="7">
        <v>0</v>
      </c>
      <c r="EJ110" s="7">
        <v>0</v>
      </c>
      <c r="EK110" s="7">
        <v>0</v>
      </c>
      <c r="EL110" s="7">
        <v>0</v>
      </c>
      <c r="EM110" s="7">
        <v>0</v>
      </c>
      <c r="EN110" s="7">
        <v>0</v>
      </c>
      <c r="EO110" s="7">
        <f t="shared" ref="EO110:EO115" si="174">EN110</f>
        <v>0</v>
      </c>
      <c r="EP110" s="7">
        <v>0</v>
      </c>
      <c r="EQ110" s="7">
        <v>0</v>
      </c>
      <c r="ER110" s="7">
        <v>0</v>
      </c>
      <c r="ES110" s="7">
        <v>0</v>
      </c>
      <c r="ET110" s="7">
        <v>0</v>
      </c>
      <c r="EU110" s="7">
        <v>0</v>
      </c>
      <c r="EV110" s="7">
        <v>0</v>
      </c>
      <c r="EW110" s="7">
        <v>0</v>
      </c>
      <c r="EX110" s="7">
        <v>0</v>
      </c>
      <c r="EY110" s="7">
        <v>0</v>
      </c>
      <c r="EZ110" s="7">
        <v>0</v>
      </c>
      <c r="FA110" s="7">
        <v>0</v>
      </c>
      <c r="FB110" s="7">
        <f t="shared" ref="FB110:FB115" si="175">FA110</f>
        <v>0</v>
      </c>
      <c r="FC110" s="7">
        <v>0</v>
      </c>
      <c r="FD110" s="7">
        <v>0</v>
      </c>
      <c r="FE110" s="7">
        <v>0</v>
      </c>
      <c r="FF110" s="7">
        <v>0</v>
      </c>
      <c r="FG110" s="7">
        <v>0</v>
      </c>
      <c r="FH110" s="7">
        <v>0</v>
      </c>
      <c r="FI110" s="7">
        <v>0</v>
      </c>
      <c r="FO110" s="7">
        <f t="shared" ref="FO110:FO115" si="176">FI110</f>
        <v>0</v>
      </c>
    </row>
    <row r="111" spans="2:171" ht="28.05" customHeight="1" x14ac:dyDescent="0.3">
      <c r="B111" s="6" t="s">
        <v>47</v>
      </c>
      <c r="C111" s="7">
        <v>0</v>
      </c>
      <c r="D111" s="7">
        <v>0</v>
      </c>
      <c r="E111" s="7">
        <v>0</v>
      </c>
      <c r="F111" s="7">
        <v>0</v>
      </c>
      <c r="G111" s="7">
        <v>0</v>
      </c>
      <c r="H111" s="7">
        <v>0</v>
      </c>
      <c r="I111" s="7">
        <v>0</v>
      </c>
      <c r="J111" s="7">
        <v>0</v>
      </c>
      <c r="K111" s="7">
        <v>0</v>
      </c>
      <c r="L111" s="7">
        <v>0</v>
      </c>
      <c r="M111" s="7">
        <v>0</v>
      </c>
      <c r="N111" s="7">
        <v>0</v>
      </c>
      <c r="O111" s="7">
        <f t="shared" si="164"/>
        <v>0</v>
      </c>
      <c r="P111" s="7">
        <v>0</v>
      </c>
      <c r="Q111" s="7">
        <v>0</v>
      </c>
      <c r="R111" s="7">
        <v>0</v>
      </c>
      <c r="S111" s="7">
        <v>0</v>
      </c>
      <c r="T111" s="7">
        <v>0</v>
      </c>
      <c r="U111" s="7">
        <v>0</v>
      </c>
      <c r="V111" s="7">
        <v>0</v>
      </c>
      <c r="W111" s="7">
        <v>0</v>
      </c>
      <c r="X111" s="7">
        <v>0</v>
      </c>
      <c r="Y111" s="7">
        <v>0</v>
      </c>
      <c r="Z111" s="7">
        <v>0</v>
      </c>
      <c r="AA111" s="7">
        <v>0</v>
      </c>
      <c r="AB111" s="7">
        <f t="shared" si="165"/>
        <v>0</v>
      </c>
      <c r="AC111" s="7">
        <v>0</v>
      </c>
      <c r="AD111" s="7">
        <v>0</v>
      </c>
      <c r="AE111" s="7">
        <v>0</v>
      </c>
      <c r="AF111" s="7">
        <v>0</v>
      </c>
      <c r="AG111" s="7">
        <v>0</v>
      </c>
      <c r="AH111" s="7">
        <v>0</v>
      </c>
      <c r="AI111" s="7">
        <v>0</v>
      </c>
      <c r="AJ111" s="7">
        <v>0</v>
      </c>
      <c r="AK111" s="7">
        <v>0</v>
      </c>
      <c r="AL111" s="7">
        <v>0</v>
      </c>
      <c r="AM111" s="7">
        <v>0</v>
      </c>
      <c r="AN111" s="7">
        <v>0</v>
      </c>
      <c r="AO111" s="7">
        <f t="shared" si="166"/>
        <v>0</v>
      </c>
      <c r="AP111" s="7">
        <v>0</v>
      </c>
      <c r="AQ111" s="7">
        <v>0</v>
      </c>
      <c r="AR111" s="7">
        <v>0</v>
      </c>
      <c r="AS111" s="7">
        <v>0</v>
      </c>
      <c r="AT111" s="7">
        <v>0</v>
      </c>
      <c r="AU111" s="7">
        <v>0</v>
      </c>
      <c r="AV111" s="7">
        <v>0</v>
      </c>
      <c r="AW111" s="7">
        <v>0</v>
      </c>
      <c r="AX111" s="7">
        <v>0</v>
      </c>
      <c r="AY111" s="7">
        <v>0</v>
      </c>
      <c r="AZ111" s="7">
        <v>0</v>
      </c>
      <c r="BA111" s="7">
        <v>0</v>
      </c>
      <c r="BB111" s="7">
        <f t="shared" si="167"/>
        <v>0</v>
      </c>
      <c r="BC111" s="7">
        <v>0</v>
      </c>
      <c r="BD111" s="7">
        <v>0</v>
      </c>
      <c r="BE111" s="7">
        <v>0</v>
      </c>
      <c r="BF111" s="7">
        <v>0</v>
      </c>
      <c r="BG111" s="7">
        <v>0</v>
      </c>
      <c r="BH111" s="7">
        <v>0</v>
      </c>
      <c r="BI111" s="7">
        <v>0</v>
      </c>
      <c r="BJ111" s="7">
        <v>0</v>
      </c>
      <c r="BK111" s="7">
        <v>0</v>
      </c>
      <c r="BL111" s="7">
        <v>0</v>
      </c>
      <c r="BM111" s="7">
        <v>0</v>
      </c>
      <c r="BN111" s="7">
        <v>0</v>
      </c>
      <c r="BO111" s="7">
        <f t="shared" si="168"/>
        <v>0</v>
      </c>
      <c r="BP111" s="7">
        <v>0</v>
      </c>
      <c r="BQ111" s="7">
        <v>0</v>
      </c>
      <c r="BR111" s="7">
        <v>0</v>
      </c>
      <c r="BS111" s="7">
        <v>0</v>
      </c>
      <c r="BT111" s="7">
        <v>0</v>
      </c>
      <c r="BU111" s="7">
        <v>0</v>
      </c>
      <c r="BV111" s="7">
        <v>0</v>
      </c>
      <c r="BW111" s="7">
        <v>0</v>
      </c>
      <c r="BX111" s="7">
        <v>0</v>
      </c>
      <c r="BY111" s="7">
        <v>0</v>
      </c>
      <c r="BZ111" s="7">
        <v>0</v>
      </c>
      <c r="CA111" s="7">
        <v>0</v>
      </c>
      <c r="CB111" s="7">
        <f t="shared" si="169"/>
        <v>0</v>
      </c>
      <c r="CC111" s="7">
        <v>0</v>
      </c>
      <c r="CD111" s="7">
        <v>0</v>
      </c>
      <c r="CE111" s="7">
        <v>0</v>
      </c>
      <c r="CF111" s="7">
        <v>0</v>
      </c>
      <c r="CG111" s="7">
        <v>0</v>
      </c>
      <c r="CH111" s="7">
        <v>0</v>
      </c>
      <c r="CI111" s="7">
        <v>0</v>
      </c>
      <c r="CJ111" s="7">
        <v>0</v>
      </c>
      <c r="CK111" s="7">
        <v>0</v>
      </c>
      <c r="CL111" s="7">
        <v>0</v>
      </c>
      <c r="CM111" s="7">
        <v>0</v>
      </c>
      <c r="CN111" s="7">
        <v>0</v>
      </c>
      <c r="CO111" s="7">
        <f t="shared" si="170"/>
        <v>0</v>
      </c>
      <c r="CP111" s="7">
        <v>0</v>
      </c>
      <c r="CQ111" s="7">
        <v>0</v>
      </c>
      <c r="CR111" s="7">
        <v>0</v>
      </c>
      <c r="CS111" s="7">
        <v>0</v>
      </c>
      <c r="CT111" s="7">
        <v>0</v>
      </c>
      <c r="CU111" s="7">
        <v>0</v>
      </c>
      <c r="CV111" s="7">
        <v>0</v>
      </c>
      <c r="CW111" s="7">
        <v>0</v>
      </c>
      <c r="CX111" s="7">
        <v>0</v>
      </c>
      <c r="CY111" s="7">
        <v>0</v>
      </c>
      <c r="CZ111" s="7">
        <v>0</v>
      </c>
      <c r="DA111" s="7">
        <v>0</v>
      </c>
      <c r="DB111" s="7">
        <f t="shared" si="171"/>
        <v>0</v>
      </c>
      <c r="DC111" s="7">
        <v>0</v>
      </c>
      <c r="DD111" s="7">
        <v>0</v>
      </c>
      <c r="DE111" s="7">
        <v>0</v>
      </c>
      <c r="DF111" s="7">
        <v>0</v>
      </c>
      <c r="DG111" s="7">
        <v>0</v>
      </c>
      <c r="DH111" s="7">
        <v>0</v>
      </c>
      <c r="DI111" s="7">
        <v>0</v>
      </c>
      <c r="DJ111" s="7">
        <v>0</v>
      </c>
      <c r="DK111" s="7">
        <v>0</v>
      </c>
      <c r="DL111" s="7">
        <v>0</v>
      </c>
      <c r="DM111" s="7">
        <v>0</v>
      </c>
      <c r="DN111" s="7">
        <v>0</v>
      </c>
      <c r="DO111" s="7">
        <f t="shared" si="172"/>
        <v>0</v>
      </c>
      <c r="DP111" s="7">
        <v>0</v>
      </c>
      <c r="DQ111" s="7">
        <v>0</v>
      </c>
      <c r="DR111" s="7">
        <v>0</v>
      </c>
      <c r="DS111" s="7">
        <v>0</v>
      </c>
      <c r="DT111" s="7">
        <v>0</v>
      </c>
      <c r="DU111" s="7">
        <v>0</v>
      </c>
      <c r="DV111" s="7">
        <v>0</v>
      </c>
      <c r="DW111" s="7">
        <v>0</v>
      </c>
      <c r="DX111" s="7">
        <v>0</v>
      </c>
      <c r="DY111" s="7">
        <v>0</v>
      </c>
      <c r="DZ111" s="7">
        <v>0</v>
      </c>
      <c r="EA111" s="7">
        <v>0</v>
      </c>
      <c r="EB111" s="7">
        <f t="shared" si="173"/>
        <v>0</v>
      </c>
      <c r="EC111" s="7">
        <v>0</v>
      </c>
      <c r="ED111" s="7">
        <v>0</v>
      </c>
      <c r="EE111" s="7">
        <v>0</v>
      </c>
      <c r="EF111" s="7">
        <v>0</v>
      </c>
      <c r="EG111" s="7">
        <v>0</v>
      </c>
      <c r="EH111" s="7">
        <v>0</v>
      </c>
      <c r="EI111" s="7">
        <v>0</v>
      </c>
      <c r="EJ111" s="7">
        <v>0</v>
      </c>
      <c r="EK111" s="7">
        <v>0</v>
      </c>
      <c r="EL111" s="7">
        <v>0</v>
      </c>
      <c r="EM111" s="7">
        <v>0</v>
      </c>
      <c r="EN111" s="7">
        <v>0</v>
      </c>
      <c r="EO111" s="7">
        <f t="shared" si="174"/>
        <v>0</v>
      </c>
      <c r="EP111" s="7">
        <v>0</v>
      </c>
      <c r="EQ111" s="7">
        <v>0</v>
      </c>
      <c r="ER111" s="7">
        <v>0</v>
      </c>
      <c r="ES111" s="7">
        <v>0</v>
      </c>
      <c r="ET111" s="7">
        <v>0</v>
      </c>
      <c r="EU111" s="7">
        <v>0</v>
      </c>
      <c r="EV111" s="7">
        <v>0</v>
      </c>
      <c r="EW111" s="7">
        <v>0</v>
      </c>
      <c r="EX111" s="7">
        <v>0</v>
      </c>
      <c r="EY111" s="7">
        <v>0</v>
      </c>
      <c r="EZ111" s="7">
        <v>0</v>
      </c>
      <c r="FA111" s="7">
        <v>0</v>
      </c>
      <c r="FB111" s="7">
        <f t="shared" si="175"/>
        <v>0</v>
      </c>
      <c r="FC111" s="7">
        <v>0</v>
      </c>
      <c r="FD111" s="7">
        <v>0</v>
      </c>
      <c r="FE111" s="7">
        <v>0</v>
      </c>
      <c r="FF111" s="7">
        <v>0</v>
      </c>
      <c r="FG111" s="7">
        <v>0</v>
      </c>
      <c r="FH111" s="7">
        <v>0</v>
      </c>
      <c r="FI111" s="7">
        <v>0</v>
      </c>
      <c r="FO111" s="7">
        <f t="shared" si="176"/>
        <v>0</v>
      </c>
    </row>
    <row r="112" spans="2:171" ht="28.05" customHeight="1" x14ac:dyDescent="0.3">
      <c r="B112" s="6" t="s">
        <v>48</v>
      </c>
      <c r="C112" s="7">
        <v>0</v>
      </c>
      <c r="D112" s="7">
        <v>0</v>
      </c>
      <c r="E112" s="7">
        <v>0</v>
      </c>
      <c r="F112" s="7">
        <v>0</v>
      </c>
      <c r="G112" s="7">
        <v>0</v>
      </c>
      <c r="H112" s="7">
        <v>0</v>
      </c>
      <c r="I112" s="7">
        <v>0</v>
      </c>
      <c r="J112" s="7">
        <v>0</v>
      </c>
      <c r="K112" s="7">
        <v>0</v>
      </c>
      <c r="L112" s="7">
        <v>0</v>
      </c>
      <c r="M112" s="7">
        <v>0</v>
      </c>
      <c r="N112" s="7">
        <v>0</v>
      </c>
      <c r="O112" s="7">
        <f t="shared" si="164"/>
        <v>0</v>
      </c>
      <c r="P112" s="7">
        <v>0</v>
      </c>
      <c r="Q112" s="7">
        <v>0</v>
      </c>
      <c r="R112" s="7">
        <v>0</v>
      </c>
      <c r="S112" s="7">
        <v>0</v>
      </c>
      <c r="T112" s="7">
        <v>0</v>
      </c>
      <c r="U112" s="7">
        <v>0</v>
      </c>
      <c r="V112" s="7">
        <v>0</v>
      </c>
      <c r="W112" s="7">
        <v>0</v>
      </c>
      <c r="X112" s="7">
        <v>0</v>
      </c>
      <c r="Y112" s="7">
        <v>0</v>
      </c>
      <c r="Z112" s="7">
        <v>0</v>
      </c>
      <c r="AA112" s="7">
        <v>0</v>
      </c>
      <c r="AB112" s="7">
        <f t="shared" si="165"/>
        <v>0</v>
      </c>
      <c r="AC112" s="7">
        <v>0</v>
      </c>
      <c r="AD112" s="7">
        <v>0</v>
      </c>
      <c r="AE112" s="7">
        <v>0</v>
      </c>
      <c r="AF112" s="7">
        <v>0</v>
      </c>
      <c r="AG112" s="7">
        <v>0</v>
      </c>
      <c r="AH112" s="7">
        <v>0</v>
      </c>
      <c r="AI112" s="7">
        <v>0</v>
      </c>
      <c r="AJ112" s="7">
        <v>0</v>
      </c>
      <c r="AK112" s="7">
        <v>0</v>
      </c>
      <c r="AL112" s="7">
        <v>0</v>
      </c>
      <c r="AM112" s="7">
        <v>0</v>
      </c>
      <c r="AN112" s="7">
        <v>0</v>
      </c>
      <c r="AO112" s="7">
        <f t="shared" si="166"/>
        <v>0</v>
      </c>
      <c r="AP112" s="7">
        <v>0</v>
      </c>
      <c r="AQ112" s="7">
        <v>0</v>
      </c>
      <c r="AR112" s="7">
        <v>0</v>
      </c>
      <c r="AS112" s="7">
        <v>0</v>
      </c>
      <c r="AT112" s="7">
        <v>0</v>
      </c>
      <c r="AU112" s="7">
        <v>0</v>
      </c>
      <c r="AV112" s="7">
        <v>0</v>
      </c>
      <c r="AW112" s="7">
        <v>0</v>
      </c>
      <c r="AX112" s="7">
        <v>0</v>
      </c>
      <c r="AY112" s="7">
        <v>0</v>
      </c>
      <c r="AZ112" s="7">
        <v>0</v>
      </c>
      <c r="BA112" s="7">
        <v>0</v>
      </c>
      <c r="BB112" s="7">
        <f t="shared" si="167"/>
        <v>0</v>
      </c>
      <c r="BC112" s="7">
        <v>0</v>
      </c>
      <c r="BD112" s="7">
        <v>0</v>
      </c>
      <c r="BE112" s="7">
        <v>0</v>
      </c>
      <c r="BF112" s="7">
        <v>0</v>
      </c>
      <c r="BG112" s="7">
        <v>0</v>
      </c>
      <c r="BH112" s="7">
        <v>0</v>
      </c>
      <c r="BI112" s="7">
        <v>0</v>
      </c>
      <c r="BJ112" s="7">
        <v>0</v>
      </c>
      <c r="BK112" s="7">
        <v>0</v>
      </c>
      <c r="BL112" s="7">
        <v>0</v>
      </c>
      <c r="BM112" s="7">
        <v>0</v>
      </c>
      <c r="BN112" s="7">
        <v>0</v>
      </c>
      <c r="BO112" s="7">
        <f t="shared" si="168"/>
        <v>0</v>
      </c>
      <c r="BP112" s="7">
        <v>0</v>
      </c>
      <c r="BQ112" s="7">
        <v>0</v>
      </c>
      <c r="BR112" s="7">
        <v>0</v>
      </c>
      <c r="BS112" s="7">
        <v>0</v>
      </c>
      <c r="BT112" s="7">
        <v>0</v>
      </c>
      <c r="BU112" s="7">
        <v>0</v>
      </c>
      <c r="BV112" s="7">
        <v>0</v>
      </c>
      <c r="BW112" s="7">
        <v>0</v>
      </c>
      <c r="BX112" s="7">
        <v>0</v>
      </c>
      <c r="BY112" s="7">
        <v>0</v>
      </c>
      <c r="BZ112" s="7">
        <v>0</v>
      </c>
      <c r="CA112" s="7">
        <v>0</v>
      </c>
      <c r="CB112" s="7">
        <f t="shared" si="169"/>
        <v>0</v>
      </c>
      <c r="CC112" s="7">
        <v>0</v>
      </c>
      <c r="CD112" s="7">
        <v>0</v>
      </c>
      <c r="CE112" s="7">
        <v>0</v>
      </c>
      <c r="CF112" s="7">
        <v>0</v>
      </c>
      <c r="CG112" s="7">
        <v>0</v>
      </c>
      <c r="CH112" s="7">
        <v>0</v>
      </c>
      <c r="CI112" s="7">
        <v>0</v>
      </c>
      <c r="CJ112" s="7">
        <v>0</v>
      </c>
      <c r="CK112" s="7">
        <v>0</v>
      </c>
      <c r="CL112" s="7">
        <v>0</v>
      </c>
      <c r="CM112" s="7">
        <v>0</v>
      </c>
      <c r="CN112" s="7">
        <v>0</v>
      </c>
      <c r="CO112" s="7">
        <f t="shared" si="170"/>
        <v>0</v>
      </c>
      <c r="CP112" s="7">
        <v>0</v>
      </c>
      <c r="CQ112" s="7">
        <v>0</v>
      </c>
      <c r="CR112" s="7">
        <v>0</v>
      </c>
      <c r="CS112" s="7">
        <v>0</v>
      </c>
      <c r="CT112" s="7">
        <v>0</v>
      </c>
      <c r="CU112" s="7">
        <v>0</v>
      </c>
      <c r="CV112" s="7">
        <v>0</v>
      </c>
      <c r="CW112" s="7">
        <v>0</v>
      </c>
      <c r="CX112" s="7">
        <v>0</v>
      </c>
      <c r="CY112" s="7">
        <v>0</v>
      </c>
      <c r="CZ112" s="7">
        <v>0</v>
      </c>
      <c r="DA112" s="7">
        <v>0</v>
      </c>
      <c r="DB112" s="7">
        <f t="shared" si="171"/>
        <v>0</v>
      </c>
      <c r="DC112" s="7">
        <v>0</v>
      </c>
      <c r="DD112" s="7">
        <v>0</v>
      </c>
      <c r="DE112" s="7">
        <v>0</v>
      </c>
      <c r="DF112" s="7">
        <v>0</v>
      </c>
      <c r="DG112" s="7">
        <v>0</v>
      </c>
      <c r="DH112" s="7">
        <v>0</v>
      </c>
      <c r="DI112" s="7">
        <v>0</v>
      </c>
      <c r="DJ112" s="7">
        <v>0</v>
      </c>
      <c r="DK112" s="7">
        <v>0</v>
      </c>
      <c r="DL112" s="7">
        <v>0</v>
      </c>
      <c r="DM112" s="7">
        <v>0</v>
      </c>
      <c r="DN112" s="7">
        <v>0</v>
      </c>
      <c r="DO112" s="7">
        <f t="shared" si="172"/>
        <v>0</v>
      </c>
      <c r="DP112" s="7">
        <v>0</v>
      </c>
      <c r="DQ112" s="7">
        <v>0</v>
      </c>
      <c r="DR112" s="7">
        <v>0</v>
      </c>
      <c r="DS112" s="7">
        <v>0</v>
      </c>
      <c r="DT112" s="7">
        <v>0</v>
      </c>
      <c r="DU112" s="7">
        <v>0</v>
      </c>
      <c r="DV112" s="7">
        <v>1050</v>
      </c>
      <c r="DW112" s="7">
        <v>1050</v>
      </c>
      <c r="DX112" s="7">
        <v>37795</v>
      </c>
      <c r="DY112" s="7">
        <v>169483</v>
      </c>
      <c r="DZ112" s="7">
        <v>843033</v>
      </c>
      <c r="EA112" s="7">
        <v>3861859</v>
      </c>
      <c r="EB112" s="7">
        <f t="shared" si="173"/>
        <v>3861859</v>
      </c>
      <c r="EC112" s="7">
        <v>0</v>
      </c>
      <c r="ED112" s="7">
        <v>0</v>
      </c>
      <c r="EE112" s="7">
        <v>0</v>
      </c>
      <c r="EF112" s="7">
        <v>0</v>
      </c>
      <c r="EG112" s="7">
        <v>0</v>
      </c>
      <c r="EH112" s="7">
        <v>0</v>
      </c>
      <c r="EI112" s="7">
        <v>0</v>
      </c>
      <c r="EJ112" s="7">
        <v>0</v>
      </c>
      <c r="EK112" s="7">
        <v>0</v>
      </c>
      <c r="EL112" s="7">
        <v>0</v>
      </c>
      <c r="EM112" s="7">
        <v>0</v>
      </c>
      <c r="EN112" s="7">
        <v>0</v>
      </c>
      <c r="EO112" s="7">
        <f t="shared" si="174"/>
        <v>0</v>
      </c>
      <c r="EP112" s="7">
        <v>0</v>
      </c>
      <c r="EQ112" s="7">
        <v>0</v>
      </c>
      <c r="ER112" s="7">
        <v>0</v>
      </c>
      <c r="ES112" s="7">
        <v>0</v>
      </c>
      <c r="ET112" s="7">
        <v>0</v>
      </c>
      <c r="EU112" s="7">
        <v>0</v>
      </c>
      <c r="EV112" s="7">
        <v>0</v>
      </c>
      <c r="EW112" s="7">
        <v>0</v>
      </c>
      <c r="EX112" s="7">
        <v>0</v>
      </c>
      <c r="EY112" s="7">
        <v>0</v>
      </c>
      <c r="EZ112" s="7">
        <v>0</v>
      </c>
      <c r="FA112" s="7">
        <v>0</v>
      </c>
      <c r="FB112" s="7">
        <f t="shared" si="175"/>
        <v>0</v>
      </c>
      <c r="FC112" s="7">
        <v>0</v>
      </c>
      <c r="FD112" s="7">
        <v>0</v>
      </c>
      <c r="FE112" s="7">
        <v>0</v>
      </c>
      <c r="FF112" s="7">
        <v>0</v>
      </c>
      <c r="FG112" s="7">
        <v>0</v>
      </c>
      <c r="FH112" s="7">
        <v>0</v>
      </c>
      <c r="FI112" s="7">
        <v>0</v>
      </c>
      <c r="FO112" s="7">
        <f t="shared" si="176"/>
        <v>0</v>
      </c>
    </row>
    <row r="113" spans="2:171" ht="28.05" customHeight="1" x14ac:dyDescent="0.3">
      <c r="B113" s="6" t="s">
        <v>49</v>
      </c>
      <c r="C113" s="7">
        <v>0</v>
      </c>
      <c r="D113" s="7">
        <v>0</v>
      </c>
      <c r="E113" s="7">
        <v>0</v>
      </c>
      <c r="F113" s="7">
        <v>0</v>
      </c>
      <c r="G113" s="7">
        <v>0</v>
      </c>
      <c r="H113" s="7">
        <v>0</v>
      </c>
      <c r="I113" s="7">
        <v>0</v>
      </c>
      <c r="J113" s="7">
        <v>0</v>
      </c>
      <c r="K113" s="7">
        <v>0</v>
      </c>
      <c r="L113" s="7">
        <v>0</v>
      </c>
      <c r="M113" s="7">
        <v>0</v>
      </c>
      <c r="N113" s="7">
        <v>0</v>
      </c>
      <c r="O113" s="7">
        <f t="shared" si="164"/>
        <v>0</v>
      </c>
      <c r="P113" s="7">
        <v>0</v>
      </c>
      <c r="Q113" s="7">
        <v>0</v>
      </c>
      <c r="R113" s="7">
        <v>0</v>
      </c>
      <c r="S113" s="7">
        <v>0</v>
      </c>
      <c r="T113" s="7">
        <v>0</v>
      </c>
      <c r="U113" s="7">
        <v>0</v>
      </c>
      <c r="V113" s="7">
        <v>0</v>
      </c>
      <c r="W113" s="7">
        <v>0</v>
      </c>
      <c r="X113" s="7">
        <v>0</v>
      </c>
      <c r="Y113" s="7">
        <v>0</v>
      </c>
      <c r="Z113" s="7">
        <v>0</v>
      </c>
      <c r="AA113" s="7">
        <v>0</v>
      </c>
      <c r="AB113" s="7">
        <f t="shared" si="165"/>
        <v>0</v>
      </c>
      <c r="AC113" s="7">
        <v>0</v>
      </c>
      <c r="AD113" s="7">
        <v>0</v>
      </c>
      <c r="AE113" s="7">
        <v>0</v>
      </c>
      <c r="AF113" s="7">
        <v>0</v>
      </c>
      <c r="AG113" s="7">
        <v>0</v>
      </c>
      <c r="AH113" s="7">
        <v>0</v>
      </c>
      <c r="AI113" s="7">
        <v>0</v>
      </c>
      <c r="AJ113" s="7">
        <v>0</v>
      </c>
      <c r="AK113" s="7">
        <v>0</v>
      </c>
      <c r="AL113" s="7">
        <v>0</v>
      </c>
      <c r="AM113" s="7">
        <v>0</v>
      </c>
      <c r="AN113" s="7">
        <v>0</v>
      </c>
      <c r="AO113" s="7">
        <f t="shared" si="166"/>
        <v>0</v>
      </c>
      <c r="AP113" s="7">
        <v>0</v>
      </c>
      <c r="AQ113" s="7">
        <v>0</v>
      </c>
      <c r="AR113" s="7">
        <v>0</v>
      </c>
      <c r="AS113" s="7">
        <v>0</v>
      </c>
      <c r="AT113" s="7">
        <v>0</v>
      </c>
      <c r="AU113" s="7">
        <v>0</v>
      </c>
      <c r="AV113" s="7">
        <v>0</v>
      </c>
      <c r="AW113" s="7">
        <v>0</v>
      </c>
      <c r="AX113" s="7">
        <v>0</v>
      </c>
      <c r="AY113" s="7">
        <v>0</v>
      </c>
      <c r="AZ113" s="7">
        <v>0</v>
      </c>
      <c r="BA113" s="7">
        <v>0</v>
      </c>
      <c r="BB113" s="7">
        <f t="shared" si="167"/>
        <v>0</v>
      </c>
      <c r="BC113" s="7">
        <v>0</v>
      </c>
      <c r="BD113" s="7">
        <v>0</v>
      </c>
      <c r="BE113" s="7">
        <v>0</v>
      </c>
      <c r="BF113" s="7">
        <v>0</v>
      </c>
      <c r="BG113" s="7">
        <v>0</v>
      </c>
      <c r="BH113" s="7">
        <v>0</v>
      </c>
      <c r="BI113" s="7">
        <v>0</v>
      </c>
      <c r="BJ113" s="7">
        <v>0</v>
      </c>
      <c r="BK113" s="7">
        <v>0</v>
      </c>
      <c r="BL113" s="7">
        <v>0</v>
      </c>
      <c r="BM113" s="7">
        <v>0</v>
      </c>
      <c r="BN113" s="7">
        <v>0</v>
      </c>
      <c r="BO113" s="7">
        <f t="shared" si="168"/>
        <v>0</v>
      </c>
      <c r="BP113" s="7">
        <v>0</v>
      </c>
      <c r="BQ113" s="7">
        <v>0</v>
      </c>
      <c r="BR113" s="7">
        <v>0</v>
      </c>
      <c r="BS113" s="7">
        <v>0</v>
      </c>
      <c r="BT113" s="7">
        <v>0</v>
      </c>
      <c r="BU113" s="7">
        <v>0</v>
      </c>
      <c r="BV113" s="7">
        <v>0</v>
      </c>
      <c r="BW113" s="7">
        <v>0</v>
      </c>
      <c r="BX113" s="7">
        <v>0</v>
      </c>
      <c r="BY113" s="7">
        <v>0</v>
      </c>
      <c r="BZ113" s="7">
        <v>0</v>
      </c>
      <c r="CA113" s="7">
        <v>0</v>
      </c>
      <c r="CB113" s="7">
        <f t="shared" si="169"/>
        <v>0</v>
      </c>
      <c r="CC113" s="7">
        <v>0</v>
      </c>
      <c r="CD113" s="7">
        <v>0</v>
      </c>
      <c r="CE113" s="7">
        <v>0</v>
      </c>
      <c r="CF113" s="7">
        <v>0</v>
      </c>
      <c r="CG113" s="7">
        <v>0</v>
      </c>
      <c r="CH113" s="7">
        <v>0</v>
      </c>
      <c r="CI113" s="7">
        <v>0</v>
      </c>
      <c r="CJ113" s="7">
        <v>0</v>
      </c>
      <c r="CK113" s="7">
        <v>0</v>
      </c>
      <c r="CL113" s="7">
        <v>0</v>
      </c>
      <c r="CM113" s="7">
        <v>0</v>
      </c>
      <c r="CN113" s="7">
        <v>0</v>
      </c>
      <c r="CO113" s="7">
        <f t="shared" si="170"/>
        <v>0</v>
      </c>
      <c r="CP113" s="7">
        <v>0</v>
      </c>
      <c r="CQ113" s="7">
        <v>0</v>
      </c>
      <c r="CR113" s="7">
        <v>0</v>
      </c>
      <c r="CS113" s="7">
        <v>0</v>
      </c>
      <c r="CT113" s="7">
        <v>0</v>
      </c>
      <c r="CU113" s="7">
        <v>0</v>
      </c>
      <c r="CV113" s="7">
        <v>0</v>
      </c>
      <c r="CW113" s="7">
        <v>0</v>
      </c>
      <c r="CX113" s="7">
        <v>0</v>
      </c>
      <c r="CY113" s="7">
        <v>0</v>
      </c>
      <c r="CZ113" s="7">
        <v>0</v>
      </c>
      <c r="DA113" s="7">
        <v>0</v>
      </c>
      <c r="DB113" s="7">
        <f t="shared" si="171"/>
        <v>0</v>
      </c>
      <c r="DC113" s="7">
        <v>0</v>
      </c>
      <c r="DD113" s="7">
        <v>0</v>
      </c>
      <c r="DE113" s="7">
        <v>0</v>
      </c>
      <c r="DF113" s="7">
        <v>0</v>
      </c>
      <c r="DG113" s="7">
        <v>0</v>
      </c>
      <c r="DH113" s="7">
        <v>0</v>
      </c>
      <c r="DI113" s="7">
        <v>0</v>
      </c>
      <c r="DJ113" s="7">
        <v>0</v>
      </c>
      <c r="DK113" s="7">
        <v>0</v>
      </c>
      <c r="DL113" s="7">
        <v>0</v>
      </c>
      <c r="DM113" s="7">
        <v>0</v>
      </c>
      <c r="DN113" s="7">
        <v>0</v>
      </c>
      <c r="DO113" s="7">
        <f t="shared" si="172"/>
        <v>0</v>
      </c>
      <c r="DP113" s="7">
        <v>0</v>
      </c>
      <c r="DQ113" s="7">
        <v>0</v>
      </c>
      <c r="DR113" s="7">
        <v>0</v>
      </c>
      <c r="DS113" s="7">
        <v>0</v>
      </c>
      <c r="DT113" s="7">
        <v>0</v>
      </c>
      <c r="DU113" s="7">
        <v>0</v>
      </c>
      <c r="DV113" s="7">
        <v>0</v>
      </c>
      <c r="DW113" s="7">
        <v>0</v>
      </c>
      <c r="DX113" s="7">
        <v>0</v>
      </c>
      <c r="DY113" s="7">
        <v>0</v>
      </c>
      <c r="DZ113" s="7">
        <v>0</v>
      </c>
      <c r="EA113" s="7">
        <v>0</v>
      </c>
      <c r="EB113" s="7">
        <f t="shared" si="173"/>
        <v>0</v>
      </c>
      <c r="EC113" s="7">
        <v>0</v>
      </c>
      <c r="ED113" s="7">
        <v>0</v>
      </c>
      <c r="EE113" s="7">
        <v>0</v>
      </c>
      <c r="EF113" s="7">
        <v>0</v>
      </c>
      <c r="EG113" s="7">
        <v>0</v>
      </c>
      <c r="EH113" s="7">
        <v>0</v>
      </c>
      <c r="EI113" s="7">
        <v>0</v>
      </c>
      <c r="EJ113" s="7">
        <v>0</v>
      </c>
      <c r="EK113" s="7">
        <v>0</v>
      </c>
      <c r="EL113" s="7">
        <v>0</v>
      </c>
      <c r="EM113" s="7">
        <v>0</v>
      </c>
      <c r="EN113" s="7">
        <v>0</v>
      </c>
      <c r="EO113" s="7">
        <f t="shared" si="174"/>
        <v>0</v>
      </c>
      <c r="EP113" s="7">
        <v>0</v>
      </c>
      <c r="EQ113" s="7">
        <v>0</v>
      </c>
      <c r="ER113" s="7">
        <v>0</v>
      </c>
      <c r="ES113" s="7">
        <v>0</v>
      </c>
      <c r="ET113" s="7">
        <v>0</v>
      </c>
      <c r="EU113" s="7">
        <v>0</v>
      </c>
      <c r="EV113" s="7">
        <v>0</v>
      </c>
      <c r="EW113" s="7">
        <v>0</v>
      </c>
      <c r="EX113" s="7">
        <v>0</v>
      </c>
      <c r="EY113" s="7">
        <v>0</v>
      </c>
      <c r="EZ113" s="7">
        <v>0</v>
      </c>
      <c r="FA113" s="7">
        <v>0</v>
      </c>
      <c r="FB113" s="7">
        <f t="shared" si="175"/>
        <v>0</v>
      </c>
      <c r="FC113" s="7">
        <v>0</v>
      </c>
      <c r="FD113" s="7">
        <v>0</v>
      </c>
      <c r="FE113" s="7">
        <v>0</v>
      </c>
      <c r="FF113" s="7">
        <v>0</v>
      </c>
      <c r="FG113" s="7">
        <v>0</v>
      </c>
      <c r="FH113" s="7">
        <v>0</v>
      </c>
      <c r="FI113" s="7">
        <v>0</v>
      </c>
      <c r="FO113" s="7">
        <f t="shared" si="176"/>
        <v>0</v>
      </c>
    </row>
    <row r="114" spans="2:171" ht="28.05" customHeight="1" x14ac:dyDescent="0.3">
      <c r="B114" s="6" t="s">
        <v>50</v>
      </c>
      <c r="C114" s="7">
        <v>0</v>
      </c>
      <c r="D114" s="7">
        <v>0</v>
      </c>
      <c r="E114" s="7">
        <v>0</v>
      </c>
      <c r="F114" s="7">
        <v>0</v>
      </c>
      <c r="G114" s="7">
        <v>0</v>
      </c>
      <c r="H114" s="7">
        <v>0</v>
      </c>
      <c r="I114" s="7">
        <v>0</v>
      </c>
      <c r="J114" s="7">
        <v>0</v>
      </c>
      <c r="K114" s="7">
        <v>0</v>
      </c>
      <c r="L114" s="7">
        <v>0</v>
      </c>
      <c r="M114" s="7">
        <v>0</v>
      </c>
      <c r="N114" s="7">
        <v>0</v>
      </c>
      <c r="O114" s="7">
        <f t="shared" si="164"/>
        <v>0</v>
      </c>
      <c r="P114" s="7">
        <v>0</v>
      </c>
      <c r="Q114" s="7">
        <v>0</v>
      </c>
      <c r="R114" s="7">
        <v>0</v>
      </c>
      <c r="S114" s="7">
        <v>0</v>
      </c>
      <c r="T114" s="7">
        <v>0</v>
      </c>
      <c r="U114" s="7">
        <v>0</v>
      </c>
      <c r="V114" s="7">
        <v>0</v>
      </c>
      <c r="W114" s="7">
        <v>0</v>
      </c>
      <c r="X114" s="7">
        <v>0</v>
      </c>
      <c r="Y114" s="7">
        <v>0</v>
      </c>
      <c r="Z114" s="7">
        <v>0</v>
      </c>
      <c r="AA114" s="7">
        <v>0</v>
      </c>
      <c r="AB114" s="7">
        <f t="shared" si="165"/>
        <v>0</v>
      </c>
      <c r="AC114" s="7">
        <v>0</v>
      </c>
      <c r="AD114" s="7">
        <v>0</v>
      </c>
      <c r="AE114" s="7">
        <v>0</v>
      </c>
      <c r="AF114" s="7">
        <v>0</v>
      </c>
      <c r="AG114" s="7">
        <v>0</v>
      </c>
      <c r="AH114" s="7">
        <v>0</v>
      </c>
      <c r="AI114" s="7">
        <v>0</v>
      </c>
      <c r="AJ114" s="7">
        <v>0</v>
      </c>
      <c r="AK114" s="7">
        <v>0</v>
      </c>
      <c r="AL114" s="7">
        <v>0</v>
      </c>
      <c r="AM114" s="7">
        <v>0</v>
      </c>
      <c r="AN114" s="7">
        <v>0</v>
      </c>
      <c r="AO114" s="7">
        <f t="shared" si="166"/>
        <v>0</v>
      </c>
      <c r="AP114" s="7">
        <v>0</v>
      </c>
      <c r="AQ114" s="7">
        <v>0</v>
      </c>
      <c r="AR114" s="7">
        <v>0</v>
      </c>
      <c r="AS114" s="7">
        <v>0</v>
      </c>
      <c r="AT114" s="7">
        <v>0</v>
      </c>
      <c r="AU114" s="7">
        <v>0</v>
      </c>
      <c r="AV114" s="7">
        <v>0</v>
      </c>
      <c r="AW114" s="7">
        <v>0</v>
      </c>
      <c r="AX114" s="7">
        <v>0</v>
      </c>
      <c r="AY114" s="7">
        <v>0</v>
      </c>
      <c r="AZ114" s="7">
        <v>0</v>
      </c>
      <c r="BA114" s="7">
        <v>0</v>
      </c>
      <c r="BB114" s="7">
        <f t="shared" si="167"/>
        <v>0</v>
      </c>
      <c r="BC114" s="7">
        <v>0</v>
      </c>
      <c r="BD114" s="7">
        <v>0</v>
      </c>
      <c r="BE114" s="7">
        <v>0</v>
      </c>
      <c r="BF114" s="7">
        <v>0</v>
      </c>
      <c r="BG114" s="7">
        <v>0</v>
      </c>
      <c r="BH114" s="7">
        <v>0</v>
      </c>
      <c r="BI114" s="7">
        <v>0</v>
      </c>
      <c r="BJ114" s="7">
        <v>0</v>
      </c>
      <c r="BK114" s="7">
        <v>0</v>
      </c>
      <c r="BL114" s="7">
        <v>0</v>
      </c>
      <c r="BM114" s="7">
        <v>0</v>
      </c>
      <c r="BN114" s="7">
        <v>0</v>
      </c>
      <c r="BO114" s="7">
        <f t="shared" si="168"/>
        <v>0</v>
      </c>
      <c r="BP114" s="7">
        <v>0</v>
      </c>
      <c r="BQ114" s="7">
        <v>0</v>
      </c>
      <c r="BR114" s="7">
        <v>0</v>
      </c>
      <c r="BS114" s="7">
        <v>0</v>
      </c>
      <c r="BT114" s="7">
        <v>0</v>
      </c>
      <c r="BU114" s="7">
        <v>0</v>
      </c>
      <c r="BV114" s="7">
        <v>0</v>
      </c>
      <c r="BW114" s="7">
        <v>0</v>
      </c>
      <c r="BX114" s="7">
        <v>0</v>
      </c>
      <c r="BY114" s="7">
        <v>0</v>
      </c>
      <c r="BZ114" s="7">
        <v>0</v>
      </c>
      <c r="CA114" s="7">
        <v>0</v>
      </c>
      <c r="CB114" s="7">
        <f t="shared" si="169"/>
        <v>0</v>
      </c>
      <c r="CC114" s="7">
        <v>0</v>
      </c>
      <c r="CD114" s="7">
        <v>0</v>
      </c>
      <c r="CE114" s="7">
        <v>0</v>
      </c>
      <c r="CF114" s="7">
        <v>0</v>
      </c>
      <c r="CG114" s="7">
        <v>0</v>
      </c>
      <c r="CH114" s="7">
        <v>0</v>
      </c>
      <c r="CI114" s="7">
        <v>0</v>
      </c>
      <c r="CJ114" s="7">
        <v>0</v>
      </c>
      <c r="CK114" s="7">
        <v>0</v>
      </c>
      <c r="CL114" s="7">
        <v>0</v>
      </c>
      <c r="CM114" s="7">
        <v>0</v>
      </c>
      <c r="CN114" s="7">
        <v>0</v>
      </c>
      <c r="CO114" s="7">
        <f t="shared" si="170"/>
        <v>0</v>
      </c>
      <c r="CP114" s="7">
        <v>0</v>
      </c>
      <c r="CQ114" s="7">
        <v>0</v>
      </c>
      <c r="CR114" s="7">
        <v>0</v>
      </c>
      <c r="CS114" s="7">
        <v>0</v>
      </c>
      <c r="CT114" s="7">
        <v>0</v>
      </c>
      <c r="CU114" s="7">
        <v>0</v>
      </c>
      <c r="CV114" s="7">
        <v>0</v>
      </c>
      <c r="CW114" s="7">
        <v>0</v>
      </c>
      <c r="CX114" s="7">
        <v>0</v>
      </c>
      <c r="CY114" s="7">
        <v>0</v>
      </c>
      <c r="CZ114" s="7">
        <v>0</v>
      </c>
      <c r="DA114" s="7">
        <v>0</v>
      </c>
      <c r="DB114" s="7">
        <f t="shared" si="171"/>
        <v>0</v>
      </c>
      <c r="DC114" s="7">
        <v>0</v>
      </c>
      <c r="DD114" s="7">
        <v>0</v>
      </c>
      <c r="DE114" s="7">
        <v>0</v>
      </c>
      <c r="DF114" s="7">
        <v>0</v>
      </c>
      <c r="DG114" s="7">
        <v>0</v>
      </c>
      <c r="DH114" s="7">
        <v>0</v>
      </c>
      <c r="DI114" s="7">
        <v>0</v>
      </c>
      <c r="DJ114" s="7">
        <v>0</v>
      </c>
      <c r="DK114" s="7">
        <v>0</v>
      </c>
      <c r="DL114" s="7">
        <v>0</v>
      </c>
      <c r="DM114" s="7">
        <v>0</v>
      </c>
      <c r="DN114" s="7">
        <v>0</v>
      </c>
      <c r="DO114" s="7">
        <f t="shared" si="172"/>
        <v>0</v>
      </c>
      <c r="DP114" s="7">
        <v>0</v>
      </c>
      <c r="DQ114" s="7">
        <v>0</v>
      </c>
      <c r="DR114" s="7">
        <v>0</v>
      </c>
      <c r="DS114" s="7">
        <v>0</v>
      </c>
      <c r="DT114" s="7">
        <v>0</v>
      </c>
      <c r="DU114" s="7">
        <v>0</v>
      </c>
      <c r="DV114" s="7">
        <v>0</v>
      </c>
      <c r="DW114" s="7">
        <v>0</v>
      </c>
      <c r="DX114" s="7">
        <v>0</v>
      </c>
      <c r="DY114" s="7">
        <v>0</v>
      </c>
      <c r="DZ114" s="7">
        <v>0</v>
      </c>
      <c r="EA114" s="7">
        <v>0</v>
      </c>
      <c r="EB114" s="7">
        <f t="shared" si="173"/>
        <v>0</v>
      </c>
      <c r="EC114" s="7">
        <v>0</v>
      </c>
      <c r="ED114" s="7">
        <v>0</v>
      </c>
      <c r="EE114" s="7">
        <v>0</v>
      </c>
      <c r="EF114" s="7">
        <v>0</v>
      </c>
      <c r="EG114" s="7">
        <v>0</v>
      </c>
      <c r="EH114" s="7">
        <v>0</v>
      </c>
      <c r="EI114" s="7">
        <v>0</v>
      </c>
      <c r="EJ114" s="7">
        <v>0</v>
      </c>
      <c r="EK114" s="7">
        <v>0</v>
      </c>
      <c r="EL114" s="7">
        <v>0</v>
      </c>
      <c r="EM114" s="7">
        <v>0</v>
      </c>
      <c r="EN114" s="7">
        <v>0</v>
      </c>
      <c r="EO114" s="7">
        <f t="shared" si="174"/>
        <v>0</v>
      </c>
      <c r="EP114" s="7">
        <v>0</v>
      </c>
      <c r="EQ114" s="7">
        <v>0</v>
      </c>
      <c r="ER114" s="7">
        <v>0</v>
      </c>
      <c r="ES114" s="7">
        <v>0</v>
      </c>
      <c r="ET114" s="7">
        <v>0</v>
      </c>
      <c r="EU114" s="7">
        <v>0</v>
      </c>
      <c r="EV114" s="7">
        <v>0</v>
      </c>
      <c r="EW114" s="7">
        <v>0</v>
      </c>
      <c r="EX114" s="7">
        <v>0</v>
      </c>
      <c r="EY114" s="7">
        <v>0</v>
      </c>
      <c r="EZ114" s="7">
        <v>0</v>
      </c>
      <c r="FA114" s="7">
        <v>0</v>
      </c>
      <c r="FB114" s="7">
        <f t="shared" si="175"/>
        <v>0</v>
      </c>
      <c r="FC114" s="7">
        <v>0</v>
      </c>
      <c r="FD114" s="7">
        <v>0</v>
      </c>
      <c r="FE114" s="7">
        <v>0</v>
      </c>
      <c r="FF114" s="7">
        <v>0</v>
      </c>
      <c r="FG114" s="7">
        <v>0</v>
      </c>
      <c r="FH114" s="7">
        <v>0</v>
      </c>
      <c r="FI114" s="7">
        <v>0</v>
      </c>
      <c r="FO114" s="7">
        <f t="shared" si="176"/>
        <v>0</v>
      </c>
    </row>
    <row r="115" spans="2:171" ht="28.05" customHeight="1" x14ac:dyDescent="0.3">
      <c r="B115" s="6" t="s">
        <v>51</v>
      </c>
      <c r="C115" s="7">
        <v>0</v>
      </c>
      <c r="D115" s="7">
        <v>0</v>
      </c>
      <c r="E115" s="7">
        <v>0</v>
      </c>
      <c r="F115" s="7">
        <v>0</v>
      </c>
      <c r="G115" s="7">
        <v>0</v>
      </c>
      <c r="H115" s="7">
        <v>0</v>
      </c>
      <c r="I115" s="7">
        <v>0</v>
      </c>
      <c r="J115" s="7">
        <v>0</v>
      </c>
      <c r="K115" s="7">
        <v>0</v>
      </c>
      <c r="L115" s="7">
        <v>0</v>
      </c>
      <c r="M115" s="7">
        <v>0</v>
      </c>
      <c r="N115" s="7">
        <v>0</v>
      </c>
      <c r="O115" s="7">
        <f t="shared" si="164"/>
        <v>0</v>
      </c>
      <c r="P115" s="7">
        <v>0</v>
      </c>
      <c r="Q115" s="7">
        <v>0</v>
      </c>
      <c r="R115" s="7">
        <v>0</v>
      </c>
      <c r="S115" s="7">
        <v>0</v>
      </c>
      <c r="T115" s="7">
        <v>0</v>
      </c>
      <c r="U115" s="7">
        <v>0</v>
      </c>
      <c r="V115" s="7">
        <v>0</v>
      </c>
      <c r="W115" s="7">
        <v>0</v>
      </c>
      <c r="X115" s="7">
        <v>0</v>
      </c>
      <c r="Y115" s="7">
        <v>0</v>
      </c>
      <c r="Z115" s="7">
        <v>0</v>
      </c>
      <c r="AA115" s="7">
        <v>0</v>
      </c>
      <c r="AB115" s="7">
        <f t="shared" si="165"/>
        <v>0</v>
      </c>
      <c r="AC115" s="7">
        <v>0</v>
      </c>
      <c r="AD115" s="7">
        <v>0</v>
      </c>
      <c r="AE115" s="7">
        <v>0</v>
      </c>
      <c r="AF115" s="7">
        <v>0</v>
      </c>
      <c r="AG115" s="7">
        <v>0</v>
      </c>
      <c r="AH115" s="7">
        <v>0</v>
      </c>
      <c r="AI115" s="7">
        <v>0</v>
      </c>
      <c r="AJ115" s="7">
        <v>0</v>
      </c>
      <c r="AK115" s="7">
        <v>0</v>
      </c>
      <c r="AL115" s="7">
        <v>0</v>
      </c>
      <c r="AM115" s="7">
        <v>0</v>
      </c>
      <c r="AN115" s="7">
        <v>0</v>
      </c>
      <c r="AO115" s="7">
        <f t="shared" si="166"/>
        <v>0</v>
      </c>
      <c r="AP115" s="7">
        <v>0</v>
      </c>
      <c r="AQ115" s="7">
        <v>0</v>
      </c>
      <c r="AR115" s="7">
        <v>0</v>
      </c>
      <c r="AS115" s="7">
        <v>0</v>
      </c>
      <c r="AT115" s="7">
        <v>0</v>
      </c>
      <c r="AU115" s="7">
        <v>0</v>
      </c>
      <c r="AV115" s="7">
        <v>0</v>
      </c>
      <c r="AW115" s="7">
        <v>0</v>
      </c>
      <c r="AX115" s="7">
        <v>0</v>
      </c>
      <c r="AY115" s="7">
        <v>0</v>
      </c>
      <c r="AZ115" s="7">
        <v>0</v>
      </c>
      <c r="BA115" s="7">
        <v>0</v>
      </c>
      <c r="BB115" s="7">
        <f t="shared" si="167"/>
        <v>0</v>
      </c>
      <c r="BC115" s="7">
        <v>0</v>
      </c>
      <c r="BD115" s="7">
        <v>0</v>
      </c>
      <c r="BE115" s="7">
        <v>0</v>
      </c>
      <c r="BF115" s="7">
        <v>0</v>
      </c>
      <c r="BG115" s="7">
        <v>0</v>
      </c>
      <c r="BH115" s="7">
        <v>0</v>
      </c>
      <c r="BI115" s="7">
        <v>0</v>
      </c>
      <c r="BJ115" s="7">
        <v>0</v>
      </c>
      <c r="BK115" s="7">
        <v>0</v>
      </c>
      <c r="BL115" s="7">
        <v>0</v>
      </c>
      <c r="BM115" s="7">
        <v>0</v>
      </c>
      <c r="BN115" s="7">
        <v>0</v>
      </c>
      <c r="BO115" s="7">
        <f t="shared" si="168"/>
        <v>0</v>
      </c>
      <c r="BP115" s="7">
        <v>0</v>
      </c>
      <c r="BQ115" s="7">
        <v>0</v>
      </c>
      <c r="BR115" s="7">
        <v>0</v>
      </c>
      <c r="BS115" s="7">
        <v>0</v>
      </c>
      <c r="BT115" s="7">
        <v>0</v>
      </c>
      <c r="BU115" s="7">
        <v>0</v>
      </c>
      <c r="BV115" s="7">
        <v>0</v>
      </c>
      <c r="BW115" s="7">
        <v>0</v>
      </c>
      <c r="BX115" s="7">
        <v>0</v>
      </c>
      <c r="BY115" s="7">
        <v>0</v>
      </c>
      <c r="BZ115" s="7">
        <v>0</v>
      </c>
      <c r="CA115" s="7">
        <v>0</v>
      </c>
      <c r="CB115" s="7">
        <f t="shared" si="169"/>
        <v>0</v>
      </c>
      <c r="CC115" s="7">
        <v>0</v>
      </c>
      <c r="CD115" s="7">
        <v>0</v>
      </c>
      <c r="CE115" s="7">
        <v>0</v>
      </c>
      <c r="CF115" s="7">
        <v>0</v>
      </c>
      <c r="CG115" s="7">
        <v>0</v>
      </c>
      <c r="CH115" s="7">
        <v>0</v>
      </c>
      <c r="CI115" s="7">
        <v>0</v>
      </c>
      <c r="CJ115" s="7">
        <v>0</v>
      </c>
      <c r="CK115" s="7">
        <v>0</v>
      </c>
      <c r="CL115" s="7">
        <v>0</v>
      </c>
      <c r="CM115" s="7">
        <v>0</v>
      </c>
      <c r="CN115" s="7">
        <v>0</v>
      </c>
      <c r="CO115" s="7">
        <f t="shared" si="170"/>
        <v>0</v>
      </c>
      <c r="CP115" s="7">
        <v>0</v>
      </c>
      <c r="CQ115" s="7">
        <v>0</v>
      </c>
      <c r="CR115" s="7">
        <v>0</v>
      </c>
      <c r="CS115" s="7">
        <v>0</v>
      </c>
      <c r="CT115" s="7">
        <v>0</v>
      </c>
      <c r="CU115" s="7">
        <v>0</v>
      </c>
      <c r="CV115" s="7">
        <v>0</v>
      </c>
      <c r="CW115" s="7">
        <v>0</v>
      </c>
      <c r="CX115" s="7">
        <v>0</v>
      </c>
      <c r="CY115" s="7">
        <v>0</v>
      </c>
      <c r="CZ115" s="7">
        <v>0</v>
      </c>
      <c r="DA115" s="7">
        <v>0</v>
      </c>
      <c r="DB115" s="7">
        <f t="shared" si="171"/>
        <v>0</v>
      </c>
      <c r="DC115" s="7">
        <v>0</v>
      </c>
      <c r="DD115" s="7">
        <v>0</v>
      </c>
      <c r="DE115" s="7">
        <v>0</v>
      </c>
      <c r="DF115" s="7">
        <v>0</v>
      </c>
      <c r="DG115" s="7">
        <v>0</v>
      </c>
      <c r="DH115" s="7">
        <v>0</v>
      </c>
      <c r="DI115" s="7">
        <v>0</v>
      </c>
      <c r="DJ115" s="7">
        <v>0</v>
      </c>
      <c r="DK115" s="7">
        <v>0</v>
      </c>
      <c r="DL115" s="7">
        <v>0</v>
      </c>
      <c r="DM115" s="7">
        <v>0</v>
      </c>
      <c r="DN115" s="7">
        <v>0</v>
      </c>
      <c r="DO115" s="7">
        <f t="shared" si="172"/>
        <v>0</v>
      </c>
      <c r="DP115" s="7">
        <v>0</v>
      </c>
      <c r="DQ115" s="7">
        <v>0</v>
      </c>
      <c r="DR115" s="7">
        <v>0</v>
      </c>
      <c r="DS115" s="7">
        <v>0</v>
      </c>
      <c r="DT115" s="7">
        <v>0</v>
      </c>
      <c r="DU115" s="7">
        <v>0</v>
      </c>
      <c r="DV115" s="7">
        <v>0</v>
      </c>
      <c r="DW115" s="7">
        <v>0</v>
      </c>
      <c r="DX115" s="7">
        <v>0</v>
      </c>
      <c r="DY115" s="7">
        <v>0</v>
      </c>
      <c r="DZ115" s="7">
        <v>0</v>
      </c>
      <c r="EA115" s="7">
        <v>0</v>
      </c>
      <c r="EB115" s="7">
        <f t="shared" si="173"/>
        <v>0</v>
      </c>
      <c r="EC115" s="7">
        <v>0</v>
      </c>
      <c r="ED115" s="7">
        <v>0</v>
      </c>
      <c r="EE115" s="7">
        <v>0</v>
      </c>
      <c r="EF115" s="7">
        <v>0</v>
      </c>
      <c r="EG115" s="7">
        <v>0</v>
      </c>
      <c r="EH115" s="7">
        <v>0</v>
      </c>
      <c r="EI115" s="7">
        <v>0</v>
      </c>
      <c r="EJ115" s="7">
        <v>0</v>
      </c>
      <c r="EK115" s="7">
        <v>0</v>
      </c>
      <c r="EL115" s="7">
        <v>0</v>
      </c>
      <c r="EM115" s="7">
        <v>0</v>
      </c>
      <c r="EN115" s="7">
        <v>0</v>
      </c>
      <c r="EO115" s="7">
        <f t="shared" si="174"/>
        <v>0</v>
      </c>
      <c r="EP115" s="7">
        <v>0</v>
      </c>
      <c r="EQ115" s="7">
        <v>0</v>
      </c>
      <c r="ER115" s="7">
        <v>0</v>
      </c>
      <c r="ES115" s="7">
        <v>0</v>
      </c>
      <c r="ET115" s="7">
        <v>0</v>
      </c>
      <c r="EU115" s="7">
        <v>0</v>
      </c>
      <c r="EV115" s="7">
        <v>0</v>
      </c>
      <c r="EW115" s="7">
        <v>0</v>
      </c>
      <c r="EX115" s="7">
        <v>0</v>
      </c>
      <c r="EY115" s="7">
        <v>0</v>
      </c>
      <c r="EZ115" s="7">
        <v>0</v>
      </c>
      <c r="FA115" s="7">
        <v>0</v>
      </c>
      <c r="FB115" s="7">
        <f t="shared" si="175"/>
        <v>0</v>
      </c>
      <c r="FC115" s="7">
        <v>0</v>
      </c>
      <c r="FD115" s="7">
        <v>0</v>
      </c>
      <c r="FE115" s="7">
        <v>0</v>
      </c>
      <c r="FF115" s="7">
        <v>0</v>
      </c>
      <c r="FG115" s="7">
        <v>0</v>
      </c>
      <c r="FH115" s="7">
        <v>0</v>
      </c>
      <c r="FI115" s="7">
        <v>0</v>
      </c>
      <c r="FO115" s="7">
        <f t="shared" si="176"/>
        <v>0</v>
      </c>
    </row>
    <row r="116" spans="2:171" ht="22.05" customHeight="1" x14ac:dyDescent="0.3">
      <c r="B116" s="4" t="s">
        <v>104</v>
      </c>
      <c r="C116" s="8">
        <f t="shared" ref="C116:AH116" si="177">SUM(C110:C115)</f>
        <v>0</v>
      </c>
      <c r="D116" s="8">
        <f t="shared" si="177"/>
        <v>0</v>
      </c>
      <c r="E116" s="8">
        <f t="shared" si="177"/>
        <v>0</v>
      </c>
      <c r="F116" s="8">
        <f t="shared" si="177"/>
        <v>0</v>
      </c>
      <c r="G116" s="8">
        <f t="shared" si="177"/>
        <v>0</v>
      </c>
      <c r="H116" s="8">
        <f t="shared" si="177"/>
        <v>0</v>
      </c>
      <c r="I116" s="8">
        <f t="shared" si="177"/>
        <v>0</v>
      </c>
      <c r="J116" s="8">
        <f t="shared" si="177"/>
        <v>0</v>
      </c>
      <c r="K116" s="8">
        <f t="shared" si="177"/>
        <v>0</v>
      </c>
      <c r="L116" s="8">
        <f t="shared" si="177"/>
        <v>0</v>
      </c>
      <c r="M116" s="8">
        <f t="shared" si="177"/>
        <v>0</v>
      </c>
      <c r="N116" s="8">
        <f t="shared" si="177"/>
        <v>0</v>
      </c>
      <c r="O116" s="8">
        <f t="shared" si="177"/>
        <v>0</v>
      </c>
      <c r="P116" s="8">
        <f t="shared" si="177"/>
        <v>0</v>
      </c>
      <c r="Q116" s="8">
        <f t="shared" si="177"/>
        <v>0</v>
      </c>
      <c r="R116" s="8">
        <f t="shared" si="177"/>
        <v>0</v>
      </c>
      <c r="S116" s="8">
        <f t="shared" si="177"/>
        <v>0</v>
      </c>
      <c r="T116" s="8">
        <f t="shared" si="177"/>
        <v>0</v>
      </c>
      <c r="U116" s="8">
        <f t="shared" si="177"/>
        <v>0</v>
      </c>
      <c r="V116" s="8">
        <f t="shared" si="177"/>
        <v>0</v>
      </c>
      <c r="W116" s="8">
        <f t="shared" si="177"/>
        <v>0</v>
      </c>
      <c r="X116" s="8">
        <f t="shared" si="177"/>
        <v>0</v>
      </c>
      <c r="Y116" s="8">
        <f t="shared" si="177"/>
        <v>0</v>
      </c>
      <c r="Z116" s="8">
        <f t="shared" si="177"/>
        <v>0</v>
      </c>
      <c r="AA116" s="8">
        <f t="shared" si="177"/>
        <v>0</v>
      </c>
      <c r="AB116" s="8">
        <f t="shared" si="177"/>
        <v>0</v>
      </c>
      <c r="AC116" s="8">
        <f t="shared" si="177"/>
        <v>0</v>
      </c>
      <c r="AD116" s="8">
        <f t="shared" si="177"/>
        <v>0</v>
      </c>
      <c r="AE116" s="8">
        <f t="shared" si="177"/>
        <v>0</v>
      </c>
      <c r="AF116" s="8">
        <f t="shared" si="177"/>
        <v>0</v>
      </c>
      <c r="AG116" s="8">
        <f t="shared" si="177"/>
        <v>0</v>
      </c>
      <c r="AH116" s="8">
        <f t="shared" si="177"/>
        <v>0</v>
      </c>
      <c r="AI116" s="8">
        <f t="shared" ref="AI116:BN116" si="178">SUM(AI110:AI115)</f>
        <v>0</v>
      </c>
      <c r="AJ116" s="8">
        <f t="shared" si="178"/>
        <v>0</v>
      </c>
      <c r="AK116" s="8">
        <f t="shared" si="178"/>
        <v>0</v>
      </c>
      <c r="AL116" s="8">
        <f t="shared" si="178"/>
        <v>0</v>
      </c>
      <c r="AM116" s="8">
        <f t="shared" si="178"/>
        <v>0</v>
      </c>
      <c r="AN116" s="8">
        <f t="shared" si="178"/>
        <v>0</v>
      </c>
      <c r="AO116" s="8">
        <f t="shared" si="178"/>
        <v>0</v>
      </c>
      <c r="AP116" s="8">
        <f t="shared" si="178"/>
        <v>0</v>
      </c>
      <c r="AQ116" s="8">
        <f t="shared" si="178"/>
        <v>0</v>
      </c>
      <c r="AR116" s="8">
        <f t="shared" si="178"/>
        <v>0</v>
      </c>
      <c r="AS116" s="8">
        <f t="shared" si="178"/>
        <v>0</v>
      </c>
      <c r="AT116" s="8">
        <f t="shared" si="178"/>
        <v>0</v>
      </c>
      <c r="AU116" s="8">
        <f t="shared" si="178"/>
        <v>0</v>
      </c>
      <c r="AV116" s="8">
        <f t="shared" si="178"/>
        <v>0</v>
      </c>
      <c r="AW116" s="8">
        <f t="shared" si="178"/>
        <v>0</v>
      </c>
      <c r="AX116" s="8">
        <f t="shared" si="178"/>
        <v>0</v>
      </c>
      <c r="AY116" s="8">
        <f t="shared" si="178"/>
        <v>0</v>
      </c>
      <c r="AZ116" s="8">
        <f t="shared" si="178"/>
        <v>0</v>
      </c>
      <c r="BA116" s="8">
        <f t="shared" si="178"/>
        <v>0</v>
      </c>
      <c r="BB116" s="8">
        <f t="shared" si="178"/>
        <v>0</v>
      </c>
      <c r="BC116" s="8">
        <f t="shared" si="178"/>
        <v>0</v>
      </c>
      <c r="BD116" s="8">
        <f t="shared" si="178"/>
        <v>0</v>
      </c>
      <c r="BE116" s="8">
        <f t="shared" si="178"/>
        <v>0</v>
      </c>
      <c r="BF116" s="8">
        <f t="shared" si="178"/>
        <v>0</v>
      </c>
      <c r="BG116" s="8">
        <f t="shared" si="178"/>
        <v>0</v>
      </c>
      <c r="BH116" s="8">
        <f t="shared" si="178"/>
        <v>0</v>
      </c>
      <c r="BI116" s="8">
        <f t="shared" si="178"/>
        <v>0</v>
      </c>
      <c r="BJ116" s="8">
        <f t="shared" si="178"/>
        <v>0</v>
      </c>
      <c r="BK116" s="8">
        <f t="shared" si="178"/>
        <v>0</v>
      </c>
      <c r="BL116" s="8">
        <f t="shared" si="178"/>
        <v>0</v>
      </c>
      <c r="BM116" s="8">
        <f t="shared" si="178"/>
        <v>0</v>
      </c>
      <c r="BN116" s="8">
        <f t="shared" si="178"/>
        <v>0</v>
      </c>
      <c r="BO116" s="8">
        <f t="shared" ref="BO116:CT116" si="179">SUM(BO110:BO115)</f>
        <v>0</v>
      </c>
      <c r="BP116" s="8">
        <f t="shared" si="179"/>
        <v>0</v>
      </c>
      <c r="BQ116" s="8">
        <f t="shared" si="179"/>
        <v>0</v>
      </c>
      <c r="BR116" s="8">
        <f t="shared" si="179"/>
        <v>0</v>
      </c>
      <c r="BS116" s="8">
        <f t="shared" si="179"/>
        <v>0</v>
      </c>
      <c r="BT116" s="8">
        <f t="shared" si="179"/>
        <v>0</v>
      </c>
      <c r="BU116" s="8">
        <f t="shared" si="179"/>
        <v>0</v>
      </c>
      <c r="BV116" s="8">
        <f t="shared" si="179"/>
        <v>0</v>
      </c>
      <c r="BW116" s="8">
        <f t="shared" si="179"/>
        <v>0</v>
      </c>
      <c r="BX116" s="8">
        <f t="shared" si="179"/>
        <v>0</v>
      </c>
      <c r="BY116" s="8">
        <f t="shared" si="179"/>
        <v>0</v>
      </c>
      <c r="BZ116" s="8">
        <f t="shared" si="179"/>
        <v>0</v>
      </c>
      <c r="CA116" s="8">
        <f t="shared" si="179"/>
        <v>0</v>
      </c>
      <c r="CB116" s="8">
        <f t="shared" si="179"/>
        <v>0</v>
      </c>
      <c r="CC116" s="8">
        <f t="shared" si="179"/>
        <v>0</v>
      </c>
      <c r="CD116" s="8">
        <f t="shared" si="179"/>
        <v>0</v>
      </c>
      <c r="CE116" s="8">
        <f t="shared" si="179"/>
        <v>0</v>
      </c>
      <c r="CF116" s="8">
        <f t="shared" si="179"/>
        <v>0</v>
      </c>
      <c r="CG116" s="8">
        <f t="shared" si="179"/>
        <v>0</v>
      </c>
      <c r="CH116" s="8">
        <f t="shared" si="179"/>
        <v>0</v>
      </c>
      <c r="CI116" s="8">
        <f t="shared" si="179"/>
        <v>0</v>
      </c>
      <c r="CJ116" s="8">
        <f t="shared" si="179"/>
        <v>0</v>
      </c>
      <c r="CK116" s="8">
        <f t="shared" si="179"/>
        <v>0</v>
      </c>
      <c r="CL116" s="8">
        <f t="shared" si="179"/>
        <v>0</v>
      </c>
      <c r="CM116" s="8">
        <f t="shared" si="179"/>
        <v>0</v>
      </c>
      <c r="CN116" s="8">
        <f t="shared" si="179"/>
        <v>0</v>
      </c>
      <c r="CO116" s="8">
        <f t="shared" si="179"/>
        <v>0</v>
      </c>
      <c r="CP116" s="8">
        <f t="shared" si="179"/>
        <v>0</v>
      </c>
      <c r="CQ116" s="8">
        <f t="shared" si="179"/>
        <v>0</v>
      </c>
      <c r="CR116" s="8">
        <f t="shared" si="179"/>
        <v>0</v>
      </c>
      <c r="CS116" s="8">
        <f t="shared" si="179"/>
        <v>0</v>
      </c>
      <c r="CT116" s="8">
        <f t="shared" si="179"/>
        <v>0</v>
      </c>
      <c r="CU116" s="8">
        <f t="shared" ref="CU116:DZ116" si="180">SUM(CU110:CU115)</f>
        <v>0</v>
      </c>
      <c r="CV116" s="8">
        <f t="shared" si="180"/>
        <v>0</v>
      </c>
      <c r="CW116" s="8">
        <f t="shared" si="180"/>
        <v>0</v>
      </c>
      <c r="CX116" s="8">
        <f t="shared" si="180"/>
        <v>0</v>
      </c>
      <c r="CY116" s="8">
        <f t="shared" si="180"/>
        <v>0</v>
      </c>
      <c r="CZ116" s="8">
        <f t="shared" si="180"/>
        <v>0</v>
      </c>
      <c r="DA116" s="8">
        <f t="shared" si="180"/>
        <v>0</v>
      </c>
      <c r="DB116" s="8">
        <f t="shared" si="180"/>
        <v>0</v>
      </c>
      <c r="DC116" s="8">
        <f t="shared" si="180"/>
        <v>0</v>
      </c>
      <c r="DD116" s="8">
        <f t="shared" si="180"/>
        <v>0</v>
      </c>
      <c r="DE116" s="8">
        <f t="shared" si="180"/>
        <v>0</v>
      </c>
      <c r="DF116" s="8">
        <f t="shared" si="180"/>
        <v>0</v>
      </c>
      <c r="DG116" s="8">
        <f t="shared" si="180"/>
        <v>0</v>
      </c>
      <c r="DH116" s="8">
        <f t="shared" si="180"/>
        <v>0</v>
      </c>
      <c r="DI116" s="8">
        <f t="shared" si="180"/>
        <v>0</v>
      </c>
      <c r="DJ116" s="8">
        <f t="shared" si="180"/>
        <v>0</v>
      </c>
      <c r="DK116" s="8">
        <f t="shared" si="180"/>
        <v>0</v>
      </c>
      <c r="DL116" s="8">
        <f t="shared" si="180"/>
        <v>0</v>
      </c>
      <c r="DM116" s="8">
        <f t="shared" si="180"/>
        <v>0</v>
      </c>
      <c r="DN116" s="8">
        <f t="shared" si="180"/>
        <v>0</v>
      </c>
      <c r="DO116" s="8">
        <f t="shared" si="180"/>
        <v>0</v>
      </c>
      <c r="DP116" s="8">
        <f t="shared" si="180"/>
        <v>0</v>
      </c>
      <c r="DQ116" s="8">
        <f t="shared" si="180"/>
        <v>0</v>
      </c>
      <c r="DR116" s="8">
        <f t="shared" si="180"/>
        <v>0</v>
      </c>
      <c r="DS116" s="8">
        <f t="shared" si="180"/>
        <v>0</v>
      </c>
      <c r="DT116" s="8">
        <f t="shared" si="180"/>
        <v>0</v>
      </c>
      <c r="DU116" s="8">
        <f t="shared" si="180"/>
        <v>0</v>
      </c>
      <c r="DV116" s="8">
        <f t="shared" si="180"/>
        <v>1050</v>
      </c>
      <c r="DW116" s="8">
        <f t="shared" si="180"/>
        <v>1050</v>
      </c>
      <c r="DX116" s="8">
        <f t="shared" si="180"/>
        <v>37795</v>
      </c>
      <c r="DY116" s="8">
        <f t="shared" si="180"/>
        <v>169483</v>
      </c>
      <c r="DZ116" s="8">
        <f t="shared" si="180"/>
        <v>843033</v>
      </c>
      <c r="EA116" s="8">
        <f t="shared" ref="EA116:FF116" si="181">SUM(EA110:EA115)</f>
        <v>3861859</v>
      </c>
      <c r="EB116" s="8">
        <f t="shared" si="181"/>
        <v>3861859</v>
      </c>
      <c r="EC116" s="8">
        <f t="shared" si="181"/>
        <v>0</v>
      </c>
      <c r="ED116" s="8">
        <f t="shared" si="181"/>
        <v>0</v>
      </c>
      <c r="EE116" s="8">
        <f t="shared" si="181"/>
        <v>0</v>
      </c>
      <c r="EF116" s="8">
        <f t="shared" si="181"/>
        <v>0</v>
      </c>
      <c r="EG116" s="8">
        <f t="shared" si="181"/>
        <v>0</v>
      </c>
      <c r="EH116" s="8">
        <f t="shared" si="181"/>
        <v>0</v>
      </c>
      <c r="EI116" s="8">
        <f t="shared" si="181"/>
        <v>0</v>
      </c>
      <c r="EJ116" s="8">
        <f t="shared" si="181"/>
        <v>0</v>
      </c>
      <c r="EK116" s="8">
        <f t="shared" si="181"/>
        <v>0</v>
      </c>
      <c r="EL116" s="8">
        <f t="shared" si="181"/>
        <v>0</v>
      </c>
      <c r="EM116" s="8">
        <f t="shared" si="181"/>
        <v>0</v>
      </c>
      <c r="EN116" s="8">
        <f t="shared" si="181"/>
        <v>0</v>
      </c>
      <c r="EO116" s="8">
        <f t="shared" si="181"/>
        <v>0</v>
      </c>
      <c r="EP116" s="8">
        <f t="shared" si="181"/>
        <v>0</v>
      </c>
      <c r="EQ116" s="8">
        <f t="shared" si="181"/>
        <v>0</v>
      </c>
      <c r="ER116" s="8">
        <f t="shared" si="181"/>
        <v>0</v>
      </c>
      <c r="ES116" s="8">
        <f t="shared" si="181"/>
        <v>0</v>
      </c>
      <c r="ET116" s="8">
        <f t="shared" si="181"/>
        <v>0</v>
      </c>
      <c r="EU116" s="8">
        <f t="shared" si="181"/>
        <v>0</v>
      </c>
      <c r="EV116" s="8">
        <f t="shared" si="181"/>
        <v>0</v>
      </c>
      <c r="EW116" s="8">
        <f t="shared" si="181"/>
        <v>0</v>
      </c>
      <c r="EX116" s="8">
        <f t="shared" si="181"/>
        <v>0</v>
      </c>
      <c r="EY116" s="8">
        <f t="shared" si="181"/>
        <v>0</v>
      </c>
      <c r="EZ116" s="8">
        <f t="shared" si="181"/>
        <v>0</v>
      </c>
      <c r="FA116" s="8">
        <f t="shared" si="181"/>
        <v>0</v>
      </c>
      <c r="FB116" s="8">
        <f t="shared" si="181"/>
        <v>0</v>
      </c>
      <c r="FC116" s="8">
        <f t="shared" si="181"/>
        <v>0</v>
      </c>
      <c r="FD116" s="8">
        <f t="shared" si="181"/>
        <v>0</v>
      </c>
      <c r="FE116" s="8">
        <f t="shared" si="181"/>
        <v>0</v>
      </c>
      <c r="FF116" s="8">
        <f t="shared" si="181"/>
        <v>0</v>
      </c>
      <c r="FG116" s="8">
        <f t="shared" ref="FG116:GL116" si="182">SUM(FG110:FG115)</f>
        <v>0</v>
      </c>
      <c r="FH116" s="8">
        <f t="shared" si="182"/>
        <v>0</v>
      </c>
      <c r="FI116" s="8">
        <f t="shared" si="182"/>
        <v>0</v>
      </c>
      <c r="FJ116" s="8">
        <f t="shared" si="182"/>
        <v>0</v>
      </c>
      <c r="FK116" s="8">
        <f t="shared" si="182"/>
        <v>0</v>
      </c>
      <c r="FL116" s="8">
        <f t="shared" si="182"/>
        <v>0</v>
      </c>
      <c r="FM116" s="8">
        <f t="shared" si="182"/>
        <v>0</v>
      </c>
      <c r="FN116" s="8">
        <f t="shared" si="182"/>
        <v>0</v>
      </c>
      <c r="FO116" s="8">
        <f t="shared" si="182"/>
        <v>0</v>
      </c>
    </row>
    <row r="117" spans="2:171" x14ac:dyDescent="0.3">
      <c r="B117" s="2" t="s">
        <v>117</v>
      </c>
    </row>
    <row r="121" spans="2:171" x14ac:dyDescent="0.3">
      <c r="B121" s="2" t="s">
        <v>120</v>
      </c>
    </row>
    <row r="122" spans="2:171" x14ac:dyDescent="0.3">
      <c r="B122" s="2" t="s">
        <v>121</v>
      </c>
    </row>
    <row r="123" spans="2:171" x14ac:dyDescent="0.3">
      <c r="B123" s="2" t="s">
        <v>122</v>
      </c>
    </row>
    <row r="124" spans="2:171" x14ac:dyDescent="0.3">
      <c r="B124" s="2" t="s">
        <v>123</v>
      </c>
    </row>
    <row r="125" spans="2:171" x14ac:dyDescent="0.3">
      <c r="B125" s="2" t="s">
        <v>124</v>
      </c>
    </row>
    <row r="126" spans="2:171" x14ac:dyDescent="0.3">
      <c r="B126" s="2" t="s">
        <v>125</v>
      </c>
    </row>
    <row r="127" spans="2:171" x14ac:dyDescent="0.3">
      <c r="B127" s="2" t="s">
        <v>126</v>
      </c>
    </row>
    <row r="128" spans="2:171" x14ac:dyDescent="0.3">
      <c r="B128" s="2" t="s">
        <v>127</v>
      </c>
    </row>
    <row r="129" spans="2:2" x14ac:dyDescent="0.3">
      <c r="B129" s="2" t="s">
        <v>128</v>
      </c>
    </row>
    <row r="130" spans="2:2" x14ac:dyDescent="0.3">
      <c r="B130" s="2" t="s">
        <v>129</v>
      </c>
    </row>
    <row r="156" spans="2:171" x14ac:dyDescent="0.3">
      <c r="B156" t="str">
        <f t="shared" ref="B156:B161" si="183">+B8</f>
        <v>Dirección de Vialidad</v>
      </c>
      <c r="C156" s="9">
        <f t="shared" ref="C156:AH156" si="184">+C8+C47+C86</f>
        <v>809860476</v>
      </c>
      <c r="D156" s="9">
        <f t="shared" si="184"/>
        <v>809860476</v>
      </c>
      <c r="E156" s="9">
        <f t="shared" si="184"/>
        <v>809860476</v>
      </c>
      <c r="F156" s="9">
        <f t="shared" si="184"/>
        <v>809860476</v>
      </c>
      <c r="G156" s="9">
        <f t="shared" si="184"/>
        <v>809860476</v>
      </c>
      <c r="H156" s="9">
        <f t="shared" si="184"/>
        <v>809860476</v>
      </c>
      <c r="I156" s="9">
        <f t="shared" si="184"/>
        <v>809860476</v>
      </c>
      <c r="J156" s="9">
        <f t="shared" si="184"/>
        <v>809860476</v>
      </c>
      <c r="K156" s="9">
        <f t="shared" si="184"/>
        <v>809860476</v>
      </c>
      <c r="L156" s="9">
        <f t="shared" si="184"/>
        <v>809860476</v>
      </c>
      <c r="M156" s="9">
        <f t="shared" si="184"/>
        <v>809860476</v>
      </c>
      <c r="N156" s="9">
        <f t="shared" si="184"/>
        <v>809860476</v>
      </c>
      <c r="O156" s="9">
        <f t="shared" si="184"/>
        <v>809860476</v>
      </c>
      <c r="P156" s="9">
        <f t="shared" si="184"/>
        <v>959160686</v>
      </c>
      <c r="Q156" s="9">
        <f t="shared" si="184"/>
        <v>959160686</v>
      </c>
      <c r="R156" s="9">
        <f t="shared" si="184"/>
        <v>959160686</v>
      </c>
      <c r="S156" s="9">
        <f t="shared" si="184"/>
        <v>959160686</v>
      </c>
      <c r="T156" s="9">
        <f t="shared" si="184"/>
        <v>959160686</v>
      </c>
      <c r="U156" s="9">
        <f t="shared" si="184"/>
        <v>959160686</v>
      </c>
      <c r="V156" s="9">
        <f t="shared" si="184"/>
        <v>959160686</v>
      </c>
      <c r="W156" s="9">
        <f t="shared" si="184"/>
        <v>959160686</v>
      </c>
      <c r="X156" s="9">
        <f t="shared" si="184"/>
        <v>959160686</v>
      </c>
      <c r="Y156" s="9">
        <f t="shared" si="184"/>
        <v>959160686</v>
      </c>
      <c r="Z156" s="9">
        <f t="shared" si="184"/>
        <v>959160686</v>
      </c>
      <c r="AA156" s="9">
        <f t="shared" si="184"/>
        <v>959160686</v>
      </c>
      <c r="AB156" s="9">
        <f t="shared" si="184"/>
        <v>959160686</v>
      </c>
      <c r="AC156" s="9">
        <f t="shared" si="184"/>
        <v>938948125</v>
      </c>
      <c r="AD156" s="9">
        <f t="shared" si="184"/>
        <v>938948125</v>
      </c>
      <c r="AE156" s="9">
        <f t="shared" si="184"/>
        <v>938948125</v>
      </c>
      <c r="AF156" s="9">
        <f t="shared" si="184"/>
        <v>938948125</v>
      </c>
      <c r="AG156" s="9">
        <f t="shared" si="184"/>
        <v>938948125</v>
      </c>
      <c r="AH156" s="9">
        <f t="shared" si="184"/>
        <v>938948125</v>
      </c>
      <c r="AI156" s="9">
        <f t="shared" ref="AI156:BN156" si="185">+AI8+AI47+AI86</f>
        <v>938948125</v>
      </c>
      <c r="AJ156" s="9">
        <f t="shared" si="185"/>
        <v>938948125</v>
      </c>
      <c r="AK156" s="9">
        <f t="shared" si="185"/>
        <v>938948125</v>
      </c>
      <c r="AL156" s="9">
        <f t="shared" si="185"/>
        <v>938948125</v>
      </c>
      <c r="AM156" s="9">
        <f t="shared" si="185"/>
        <v>938948125</v>
      </c>
      <c r="AN156" s="9">
        <f t="shared" si="185"/>
        <v>938948125</v>
      </c>
      <c r="AO156" s="9">
        <f t="shared" si="185"/>
        <v>938948125</v>
      </c>
      <c r="AP156" s="9">
        <f t="shared" si="185"/>
        <v>984317826</v>
      </c>
      <c r="AQ156" s="9">
        <f t="shared" si="185"/>
        <v>984317826</v>
      </c>
      <c r="AR156" s="9">
        <f t="shared" si="185"/>
        <v>984317826</v>
      </c>
      <c r="AS156" s="9">
        <f t="shared" si="185"/>
        <v>984317826</v>
      </c>
      <c r="AT156" s="9">
        <f t="shared" si="185"/>
        <v>984317826</v>
      </c>
      <c r="AU156" s="9">
        <f t="shared" si="185"/>
        <v>984317826</v>
      </c>
      <c r="AV156" s="9">
        <f t="shared" si="185"/>
        <v>984317826</v>
      </c>
      <c r="AW156" s="9">
        <f t="shared" si="185"/>
        <v>984317826</v>
      </c>
      <c r="AX156" s="9">
        <f t="shared" si="185"/>
        <v>984317826</v>
      </c>
      <c r="AY156" s="9">
        <f t="shared" si="185"/>
        <v>984317826</v>
      </c>
      <c r="AZ156" s="9">
        <f t="shared" si="185"/>
        <v>984317826</v>
      </c>
      <c r="BA156" s="9">
        <f t="shared" si="185"/>
        <v>984317826</v>
      </c>
      <c r="BB156" s="9">
        <f t="shared" si="185"/>
        <v>984317826</v>
      </c>
      <c r="BC156" s="9">
        <f t="shared" si="185"/>
        <v>1000054140</v>
      </c>
      <c r="BD156" s="9">
        <f t="shared" si="185"/>
        <v>1000054140</v>
      </c>
      <c r="BE156" s="9">
        <f t="shared" si="185"/>
        <v>1000054140</v>
      </c>
      <c r="BF156" s="9">
        <f t="shared" si="185"/>
        <v>1000054140</v>
      </c>
      <c r="BG156" s="9">
        <f t="shared" si="185"/>
        <v>1000054140</v>
      </c>
      <c r="BH156" s="9">
        <f t="shared" si="185"/>
        <v>1000054140</v>
      </c>
      <c r="BI156" s="9">
        <f t="shared" si="185"/>
        <v>1000054140</v>
      </c>
      <c r="BJ156" s="9">
        <f t="shared" si="185"/>
        <v>1000054140</v>
      </c>
      <c r="BK156" s="9">
        <f t="shared" si="185"/>
        <v>1000054140</v>
      </c>
      <c r="BL156" s="9">
        <f t="shared" si="185"/>
        <v>1000054140</v>
      </c>
      <c r="BM156" s="9">
        <f t="shared" si="185"/>
        <v>1000054140</v>
      </c>
      <c r="BN156" s="9">
        <f t="shared" si="185"/>
        <v>1000054140</v>
      </c>
      <c r="BO156" s="9">
        <f t="shared" ref="BO156:CT156" si="186">+BO8+BO47+BO86</f>
        <v>1000054140</v>
      </c>
      <c r="BP156" s="9">
        <f t="shared" si="186"/>
        <v>1058038695</v>
      </c>
      <c r="BQ156" s="9">
        <f t="shared" si="186"/>
        <v>1058038695</v>
      </c>
      <c r="BR156" s="9">
        <f t="shared" si="186"/>
        <v>1058038695</v>
      </c>
      <c r="BS156" s="9">
        <f t="shared" si="186"/>
        <v>1058038695</v>
      </c>
      <c r="BT156" s="9">
        <f t="shared" si="186"/>
        <v>1058038695</v>
      </c>
      <c r="BU156" s="9">
        <f t="shared" si="186"/>
        <v>1058038695</v>
      </c>
      <c r="BV156" s="9">
        <f t="shared" si="186"/>
        <v>1058038695</v>
      </c>
      <c r="BW156" s="9">
        <f t="shared" si="186"/>
        <v>1058038695</v>
      </c>
      <c r="BX156" s="9">
        <f t="shared" si="186"/>
        <v>1058038695</v>
      </c>
      <c r="BY156" s="9">
        <f t="shared" si="186"/>
        <v>1058038695</v>
      </c>
      <c r="BZ156" s="9">
        <f t="shared" si="186"/>
        <v>1058038695</v>
      </c>
      <c r="CA156" s="9">
        <f t="shared" si="186"/>
        <v>1058038695</v>
      </c>
      <c r="CB156" s="9">
        <f t="shared" si="186"/>
        <v>1058038695</v>
      </c>
      <c r="CC156" s="9">
        <f t="shared" si="186"/>
        <v>1150063378</v>
      </c>
      <c r="CD156" s="9">
        <f t="shared" si="186"/>
        <v>1150063378</v>
      </c>
      <c r="CE156" s="9">
        <f t="shared" si="186"/>
        <v>1150063378</v>
      </c>
      <c r="CF156" s="9">
        <f t="shared" si="186"/>
        <v>1150063378</v>
      </c>
      <c r="CG156" s="9">
        <f t="shared" si="186"/>
        <v>1150063378</v>
      </c>
      <c r="CH156" s="9">
        <f t="shared" si="186"/>
        <v>1150063378</v>
      </c>
      <c r="CI156" s="9">
        <f t="shared" si="186"/>
        <v>1150063378</v>
      </c>
      <c r="CJ156" s="9">
        <f t="shared" si="186"/>
        <v>1150063378</v>
      </c>
      <c r="CK156" s="9">
        <f t="shared" si="186"/>
        <v>1150063378</v>
      </c>
      <c r="CL156" s="9">
        <f t="shared" si="186"/>
        <v>1150063378</v>
      </c>
      <c r="CM156" s="9">
        <f t="shared" si="186"/>
        <v>1150063378</v>
      </c>
      <c r="CN156" s="9">
        <f t="shared" si="186"/>
        <v>1150063378</v>
      </c>
      <c r="CO156" s="9">
        <f t="shared" si="186"/>
        <v>1150063378</v>
      </c>
      <c r="CP156" s="9">
        <f t="shared" si="186"/>
        <v>1607158253</v>
      </c>
      <c r="CQ156" s="9">
        <f t="shared" si="186"/>
        <v>1607158253</v>
      </c>
      <c r="CR156" s="9">
        <f t="shared" si="186"/>
        <v>1607158253</v>
      </c>
      <c r="CS156" s="9">
        <f t="shared" si="186"/>
        <v>1607158253</v>
      </c>
      <c r="CT156" s="9">
        <f t="shared" si="186"/>
        <v>1607158253</v>
      </c>
      <c r="CU156" s="9">
        <f t="shared" ref="CU156:DZ156" si="187">+CU8+CU47+CU86</f>
        <v>1607158253</v>
      </c>
      <c r="CV156" s="9">
        <f t="shared" si="187"/>
        <v>1607158253</v>
      </c>
      <c r="CW156" s="9">
        <f t="shared" si="187"/>
        <v>1607158253</v>
      </c>
      <c r="CX156" s="9">
        <f t="shared" si="187"/>
        <v>1607158253</v>
      </c>
      <c r="CY156" s="9">
        <f t="shared" si="187"/>
        <v>1607158253</v>
      </c>
      <c r="CZ156" s="9">
        <f t="shared" si="187"/>
        <v>1607158253</v>
      </c>
      <c r="DA156" s="9">
        <f t="shared" si="187"/>
        <v>1607158253</v>
      </c>
      <c r="DB156" s="9">
        <f t="shared" si="187"/>
        <v>1607158253</v>
      </c>
      <c r="DC156" s="9">
        <f t="shared" si="187"/>
        <v>1802763004</v>
      </c>
      <c r="DD156" s="9">
        <f t="shared" si="187"/>
        <v>1802763004</v>
      </c>
      <c r="DE156" s="9">
        <f t="shared" si="187"/>
        <v>1802763004</v>
      </c>
      <c r="DF156" s="9">
        <f t="shared" si="187"/>
        <v>1802763004</v>
      </c>
      <c r="DG156" s="9">
        <f t="shared" si="187"/>
        <v>1802763004</v>
      </c>
      <c r="DH156" s="9">
        <f t="shared" si="187"/>
        <v>1802763004</v>
      </c>
      <c r="DI156" s="9">
        <f t="shared" si="187"/>
        <v>1802763004</v>
      </c>
      <c r="DJ156" s="9">
        <f t="shared" si="187"/>
        <v>1802763004</v>
      </c>
      <c r="DK156" s="9">
        <f t="shared" si="187"/>
        <v>1802763004</v>
      </c>
      <c r="DL156" s="9">
        <f t="shared" si="187"/>
        <v>1802763004</v>
      </c>
      <c r="DM156" s="9">
        <f t="shared" si="187"/>
        <v>1802763004</v>
      </c>
      <c r="DN156" s="9">
        <f t="shared" si="187"/>
        <v>1802763004</v>
      </c>
      <c r="DO156" s="9">
        <f t="shared" si="187"/>
        <v>1802763004</v>
      </c>
      <c r="DP156" s="9">
        <f t="shared" si="187"/>
        <v>1935944585</v>
      </c>
      <c r="DQ156" s="9">
        <f t="shared" si="187"/>
        <v>1935944585</v>
      </c>
      <c r="DR156" s="9">
        <f t="shared" si="187"/>
        <v>1935944585</v>
      </c>
      <c r="DS156" s="9">
        <f t="shared" si="187"/>
        <v>1935944585</v>
      </c>
      <c r="DT156" s="9">
        <f t="shared" si="187"/>
        <v>1935944585</v>
      </c>
      <c r="DU156" s="9">
        <f t="shared" si="187"/>
        <v>1935944585</v>
      </c>
      <c r="DV156" s="9">
        <f t="shared" si="187"/>
        <v>1935944585</v>
      </c>
      <c r="DW156" s="9">
        <f t="shared" si="187"/>
        <v>1935944585</v>
      </c>
      <c r="DX156" s="9">
        <f t="shared" si="187"/>
        <v>1935944585</v>
      </c>
      <c r="DY156" s="9">
        <f t="shared" si="187"/>
        <v>1935944585</v>
      </c>
      <c r="DZ156" s="9">
        <f t="shared" si="187"/>
        <v>1935944585</v>
      </c>
      <c r="EA156" s="9">
        <f t="shared" ref="EA156:FF156" si="188">+EA8+EA47+EA86</f>
        <v>1935944585</v>
      </c>
      <c r="EB156" s="9">
        <f t="shared" si="188"/>
        <v>1935944585</v>
      </c>
      <c r="EC156" s="9">
        <f t="shared" si="188"/>
        <v>2013820541</v>
      </c>
      <c r="ED156" s="9">
        <f t="shared" si="188"/>
        <v>2013820541</v>
      </c>
      <c r="EE156" s="9">
        <f t="shared" si="188"/>
        <v>2013820541</v>
      </c>
      <c r="EF156" s="9">
        <f t="shared" si="188"/>
        <v>2013820541</v>
      </c>
      <c r="EG156" s="9">
        <f t="shared" si="188"/>
        <v>2013820541</v>
      </c>
      <c r="EH156" s="9">
        <f t="shared" si="188"/>
        <v>2013820541</v>
      </c>
      <c r="EI156" s="9">
        <f t="shared" si="188"/>
        <v>2013820541</v>
      </c>
      <c r="EJ156" s="9">
        <f t="shared" si="188"/>
        <v>2013820541</v>
      </c>
      <c r="EK156" s="9">
        <f t="shared" si="188"/>
        <v>2013820541</v>
      </c>
      <c r="EL156" s="9">
        <f t="shared" si="188"/>
        <v>2013820541</v>
      </c>
      <c r="EM156" s="9">
        <f t="shared" si="188"/>
        <v>2013820541</v>
      </c>
      <c r="EN156" s="9">
        <f t="shared" si="188"/>
        <v>2013820541</v>
      </c>
      <c r="EO156" s="9">
        <f t="shared" si="188"/>
        <v>2013820541</v>
      </c>
      <c r="EP156" s="9">
        <f t="shared" si="188"/>
        <v>2089643907</v>
      </c>
      <c r="EQ156" s="9">
        <f t="shared" si="188"/>
        <v>2089643907</v>
      </c>
      <c r="ER156" s="9">
        <f t="shared" si="188"/>
        <v>2089643907</v>
      </c>
      <c r="ES156" s="9">
        <f t="shared" si="188"/>
        <v>2089643907</v>
      </c>
      <c r="ET156" s="9">
        <f t="shared" si="188"/>
        <v>2089643907</v>
      </c>
      <c r="EU156" s="9">
        <f t="shared" si="188"/>
        <v>2089643907</v>
      </c>
      <c r="EV156" s="9">
        <f t="shared" si="188"/>
        <v>2089643907</v>
      </c>
      <c r="EW156" s="9">
        <f t="shared" si="188"/>
        <v>2089643907</v>
      </c>
      <c r="EX156" s="9">
        <f t="shared" si="188"/>
        <v>2089643907</v>
      </c>
      <c r="EY156" s="9">
        <f t="shared" si="188"/>
        <v>2089643907</v>
      </c>
      <c r="EZ156" s="9">
        <f t="shared" si="188"/>
        <v>2089643907</v>
      </c>
      <c r="FA156" s="9">
        <f t="shared" si="188"/>
        <v>2089643907</v>
      </c>
      <c r="FB156" s="9">
        <f t="shared" si="188"/>
        <v>2089643907</v>
      </c>
      <c r="FC156" s="9">
        <f t="shared" si="188"/>
        <v>1952548555</v>
      </c>
      <c r="FD156" s="9">
        <f t="shared" si="188"/>
        <v>1952548555</v>
      </c>
      <c r="FE156" s="9">
        <f t="shared" si="188"/>
        <v>1952548555</v>
      </c>
      <c r="FF156" s="9">
        <f t="shared" si="188"/>
        <v>1952548555</v>
      </c>
      <c r="FG156" s="9">
        <f t="shared" ref="FG156:FO156" si="189">+FG8+FG47+FG86</f>
        <v>1952548555</v>
      </c>
      <c r="FH156" s="9">
        <f t="shared" si="189"/>
        <v>1952548555</v>
      </c>
      <c r="FI156" s="9">
        <f t="shared" si="189"/>
        <v>1952548555</v>
      </c>
      <c r="FJ156" s="9">
        <f t="shared" si="189"/>
        <v>0</v>
      </c>
      <c r="FK156" s="9">
        <f t="shared" si="189"/>
        <v>0</v>
      </c>
      <c r="FL156" s="9">
        <f t="shared" si="189"/>
        <v>0</v>
      </c>
      <c r="FM156" s="9">
        <f t="shared" si="189"/>
        <v>0</v>
      </c>
      <c r="FN156" s="9">
        <f t="shared" si="189"/>
        <v>0</v>
      </c>
      <c r="FO156" s="9">
        <f t="shared" si="189"/>
        <v>1952548555</v>
      </c>
    </row>
    <row r="157" spans="2:171" x14ac:dyDescent="0.3">
      <c r="B157" t="str">
        <f t="shared" si="183"/>
        <v>Dirección de Obras Hidráulicas</v>
      </c>
      <c r="C157" s="9">
        <f t="shared" ref="C157:AH157" si="190">+C9+C48+C87</f>
        <v>101618456</v>
      </c>
      <c r="D157" s="9">
        <f t="shared" si="190"/>
        <v>101618456</v>
      </c>
      <c r="E157" s="9">
        <f t="shared" si="190"/>
        <v>101618456</v>
      </c>
      <c r="F157" s="9">
        <f t="shared" si="190"/>
        <v>101618456</v>
      </c>
      <c r="G157" s="9">
        <f t="shared" si="190"/>
        <v>101618456</v>
      </c>
      <c r="H157" s="9">
        <f t="shared" si="190"/>
        <v>101618456</v>
      </c>
      <c r="I157" s="9">
        <f t="shared" si="190"/>
        <v>101618456</v>
      </c>
      <c r="J157" s="9">
        <f t="shared" si="190"/>
        <v>101618456</v>
      </c>
      <c r="K157" s="9">
        <f t="shared" si="190"/>
        <v>101618456</v>
      </c>
      <c r="L157" s="9">
        <f t="shared" si="190"/>
        <v>101618456</v>
      </c>
      <c r="M157" s="9">
        <f t="shared" si="190"/>
        <v>101618456</v>
      </c>
      <c r="N157" s="9">
        <f t="shared" si="190"/>
        <v>101618456</v>
      </c>
      <c r="O157" s="9">
        <f t="shared" si="190"/>
        <v>101618456</v>
      </c>
      <c r="P157" s="9">
        <f t="shared" si="190"/>
        <v>117760449</v>
      </c>
      <c r="Q157" s="9">
        <f t="shared" si="190"/>
        <v>117760449</v>
      </c>
      <c r="R157" s="9">
        <f t="shared" si="190"/>
        <v>117760449</v>
      </c>
      <c r="S157" s="9">
        <f t="shared" si="190"/>
        <v>117760449</v>
      </c>
      <c r="T157" s="9">
        <f t="shared" si="190"/>
        <v>117760449</v>
      </c>
      <c r="U157" s="9">
        <f t="shared" si="190"/>
        <v>117760449</v>
      </c>
      <c r="V157" s="9">
        <f t="shared" si="190"/>
        <v>117760449</v>
      </c>
      <c r="W157" s="9">
        <f t="shared" si="190"/>
        <v>117760449</v>
      </c>
      <c r="X157" s="9">
        <f t="shared" si="190"/>
        <v>117760449</v>
      </c>
      <c r="Y157" s="9">
        <f t="shared" si="190"/>
        <v>117760449</v>
      </c>
      <c r="Z157" s="9">
        <f t="shared" si="190"/>
        <v>117760449</v>
      </c>
      <c r="AA157" s="9">
        <f t="shared" si="190"/>
        <v>117760449</v>
      </c>
      <c r="AB157" s="9">
        <f t="shared" si="190"/>
        <v>117760449</v>
      </c>
      <c r="AC157" s="9">
        <f t="shared" si="190"/>
        <v>127620066</v>
      </c>
      <c r="AD157" s="9">
        <f t="shared" si="190"/>
        <v>127620066</v>
      </c>
      <c r="AE157" s="9">
        <f t="shared" si="190"/>
        <v>127620066</v>
      </c>
      <c r="AF157" s="9">
        <f t="shared" si="190"/>
        <v>127620066</v>
      </c>
      <c r="AG157" s="9">
        <f t="shared" si="190"/>
        <v>127620066</v>
      </c>
      <c r="AH157" s="9">
        <f t="shared" si="190"/>
        <v>127620066</v>
      </c>
      <c r="AI157" s="9">
        <f t="shared" ref="AI157:BN157" si="191">+AI9+AI48+AI87</f>
        <v>127620066</v>
      </c>
      <c r="AJ157" s="9">
        <f t="shared" si="191"/>
        <v>127620066</v>
      </c>
      <c r="AK157" s="9">
        <f t="shared" si="191"/>
        <v>127620066</v>
      </c>
      <c r="AL157" s="9">
        <f t="shared" si="191"/>
        <v>127620066</v>
      </c>
      <c r="AM157" s="9">
        <f t="shared" si="191"/>
        <v>127620066</v>
      </c>
      <c r="AN157" s="9">
        <f t="shared" si="191"/>
        <v>127620066</v>
      </c>
      <c r="AO157" s="9">
        <f t="shared" si="191"/>
        <v>127620066</v>
      </c>
      <c r="AP157" s="9">
        <f t="shared" si="191"/>
        <v>121810337</v>
      </c>
      <c r="AQ157" s="9">
        <f t="shared" si="191"/>
        <v>121810337</v>
      </c>
      <c r="AR157" s="9">
        <f t="shared" si="191"/>
        <v>121810337</v>
      </c>
      <c r="AS157" s="9">
        <f t="shared" si="191"/>
        <v>121810337</v>
      </c>
      <c r="AT157" s="9">
        <f t="shared" si="191"/>
        <v>121810337</v>
      </c>
      <c r="AU157" s="9">
        <f t="shared" si="191"/>
        <v>121810337</v>
      </c>
      <c r="AV157" s="9">
        <f t="shared" si="191"/>
        <v>121810337</v>
      </c>
      <c r="AW157" s="9">
        <f t="shared" si="191"/>
        <v>121810337</v>
      </c>
      <c r="AX157" s="9">
        <f t="shared" si="191"/>
        <v>121810337</v>
      </c>
      <c r="AY157" s="9">
        <f t="shared" si="191"/>
        <v>121810337</v>
      </c>
      <c r="AZ157" s="9">
        <f t="shared" si="191"/>
        <v>121810337</v>
      </c>
      <c r="BA157" s="9">
        <f t="shared" si="191"/>
        <v>121810337</v>
      </c>
      <c r="BB157" s="9">
        <f t="shared" si="191"/>
        <v>121810337</v>
      </c>
      <c r="BC157" s="9">
        <f t="shared" si="191"/>
        <v>119924871</v>
      </c>
      <c r="BD157" s="9">
        <f t="shared" si="191"/>
        <v>119924871</v>
      </c>
      <c r="BE157" s="9">
        <f t="shared" si="191"/>
        <v>119924871</v>
      </c>
      <c r="BF157" s="9">
        <f t="shared" si="191"/>
        <v>119924871</v>
      </c>
      <c r="BG157" s="9">
        <f t="shared" si="191"/>
        <v>119924871</v>
      </c>
      <c r="BH157" s="9">
        <f t="shared" si="191"/>
        <v>119924871</v>
      </c>
      <c r="BI157" s="9">
        <f t="shared" si="191"/>
        <v>119924871</v>
      </c>
      <c r="BJ157" s="9">
        <f t="shared" si="191"/>
        <v>119924871</v>
      </c>
      <c r="BK157" s="9">
        <f t="shared" si="191"/>
        <v>119924871</v>
      </c>
      <c r="BL157" s="9">
        <f t="shared" si="191"/>
        <v>119924871</v>
      </c>
      <c r="BM157" s="9">
        <f t="shared" si="191"/>
        <v>119924871</v>
      </c>
      <c r="BN157" s="9">
        <f t="shared" si="191"/>
        <v>119924871</v>
      </c>
      <c r="BO157" s="9">
        <f t="shared" ref="BO157:CT157" si="192">+BO9+BO48+BO87</f>
        <v>119924871</v>
      </c>
      <c r="BP157" s="9">
        <f t="shared" si="192"/>
        <v>129298067</v>
      </c>
      <c r="BQ157" s="9">
        <f t="shared" si="192"/>
        <v>129298067</v>
      </c>
      <c r="BR157" s="9">
        <f t="shared" si="192"/>
        <v>129298067</v>
      </c>
      <c r="BS157" s="9">
        <f t="shared" si="192"/>
        <v>129298067</v>
      </c>
      <c r="BT157" s="9">
        <f t="shared" si="192"/>
        <v>129298067</v>
      </c>
      <c r="BU157" s="9">
        <f t="shared" si="192"/>
        <v>129298067</v>
      </c>
      <c r="BV157" s="9">
        <f t="shared" si="192"/>
        <v>129298067</v>
      </c>
      <c r="BW157" s="9">
        <f t="shared" si="192"/>
        <v>129298067</v>
      </c>
      <c r="BX157" s="9">
        <f t="shared" si="192"/>
        <v>129298067</v>
      </c>
      <c r="BY157" s="9">
        <f t="shared" si="192"/>
        <v>129298067</v>
      </c>
      <c r="BZ157" s="9">
        <f t="shared" si="192"/>
        <v>129298067</v>
      </c>
      <c r="CA157" s="9">
        <f t="shared" si="192"/>
        <v>129298067</v>
      </c>
      <c r="CB157" s="9">
        <f t="shared" si="192"/>
        <v>129298067</v>
      </c>
      <c r="CC157" s="9">
        <f t="shared" si="192"/>
        <v>137859738</v>
      </c>
      <c r="CD157" s="9">
        <f t="shared" si="192"/>
        <v>137859738</v>
      </c>
      <c r="CE157" s="9">
        <f t="shared" si="192"/>
        <v>137859738</v>
      </c>
      <c r="CF157" s="9">
        <f t="shared" si="192"/>
        <v>137859738</v>
      </c>
      <c r="CG157" s="9">
        <f t="shared" si="192"/>
        <v>137859738</v>
      </c>
      <c r="CH157" s="9">
        <f t="shared" si="192"/>
        <v>137859738</v>
      </c>
      <c r="CI157" s="9">
        <f t="shared" si="192"/>
        <v>137859738</v>
      </c>
      <c r="CJ157" s="9">
        <f t="shared" si="192"/>
        <v>137859738</v>
      </c>
      <c r="CK157" s="9">
        <f t="shared" si="192"/>
        <v>137859738</v>
      </c>
      <c r="CL157" s="9">
        <f t="shared" si="192"/>
        <v>137859738</v>
      </c>
      <c r="CM157" s="9">
        <f t="shared" si="192"/>
        <v>137859738</v>
      </c>
      <c r="CN157" s="9">
        <f t="shared" si="192"/>
        <v>137859738</v>
      </c>
      <c r="CO157" s="9">
        <f t="shared" si="192"/>
        <v>137859738</v>
      </c>
      <c r="CP157" s="9">
        <f t="shared" si="192"/>
        <v>241631402</v>
      </c>
      <c r="CQ157" s="9">
        <f t="shared" si="192"/>
        <v>241631402</v>
      </c>
      <c r="CR157" s="9">
        <f t="shared" si="192"/>
        <v>241631402</v>
      </c>
      <c r="CS157" s="9">
        <f t="shared" si="192"/>
        <v>241631402</v>
      </c>
      <c r="CT157" s="9">
        <f t="shared" si="192"/>
        <v>241631402</v>
      </c>
      <c r="CU157" s="9">
        <f t="shared" ref="CU157:DZ157" si="193">+CU9+CU48+CU87</f>
        <v>241631402</v>
      </c>
      <c r="CV157" s="9">
        <f t="shared" si="193"/>
        <v>241631402</v>
      </c>
      <c r="CW157" s="9">
        <f t="shared" si="193"/>
        <v>241631402</v>
      </c>
      <c r="CX157" s="9">
        <f t="shared" si="193"/>
        <v>241631402</v>
      </c>
      <c r="CY157" s="9">
        <f t="shared" si="193"/>
        <v>241631402</v>
      </c>
      <c r="CZ157" s="9">
        <f t="shared" si="193"/>
        <v>241631402</v>
      </c>
      <c r="DA157" s="9">
        <f t="shared" si="193"/>
        <v>241631402</v>
      </c>
      <c r="DB157" s="9">
        <f t="shared" si="193"/>
        <v>241631402</v>
      </c>
      <c r="DC157" s="9">
        <f t="shared" si="193"/>
        <v>277965767</v>
      </c>
      <c r="DD157" s="9">
        <f t="shared" si="193"/>
        <v>277965767</v>
      </c>
      <c r="DE157" s="9">
        <f t="shared" si="193"/>
        <v>277965767</v>
      </c>
      <c r="DF157" s="9">
        <f t="shared" si="193"/>
        <v>277965767</v>
      </c>
      <c r="DG157" s="9">
        <f t="shared" si="193"/>
        <v>277965767</v>
      </c>
      <c r="DH157" s="9">
        <f t="shared" si="193"/>
        <v>277965767</v>
      </c>
      <c r="DI157" s="9">
        <f t="shared" si="193"/>
        <v>277965767</v>
      </c>
      <c r="DJ157" s="9">
        <f t="shared" si="193"/>
        <v>277965767</v>
      </c>
      <c r="DK157" s="9">
        <f t="shared" si="193"/>
        <v>277965767</v>
      </c>
      <c r="DL157" s="9">
        <f t="shared" si="193"/>
        <v>277965767</v>
      </c>
      <c r="DM157" s="9">
        <f t="shared" si="193"/>
        <v>277965767</v>
      </c>
      <c r="DN157" s="9">
        <f t="shared" si="193"/>
        <v>277965767</v>
      </c>
      <c r="DO157" s="9">
        <f t="shared" si="193"/>
        <v>277965767</v>
      </c>
      <c r="DP157" s="9">
        <f t="shared" si="193"/>
        <v>294238891</v>
      </c>
      <c r="DQ157" s="9">
        <f t="shared" si="193"/>
        <v>294238891</v>
      </c>
      <c r="DR157" s="9">
        <f t="shared" si="193"/>
        <v>294238891</v>
      </c>
      <c r="DS157" s="9">
        <f t="shared" si="193"/>
        <v>294238891</v>
      </c>
      <c r="DT157" s="9">
        <f t="shared" si="193"/>
        <v>294238891</v>
      </c>
      <c r="DU157" s="9">
        <f t="shared" si="193"/>
        <v>294238891</v>
      </c>
      <c r="DV157" s="9">
        <f t="shared" si="193"/>
        <v>294238891</v>
      </c>
      <c r="DW157" s="9">
        <f t="shared" si="193"/>
        <v>294238891</v>
      </c>
      <c r="DX157" s="9">
        <f t="shared" si="193"/>
        <v>294238891</v>
      </c>
      <c r="DY157" s="9">
        <f t="shared" si="193"/>
        <v>294238891</v>
      </c>
      <c r="DZ157" s="9">
        <f t="shared" si="193"/>
        <v>294238891</v>
      </c>
      <c r="EA157" s="9">
        <f t="shared" ref="EA157:FF157" si="194">+EA9+EA48+EA87</f>
        <v>294238891</v>
      </c>
      <c r="EB157" s="9">
        <f t="shared" si="194"/>
        <v>294238891</v>
      </c>
      <c r="EC157" s="9">
        <f t="shared" si="194"/>
        <v>296558472</v>
      </c>
      <c r="ED157" s="9">
        <f t="shared" si="194"/>
        <v>296558472</v>
      </c>
      <c r="EE157" s="9">
        <f t="shared" si="194"/>
        <v>296558472</v>
      </c>
      <c r="EF157" s="9">
        <f t="shared" si="194"/>
        <v>296558472</v>
      </c>
      <c r="EG157" s="9">
        <f t="shared" si="194"/>
        <v>296558472</v>
      </c>
      <c r="EH157" s="9">
        <f t="shared" si="194"/>
        <v>296558472</v>
      </c>
      <c r="EI157" s="9">
        <f t="shared" si="194"/>
        <v>296558472</v>
      </c>
      <c r="EJ157" s="9">
        <f t="shared" si="194"/>
        <v>296558472</v>
      </c>
      <c r="EK157" s="9">
        <f t="shared" si="194"/>
        <v>296558472</v>
      </c>
      <c r="EL157" s="9">
        <f t="shared" si="194"/>
        <v>296558472</v>
      </c>
      <c r="EM157" s="9">
        <f t="shared" si="194"/>
        <v>296558472</v>
      </c>
      <c r="EN157" s="9">
        <f t="shared" si="194"/>
        <v>296558472</v>
      </c>
      <c r="EO157" s="9">
        <f t="shared" si="194"/>
        <v>296558472</v>
      </c>
      <c r="EP157" s="9">
        <f t="shared" si="194"/>
        <v>309355293</v>
      </c>
      <c r="EQ157" s="9">
        <f t="shared" si="194"/>
        <v>309355293</v>
      </c>
      <c r="ER157" s="9">
        <f t="shared" si="194"/>
        <v>309355293</v>
      </c>
      <c r="ES157" s="9">
        <f t="shared" si="194"/>
        <v>309355293</v>
      </c>
      <c r="ET157" s="9">
        <f t="shared" si="194"/>
        <v>309355293</v>
      </c>
      <c r="EU157" s="9">
        <f t="shared" si="194"/>
        <v>309355293</v>
      </c>
      <c r="EV157" s="9">
        <f t="shared" si="194"/>
        <v>309355293</v>
      </c>
      <c r="EW157" s="9">
        <f t="shared" si="194"/>
        <v>309355293</v>
      </c>
      <c r="EX157" s="9">
        <f t="shared" si="194"/>
        <v>309355293</v>
      </c>
      <c r="EY157" s="9">
        <f t="shared" si="194"/>
        <v>309355293</v>
      </c>
      <c r="EZ157" s="9">
        <f t="shared" si="194"/>
        <v>309355293</v>
      </c>
      <c r="FA157" s="9">
        <f t="shared" si="194"/>
        <v>309355293</v>
      </c>
      <c r="FB157" s="9">
        <f t="shared" si="194"/>
        <v>309355293</v>
      </c>
      <c r="FC157" s="9">
        <f t="shared" si="194"/>
        <v>196557188</v>
      </c>
      <c r="FD157" s="9">
        <f t="shared" si="194"/>
        <v>196557188</v>
      </c>
      <c r="FE157" s="9">
        <f t="shared" si="194"/>
        <v>196557188</v>
      </c>
      <c r="FF157" s="9">
        <f t="shared" si="194"/>
        <v>196557188</v>
      </c>
      <c r="FG157" s="9">
        <f t="shared" ref="FG157:FO157" si="195">+FG9+FG48+FG87</f>
        <v>196557188</v>
      </c>
      <c r="FH157" s="9">
        <f t="shared" si="195"/>
        <v>196557188</v>
      </c>
      <c r="FI157" s="9">
        <f t="shared" si="195"/>
        <v>196557188</v>
      </c>
      <c r="FJ157" s="9">
        <f t="shared" si="195"/>
        <v>0</v>
      </c>
      <c r="FK157" s="9">
        <f t="shared" si="195"/>
        <v>0</v>
      </c>
      <c r="FL157" s="9">
        <f t="shared" si="195"/>
        <v>0</v>
      </c>
      <c r="FM157" s="9">
        <f t="shared" si="195"/>
        <v>0</v>
      </c>
      <c r="FN157" s="9">
        <f t="shared" si="195"/>
        <v>0</v>
      </c>
      <c r="FO157" s="9">
        <f t="shared" si="195"/>
        <v>196557188</v>
      </c>
    </row>
    <row r="158" spans="2:171" x14ac:dyDescent="0.3">
      <c r="B158" t="str">
        <f t="shared" si="183"/>
        <v>Subdirección de APR</v>
      </c>
      <c r="C158" s="9">
        <f t="shared" ref="C158:AH158" si="196">+C10+C49+C88</f>
        <v>49447954</v>
      </c>
      <c r="D158" s="9">
        <f t="shared" si="196"/>
        <v>49447954</v>
      </c>
      <c r="E158" s="9">
        <f t="shared" si="196"/>
        <v>49447954</v>
      </c>
      <c r="F158" s="9">
        <f t="shared" si="196"/>
        <v>49447954</v>
      </c>
      <c r="G158" s="9">
        <f t="shared" si="196"/>
        <v>49447954</v>
      </c>
      <c r="H158" s="9">
        <f t="shared" si="196"/>
        <v>49447954</v>
      </c>
      <c r="I158" s="9">
        <f t="shared" si="196"/>
        <v>49447954</v>
      </c>
      <c r="J158" s="9">
        <f t="shared" si="196"/>
        <v>49447954</v>
      </c>
      <c r="K158" s="9">
        <f t="shared" si="196"/>
        <v>49447954</v>
      </c>
      <c r="L158" s="9">
        <f t="shared" si="196"/>
        <v>49447954</v>
      </c>
      <c r="M158" s="9">
        <f t="shared" si="196"/>
        <v>49447954</v>
      </c>
      <c r="N158" s="9">
        <f t="shared" si="196"/>
        <v>49447954</v>
      </c>
      <c r="O158" s="9">
        <f t="shared" si="196"/>
        <v>49447954</v>
      </c>
      <c r="P158" s="9">
        <f t="shared" si="196"/>
        <v>68963219</v>
      </c>
      <c r="Q158" s="9">
        <f t="shared" si="196"/>
        <v>68963219</v>
      </c>
      <c r="R158" s="9">
        <f t="shared" si="196"/>
        <v>68963219</v>
      </c>
      <c r="S158" s="9">
        <f t="shared" si="196"/>
        <v>68963219</v>
      </c>
      <c r="T158" s="9">
        <f t="shared" si="196"/>
        <v>68963219</v>
      </c>
      <c r="U158" s="9">
        <f t="shared" si="196"/>
        <v>68963219</v>
      </c>
      <c r="V158" s="9">
        <f t="shared" si="196"/>
        <v>68963219</v>
      </c>
      <c r="W158" s="9">
        <f t="shared" si="196"/>
        <v>68963219</v>
      </c>
      <c r="X158" s="9">
        <f t="shared" si="196"/>
        <v>68963219</v>
      </c>
      <c r="Y158" s="9">
        <f t="shared" si="196"/>
        <v>68963219</v>
      </c>
      <c r="Z158" s="9">
        <f t="shared" si="196"/>
        <v>68963219</v>
      </c>
      <c r="AA158" s="9">
        <f t="shared" si="196"/>
        <v>68963219</v>
      </c>
      <c r="AB158" s="9">
        <f t="shared" si="196"/>
        <v>68963219</v>
      </c>
      <c r="AC158" s="9">
        <f t="shared" si="196"/>
        <v>71565319</v>
      </c>
      <c r="AD158" s="9">
        <f t="shared" si="196"/>
        <v>71565319</v>
      </c>
      <c r="AE158" s="9">
        <f t="shared" si="196"/>
        <v>71565319</v>
      </c>
      <c r="AF158" s="9">
        <f t="shared" si="196"/>
        <v>71565319</v>
      </c>
      <c r="AG158" s="9">
        <f t="shared" si="196"/>
        <v>71565319</v>
      </c>
      <c r="AH158" s="9">
        <f t="shared" si="196"/>
        <v>71565319</v>
      </c>
      <c r="AI158" s="9">
        <f t="shared" ref="AI158:BN158" si="197">+AI10+AI49+AI88</f>
        <v>71565319</v>
      </c>
      <c r="AJ158" s="9">
        <f t="shared" si="197"/>
        <v>71565319</v>
      </c>
      <c r="AK158" s="9">
        <f t="shared" si="197"/>
        <v>71565319</v>
      </c>
      <c r="AL158" s="9">
        <f t="shared" si="197"/>
        <v>71565319</v>
      </c>
      <c r="AM158" s="9">
        <f t="shared" si="197"/>
        <v>71565319</v>
      </c>
      <c r="AN158" s="9">
        <f t="shared" si="197"/>
        <v>71565319</v>
      </c>
      <c r="AO158" s="9">
        <f t="shared" si="197"/>
        <v>71565319</v>
      </c>
      <c r="AP158" s="9">
        <f t="shared" si="197"/>
        <v>90040740</v>
      </c>
      <c r="AQ158" s="9">
        <f t="shared" si="197"/>
        <v>90040740</v>
      </c>
      <c r="AR158" s="9">
        <f t="shared" si="197"/>
        <v>90040740</v>
      </c>
      <c r="AS158" s="9">
        <f t="shared" si="197"/>
        <v>90040740</v>
      </c>
      <c r="AT158" s="9">
        <f t="shared" si="197"/>
        <v>90040740</v>
      </c>
      <c r="AU158" s="9">
        <f t="shared" si="197"/>
        <v>90040740</v>
      </c>
      <c r="AV158" s="9">
        <f t="shared" si="197"/>
        <v>90040740</v>
      </c>
      <c r="AW158" s="9">
        <f t="shared" si="197"/>
        <v>90040740</v>
      </c>
      <c r="AX158" s="9">
        <f t="shared" si="197"/>
        <v>90040740</v>
      </c>
      <c r="AY158" s="9">
        <f t="shared" si="197"/>
        <v>90040740</v>
      </c>
      <c r="AZ158" s="9">
        <f t="shared" si="197"/>
        <v>90040740</v>
      </c>
      <c r="BA158" s="9">
        <f t="shared" si="197"/>
        <v>90040740</v>
      </c>
      <c r="BB158" s="9">
        <f t="shared" si="197"/>
        <v>90040740</v>
      </c>
      <c r="BC158" s="9">
        <f t="shared" si="197"/>
        <v>103044523</v>
      </c>
      <c r="BD158" s="9">
        <f t="shared" si="197"/>
        <v>103044523</v>
      </c>
      <c r="BE158" s="9">
        <f t="shared" si="197"/>
        <v>103044523</v>
      </c>
      <c r="BF158" s="9">
        <f t="shared" si="197"/>
        <v>103044523</v>
      </c>
      <c r="BG158" s="9">
        <f t="shared" si="197"/>
        <v>103044523</v>
      </c>
      <c r="BH158" s="9">
        <f t="shared" si="197"/>
        <v>103044523</v>
      </c>
      <c r="BI158" s="9">
        <f t="shared" si="197"/>
        <v>103044523</v>
      </c>
      <c r="BJ158" s="9">
        <f t="shared" si="197"/>
        <v>103044523</v>
      </c>
      <c r="BK158" s="9">
        <f t="shared" si="197"/>
        <v>103044523</v>
      </c>
      <c r="BL158" s="9">
        <f t="shared" si="197"/>
        <v>103044523</v>
      </c>
      <c r="BM158" s="9">
        <f t="shared" si="197"/>
        <v>103044523</v>
      </c>
      <c r="BN158" s="9">
        <f t="shared" si="197"/>
        <v>103044523</v>
      </c>
      <c r="BO158" s="9">
        <f t="shared" ref="BO158:CT158" si="198">+BO10+BO49+BO88</f>
        <v>103044523</v>
      </c>
      <c r="BP158" s="9">
        <f t="shared" si="198"/>
        <v>114858205</v>
      </c>
      <c r="BQ158" s="9">
        <f t="shared" si="198"/>
        <v>114858205</v>
      </c>
      <c r="BR158" s="9">
        <f t="shared" si="198"/>
        <v>114858205</v>
      </c>
      <c r="BS158" s="9">
        <f t="shared" si="198"/>
        <v>114858205</v>
      </c>
      <c r="BT158" s="9">
        <f t="shared" si="198"/>
        <v>114858205</v>
      </c>
      <c r="BU158" s="9">
        <f t="shared" si="198"/>
        <v>114858205</v>
      </c>
      <c r="BV158" s="9">
        <f t="shared" si="198"/>
        <v>114858205</v>
      </c>
      <c r="BW158" s="9">
        <f t="shared" si="198"/>
        <v>114858205</v>
      </c>
      <c r="BX158" s="9">
        <f t="shared" si="198"/>
        <v>114858205</v>
      </c>
      <c r="BY158" s="9">
        <f t="shared" si="198"/>
        <v>114858205</v>
      </c>
      <c r="BZ158" s="9">
        <f t="shared" si="198"/>
        <v>114858205</v>
      </c>
      <c r="CA158" s="9">
        <f t="shared" si="198"/>
        <v>114858205</v>
      </c>
      <c r="CB158" s="9">
        <f t="shared" si="198"/>
        <v>114858205</v>
      </c>
      <c r="CC158" s="9">
        <f t="shared" si="198"/>
        <v>135545319</v>
      </c>
      <c r="CD158" s="9">
        <f t="shared" si="198"/>
        <v>135545319</v>
      </c>
      <c r="CE158" s="9">
        <f t="shared" si="198"/>
        <v>135545319</v>
      </c>
      <c r="CF158" s="9">
        <f t="shared" si="198"/>
        <v>135545319</v>
      </c>
      <c r="CG158" s="9">
        <f t="shared" si="198"/>
        <v>135545319</v>
      </c>
      <c r="CH158" s="9">
        <f t="shared" si="198"/>
        <v>135545319</v>
      </c>
      <c r="CI158" s="9">
        <f t="shared" si="198"/>
        <v>135545319</v>
      </c>
      <c r="CJ158" s="9">
        <f t="shared" si="198"/>
        <v>135545319</v>
      </c>
      <c r="CK158" s="9">
        <f t="shared" si="198"/>
        <v>135545319</v>
      </c>
      <c r="CL158" s="9">
        <f t="shared" si="198"/>
        <v>135545319</v>
      </c>
      <c r="CM158" s="9">
        <f t="shared" si="198"/>
        <v>135545319</v>
      </c>
      <c r="CN158" s="9">
        <f t="shared" si="198"/>
        <v>135545319</v>
      </c>
      <c r="CO158" s="9">
        <f t="shared" si="198"/>
        <v>135545319</v>
      </c>
      <c r="CP158" s="9">
        <f t="shared" si="198"/>
        <v>246752414</v>
      </c>
      <c r="CQ158" s="9">
        <f t="shared" si="198"/>
        <v>246752414</v>
      </c>
      <c r="CR158" s="9">
        <f t="shared" si="198"/>
        <v>246752414</v>
      </c>
      <c r="CS158" s="9">
        <f t="shared" si="198"/>
        <v>246752414</v>
      </c>
      <c r="CT158" s="9">
        <f t="shared" si="198"/>
        <v>246752414</v>
      </c>
      <c r="CU158" s="9">
        <f t="shared" ref="CU158:DZ158" si="199">+CU10+CU49+CU88</f>
        <v>246752414</v>
      </c>
      <c r="CV158" s="9">
        <f t="shared" si="199"/>
        <v>246752414</v>
      </c>
      <c r="CW158" s="9">
        <f t="shared" si="199"/>
        <v>246752414</v>
      </c>
      <c r="CX158" s="9">
        <f t="shared" si="199"/>
        <v>246752414</v>
      </c>
      <c r="CY158" s="9">
        <f t="shared" si="199"/>
        <v>246752414</v>
      </c>
      <c r="CZ158" s="9">
        <f t="shared" si="199"/>
        <v>246752414</v>
      </c>
      <c r="DA158" s="9">
        <f t="shared" si="199"/>
        <v>246752414</v>
      </c>
      <c r="DB158" s="9">
        <f t="shared" si="199"/>
        <v>246752414</v>
      </c>
      <c r="DC158" s="9">
        <f t="shared" si="199"/>
        <v>278803279</v>
      </c>
      <c r="DD158" s="9">
        <f t="shared" si="199"/>
        <v>278803279</v>
      </c>
      <c r="DE158" s="9">
        <f t="shared" si="199"/>
        <v>278803279</v>
      </c>
      <c r="DF158" s="9">
        <f t="shared" si="199"/>
        <v>278803279</v>
      </c>
      <c r="DG158" s="9">
        <f t="shared" si="199"/>
        <v>278803279</v>
      </c>
      <c r="DH158" s="9">
        <f t="shared" si="199"/>
        <v>278803279</v>
      </c>
      <c r="DI158" s="9">
        <f t="shared" si="199"/>
        <v>278803279</v>
      </c>
      <c r="DJ158" s="9">
        <f t="shared" si="199"/>
        <v>278803279</v>
      </c>
      <c r="DK158" s="9">
        <f t="shared" si="199"/>
        <v>278803279</v>
      </c>
      <c r="DL158" s="9">
        <f t="shared" si="199"/>
        <v>278803279</v>
      </c>
      <c r="DM158" s="9">
        <f t="shared" si="199"/>
        <v>278803279</v>
      </c>
      <c r="DN158" s="9">
        <f t="shared" si="199"/>
        <v>278803279</v>
      </c>
      <c r="DO158" s="9">
        <f t="shared" si="199"/>
        <v>278803279</v>
      </c>
      <c r="DP158" s="9">
        <f t="shared" si="199"/>
        <v>314281036</v>
      </c>
      <c r="DQ158" s="9">
        <f t="shared" si="199"/>
        <v>314281036</v>
      </c>
      <c r="DR158" s="9">
        <f t="shared" si="199"/>
        <v>314281036</v>
      </c>
      <c r="DS158" s="9">
        <f t="shared" si="199"/>
        <v>314281036</v>
      </c>
      <c r="DT158" s="9">
        <f t="shared" si="199"/>
        <v>314281036</v>
      </c>
      <c r="DU158" s="9">
        <f t="shared" si="199"/>
        <v>314281036</v>
      </c>
      <c r="DV158" s="9">
        <f t="shared" si="199"/>
        <v>314281036</v>
      </c>
      <c r="DW158" s="9">
        <f t="shared" si="199"/>
        <v>314281036</v>
      </c>
      <c r="DX158" s="9">
        <f t="shared" si="199"/>
        <v>314281036</v>
      </c>
      <c r="DY158" s="9">
        <f t="shared" si="199"/>
        <v>314281036</v>
      </c>
      <c r="DZ158" s="9">
        <f t="shared" si="199"/>
        <v>314281036</v>
      </c>
      <c r="EA158" s="9">
        <f t="shared" ref="EA158:FF158" si="200">+EA10+EA49+EA88</f>
        <v>314281036</v>
      </c>
      <c r="EB158" s="9">
        <f t="shared" si="200"/>
        <v>314281036</v>
      </c>
      <c r="EC158" s="9">
        <f t="shared" si="200"/>
        <v>316332746</v>
      </c>
      <c r="ED158" s="9">
        <f t="shared" si="200"/>
        <v>316332746</v>
      </c>
      <c r="EE158" s="9">
        <f t="shared" si="200"/>
        <v>316332746</v>
      </c>
      <c r="EF158" s="9">
        <f t="shared" si="200"/>
        <v>316332746</v>
      </c>
      <c r="EG158" s="9">
        <f t="shared" si="200"/>
        <v>316332746</v>
      </c>
      <c r="EH158" s="9">
        <f t="shared" si="200"/>
        <v>316332746</v>
      </c>
      <c r="EI158" s="9">
        <f t="shared" si="200"/>
        <v>316332746</v>
      </c>
      <c r="EJ158" s="9">
        <f t="shared" si="200"/>
        <v>316332746</v>
      </c>
      <c r="EK158" s="9">
        <f t="shared" si="200"/>
        <v>316332746</v>
      </c>
      <c r="EL158" s="9">
        <f t="shared" si="200"/>
        <v>316332746</v>
      </c>
      <c r="EM158" s="9">
        <f t="shared" si="200"/>
        <v>316332746</v>
      </c>
      <c r="EN158" s="9">
        <f t="shared" si="200"/>
        <v>316332746</v>
      </c>
      <c r="EO158" s="9">
        <f t="shared" si="200"/>
        <v>316332746</v>
      </c>
      <c r="EP158" s="9">
        <f t="shared" si="200"/>
        <v>330955857</v>
      </c>
      <c r="EQ158" s="9">
        <f t="shared" si="200"/>
        <v>330955857</v>
      </c>
      <c r="ER158" s="9">
        <f t="shared" si="200"/>
        <v>330955857</v>
      </c>
      <c r="ES158" s="9">
        <f t="shared" si="200"/>
        <v>330955857</v>
      </c>
      <c r="ET158" s="9">
        <f t="shared" si="200"/>
        <v>330955857</v>
      </c>
      <c r="EU158" s="9">
        <f t="shared" si="200"/>
        <v>330955857</v>
      </c>
      <c r="EV158" s="9">
        <f t="shared" si="200"/>
        <v>330955857</v>
      </c>
      <c r="EW158" s="9">
        <f t="shared" si="200"/>
        <v>330955857</v>
      </c>
      <c r="EX158" s="9">
        <f t="shared" si="200"/>
        <v>330955857</v>
      </c>
      <c r="EY158" s="9">
        <f t="shared" si="200"/>
        <v>330955857</v>
      </c>
      <c r="EZ158" s="9">
        <f t="shared" si="200"/>
        <v>330955857</v>
      </c>
      <c r="FA158" s="9">
        <f t="shared" si="200"/>
        <v>330955857</v>
      </c>
      <c r="FB158" s="9">
        <f t="shared" si="200"/>
        <v>330955857</v>
      </c>
      <c r="FC158" s="9">
        <f t="shared" si="200"/>
        <v>290781242</v>
      </c>
      <c r="FD158" s="9">
        <f t="shared" si="200"/>
        <v>290781242</v>
      </c>
      <c r="FE158" s="9">
        <f t="shared" si="200"/>
        <v>290781242</v>
      </c>
      <c r="FF158" s="9">
        <f t="shared" si="200"/>
        <v>290781242</v>
      </c>
      <c r="FG158" s="9">
        <f t="shared" ref="FG158:FO158" si="201">+FG10+FG49+FG88</f>
        <v>290781242</v>
      </c>
      <c r="FH158" s="9">
        <f t="shared" si="201"/>
        <v>290781242</v>
      </c>
      <c r="FI158" s="9">
        <f t="shared" si="201"/>
        <v>290781242</v>
      </c>
      <c r="FJ158" s="9">
        <f t="shared" si="201"/>
        <v>0</v>
      </c>
      <c r="FK158" s="9">
        <f t="shared" si="201"/>
        <v>0</v>
      </c>
      <c r="FL158" s="9">
        <f t="shared" si="201"/>
        <v>0</v>
      </c>
      <c r="FM158" s="9">
        <f t="shared" si="201"/>
        <v>0</v>
      </c>
      <c r="FN158" s="9">
        <f t="shared" si="201"/>
        <v>0</v>
      </c>
      <c r="FO158" s="9">
        <f t="shared" si="201"/>
        <v>290781242</v>
      </c>
    </row>
    <row r="159" spans="2:171" x14ac:dyDescent="0.3">
      <c r="B159" t="str">
        <f t="shared" si="183"/>
        <v>Dirección de Obras Portuarias</v>
      </c>
      <c r="C159" s="9">
        <f t="shared" ref="C159:AH159" si="202">+C11+C50+C89</f>
        <v>55204923</v>
      </c>
      <c r="D159" s="9">
        <f t="shared" si="202"/>
        <v>55204923</v>
      </c>
      <c r="E159" s="9">
        <f t="shared" si="202"/>
        <v>55204923</v>
      </c>
      <c r="F159" s="9">
        <f t="shared" si="202"/>
        <v>55204923</v>
      </c>
      <c r="G159" s="9">
        <f t="shared" si="202"/>
        <v>55204923</v>
      </c>
      <c r="H159" s="9">
        <f t="shared" si="202"/>
        <v>55204923</v>
      </c>
      <c r="I159" s="9">
        <f t="shared" si="202"/>
        <v>55204923</v>
      </c>
      <c r="J159" s="9">
        <f t="shared" si="202"/>
        <v>55204923</v>
      </c>
      <c r="K159" s="9">
        <f t="shared" si="202"/>
        <v>55204923</v>
      </c>
      <c r="L159" s="9">
        <f t="shared" si="202"/>
        <v>55204923</v>
      </c>
      <c r="M159" s="9">
        <f t="shared" si="202"/>
        <v>55204923</v>
      </c>
      <c r="N159" s="9">
        <f t="shared" si="202"/>
        <v>55204923</v>
      </c>
      <c r="O159" s="9">
        <f t="shared" si="202"/>
        <v>55204923</v>
      </c>
      <c r="P159" s="9">
        <f t="shared" si="202"/>
        <v>65327348</v>
      </c>
      <c r="Q159" s="9">
        <f t="shared" si="202"/>
        <v>65327348</v>
      </c>
      <c r="R159" s="9">
        <f t="shared" si="202"/>
        <v>65327348</v>
      </c>
      <c r="S159" s="9">
        <f t="shared" si="202"/>
        <v>65327348</v>
      </c>
      <c r="T159" s="9">
        <f t="shared" si="202"/>
        <v>65327348</v>
      </c>
      <c r="U159" s="9">
        <f t="shared" si="202"/>
        <v>65327348</v>
      </c>
      <c r="V159" s="9">
        <f t="shared" si="202"/>
        <v>65327348</v>
      </c>
      <c r="W159" s="9">
        <f t="shared" si="202"/>
        <v>65327348</v>
      </c>
      <c r="X159" s="9">
        <f t="shared" si="202"/>
        <v>65327348</v>
      </c>
      <c r="Y159" s="9">
        <f t="shared" si="202"/>
        <v>65327348</v>
      </c>
      <c r="Z159" s="9">
        <f t="shared" si="202"/>
        <v>65327348</v>
      </c>
      <c r="AA159" s="9">
        <f t="shared" si="202"/>
        <v>65327348</v>
      </c>
      <c r="AB159" s="9">
        <f t="shared" si="202"/>
        <v>65327348</v>
      </c>
      <c r="AC159" s="9">
        <f t="shared" si="202"/>
        <v>72135884</v>
      </c>
      <c r="AD159" s="9">
        <f t="shared" si="202"/>
        <v>72135884</v>
      </c>
      <c r="AE159" s="9">
        <f t="shared" si="202"/>
        <v>72135884</v>
      </c>
      <c r="AF159" s="9">
        <f t="shared" si="202"/>
        <v>72135884</v>
      </c>
      <c r="AG159" s="9">
        <f t="shared" si="202"/>
        <v>72135884</v>
      </c>
      <c r="AH159" s="9">
        <f t="shared" si="202"/>
        <v>72135884</v>
      </c>
      <c r="AI159" s="9">
        <f t="shared" ref="AI159:BN159" si="203">+AI11+AI50+AI89</f>
        <v>72135884</v>
      </c>
      <c r="AJ159" s="9">
        <f t="shared" si="203"/>
        <v>72135884</v>
      </c>
      <c r="AK159" s="9">
        <f t="shared" si="203"/>
        <v>72135884</v>
      </c>
      <c r="AL159" s="9">
        <f t="shared" si="203"/>
        <v>72135884</v>
      </c>
      <c r="AM159" s="9">
        <f t="shared" si="203"/>
        <v>72135884</v>
      </c>
      <c r="AN159" s="9">
        <f t="shared" si="203"/>
        <v>72135884</v>
      </c>
      <c r="AO159" s="9">
        <f t="shared" si="203"/>
        <v>72135884</v>
      </c>
      <c r="AP159" s="9">
        <f t="shared" si="203"/>
        <v>72044854</v>
      </c>
      <c r="AQ159" s="9">
        <f t="shared" si="203"/>
        <v>72044854</v>
      </c>
      <c r="AR159" s="9">
        <f t="shared" si="203"/>
        <v>72044854</v>
      </c>
      <c r="AS159" s="9">
        <f t="shared" si="203"/>
        <v>72044854</v>
      </c>
      <c r="AT159" s="9">
        <f t="shared" si="203"/>
        <v>72044854</v>
      </c>
      <c r="AU159" s="9">
        <f t="shared" si="203"/>
        <v>72044854</v>
      </c>
      <c r="AV159" s="9">
        <f t="shared" si="203"/>
        <v>72044854</v>
      </c>
      <c r="AW159" s="9">
        <f t="shared" si="203"/>
        <v>72044854</v>
      </c>
      <c r="AX159" s="9">
        <f t="shared" si="203"/>
        <v>72044854</v>
      </c>
      <c r="AY159" s="9">
        <f t="shared" si="203"/>
        <v>72044854</v>
      </c>
      <c r="AZ159" s="9">
        <f t="shared" si="203"/>
        <v>72044854</v>
      </c>
      <c r="BA159" s="9">
        <f t="shared" si="203"/>
        <v>72044854</v>
      </c>
      <c r="BB159" s="9">
        <f t="shared" si="203"/>
        <v>72044854</v>
      </c>
      <c r="BC159" s="9">
        <f t="shared" si="203"/>
        <v>71084885</v>
      </c>
      <c r="BD159" s="9">
        <f t="shared" si="203"/>
        <v>71084885</v>
      </c>
      <c r="BE159" s="9">
        <f t="shared" si="203"/>
        <v>71084885</v>
      </c>
      <c r="BF159" s="9">
        <f t="shared" si="203"/>
        <v>71084885</v>
      </c>
      <c r="BG159" s="9">
        <f t="shared" si="203"/>
        <v>71084885</v>
      </c>
      <c r="BH159" s="9">
        <f t="shared" si="203"/>
        <v>71084885</v>
      </c>
      <c r="BI159" s="9">
        <f t="shared" si="203"/>
        <v>71084885</v>
      </c>
      <c r="BJ159" s="9">
        <f t="shared" si="203"/>
        <v>71084885</v>
      </c>
      <c r="BK159" s="9">
        <f t="shared" si="203"/>
        <v>71084885</v>
      </c>
      <c r="BL159" s="9">
        <f t="shared" si="203"/>
        <v>71084885</v>
      </c>
      <c r="BM159" s="9">
        <f t="shared" si="203"/>
        <v>71084885</v>
      </c>
      <c r="BN159" s="9">
        <f t="shared" si="203"/>
        <v>71084885</v>
      </c>
      <c r="BO159" s="9">
        <f t="shared" ref="BO159:CT159" si="204">+BO11+BO50+BO89</f>
        <v>71084885</v>
      </c>
      <c r="BP159" s="9">
        <f t="shared" si="204"/>
        <v>72328846</v>
      </c>
      <c r="BQ159" s="9">
        <f t="shared" si="204"/>
        <v>72328846</v>
      </c>
      <c r="BR159" s="9">
        <f t="shared" si="204"/>
        <v>72328846</v>
      </c>
      <c r="BS159" s="9">
        <f t="shared" si="204"/>
        <v>72328846</v>
      </c>
      <c r="BT159" s="9">
        <f t="shared" si="204"/>
        <v>72328846</v>
      </c>
      <c r="BU159" s="9">
        <f t="shared" si="204"/>
        <v>72328846</v>
      </c>
      <c r="BV159" s="9">
        <f t="shared" si="204"/>
        <v>72328846</v>
      </c>
      <c r="BW159" s="9">
        <f t="shared" si="204"/>
        <v>72328846</v>
      </c>
      <c r="BX159" s="9">
        <f t="shared" si="204"/>
        <v>72328846</v>
      </c>
      <c r="BY159" s="9">
        <f t="shared" si="204"/>
        <v>72328846</v>
      </c>
      <c r="BZ159" s="9">
        <f t="shared" si="204"/>
        <v>72328846</v>
      </c>
      <c r="CA159" s="9">
        <f t="shared" si="204"/>
        <v>72328846</v>
      </c>
      <c r="CB159" s="9">
        <f t="shared" si="204"/>
        <v>72328846</v>
      </c>
      <c r="CC159" s="9">
        <f t="shared" si="204"/>
        <v>74193935</v>
      </c>
      <c r="CD159" s="9">
        <f t="shared" si="204"/>
        <v>74193935</v>
      </c>
      <c r="CE159" s="9">
        <f t="shared" si="204"/>
        <v>74193935</v>
      </c>
      <c r="CF159" s="9">
        <f t="shared" si="204"/>
        <v>74193935</v>
      </c>
      <c r="CG159" s="9">
        <f t="shared" si="204"/>
        <v>74193935</v>
      </c>
      <c r="CH159" s="9">
        <f t="shared" si="204"/>
        <v>74193935</v>
      </c>
      <c r="CI159" s="9">
        <f t="shared" si="204"/>
        <v>74193935</v>
      </c>
      <c r="CJ159" s="9">
        <f t="shared" si="204"/>
        <v>74193935</v>
      </c>
      <c r="CK159" s="9">
        <f t="shared" si="204"/>
        <v>74193935</v>
      </c>
      <c r="CL159" s="9">
        <f t="shared" si="204"/>
        <v>74193935</v>
      </c>
      <c r="CM159" s="9">
        <f t="shared" si="204"/>
        <v>74193935</v>
      </c>
      <c r="CN159" s="9">
        <f t="shared" si="204"/>
        <v>74193935</v>
      </c>
      <c r="CO159" s="9">
        <f t="shared" si="204"/>
        <v>74193935</v>
      </c>
      <c r="CP159" s="9">
        <f t="shared" si="204"/>
        <v>87080342</v>
      </c>
      <c r="CQ159" s="9">
        <f t="shared" si="204"/>
        <v>87080342</v>
      </c>
      <c r="CR159" s="9">
        <f t="shared" si="204"/>
        <v>87080342</v>
      </c>
      <c r="CS159" s="9">
        <f t="shared" si="204"/>
        <v>87080342</v>
      </c>
      <c r="CT159" s="9">
        <f t="shared" si="204"/>
        <v>87080342</v>
      </c>
      <c r="CU159" s="9">
        <f t="shared" ref="CU159:DZ159" si="205">+CU11+CU50+CU89</f>
        <v>87080342</v>
      </c>
      <c r="CV159" s="9">
        <f t="shared" si="205"/>
        <v>87080342</v>
      </c>
      <c r="CW159" s="9">
        <f t="shared" si="205"/>
        <v>87080342</v>
      </c>
      <c r="CX159" s="9">
        <f t="shared" si="205"/>
        <v>87080342</v>
      </c>
      <c r="CY159" s="9">
        <f t="shared" si="205"/>
        <v>87080342</v>
      </c>
      <c r="CZ159" s="9">
        <f t="shared" si="205"/>
        <v>87080342</v>
      </c>
      <c r="DA159" s="9">
        <f t="shared" si="205"/>
        <v>87080342</v>
      </c>
      <c r="DB159" s="9">
        <f t="shared" si="205"/>
        <v>87080342</v>
      </c>
      <c r="DC159" s="9">
        <f t="shared" si="205"/>
        <v>101377201</v>
      </c>
      <c r="DD159" s="9">
        <f t="shared" si="205"/>
        <v>101377201</v>
      </c>
      <c r="DE159" s="9">
        <f t="shared" si="205"/>
        <v>101377201</v>
      </c>
      <c r="DF159" s="9">
        <f t="shared" si="205"/>
        <v>101377201</v>
      </c>
      <c r="DG159" s="9">
        <f t="shared" si="205"/>
        <v>101377201</v>
      </c>
      <c r="DH159" s="9">
        <f t="shared" si="205"/>
        <v>101377201</v>
      </c>
      <c r="DI159" s="9">
        <f t="shared" si="205"/>
        <v>101377201</v>
      </c>
      <c r="DJ159" s="9">
        <f t="shared" si="205"/>
        <v>101377201</v>
      </c>
      <c r="DK159" s="9">
        <f t="shared" si="205"/>
        <v>101377201</v>
      </c>
      <c r="DL159" s="9">
        <f t="shared" si="205"/>
        <v>101377201</v>
      </c>
      <c r="DM159" s="9">
        <f t="shared" si="205"/>
        <v>101377201</v>
      </c>
      <c r="DN159" s="9">
        <f t="shared" si="205"/>
        <v>101377201</v>
      </c>
      <c r="DO159" s="9">
        <f t="shared" si="205"/>
        <v>101377201</v>
      </c>
      <c r="DP159" s="9">
        <f t="shared" si="205"/>
        <v>116986395</v>
      </c>
      <c r="DQ159" s="9">
        <f t="shared" si="205"/>
        <v>116986395</v>
      </c>
      <c r="DR159" s="9">
        <f t="shared" si="205"/>
        <v>116986395</v>
      </c>
      <c r="DS159" s="9">
        <f t="shared" si="205"/>
        <v>116986395</v>
      </c>
      <c r="DT159" s="9">
        <f t="shared" si="205"/>
        <v>116986395</v>
      </c>
      <c r="DU159" s="9">
        <f t="shared" si="205"/>
        <v>116986395</v>
      </c>
      <c r="DV159" s="9">
        <f t="shared" si="205"/>
        <v>116986395</v>
      </c>
      <c r="DW159" s="9">
        <f t="shared" si="205"/>
        <v>116986395</v>
      </c>
      <c r="DX159" s="9">
        <f t="shared" si="205"/>
        <v>116986395</v>
      </c>
      <c r="DY159" s="9">
        <f t="shared" si="205"/>
        <v>116986395</v>
      </c>
      <c r="DZ159" s="9">
        <f t="shared" si="205"/>
        <v>116986395</v>
      </c>
      <c r="EA159" s="9">
        <f t="shared" ref="EA159:FF159" si="206">+EA11+EA50+EA89</f>
        <v>116986395</v>
      </c>
      <c r="EB159" s="9">
        <f t="shared" si="206"/>
        <v>116986395</v>
      </c>
      <c r="EC159" s="9">
        <f t="shared" si="206"/>
        <v>132270423</v>
      </c>
      <c r="ED159" s="9">
        <f t="shared" si="206"/>
        <v>132270423</v>
      </c>
      <c r="EE159" s="9">
        <f t="shared" si="206"/>
        <v>132270423</v>
      </c>
      <c r="EF159" s="9">
        <f t="shared" si="206"/>
        <v>132270423</v>
      </c>
      <c r="EG159" s="9">
        <f t="shared" si="206"/>
        <v>132270423</v>
      </c>
      <c r="EH159" s="9">
        <f t="shared" si="206"/>
        <v>132270423</v>
      </c>
      <c r="EI159" s="9">
        <f t="shared" si="206"/>
        <v>132270423</v>
      </c>
      <c r="EJ159" s="9">
        <f t="shared" si="206"/>
        <v>132270423</v>
      </c>
      <c r="EK159" s="9">
        <f t="shared" si="206"/>
        <v>132270423</v>
      </c>
      <c r="EL159" s="9">
        <f t="shared" si="206"/>
        <v>132270423</v>
      </c>
      <c r="EM159" s="9">
        <f t="shared" si="206"/>
        <v>132270423</v>
      </c>
      <c r="EN159" s="9">
        <f t="shared" si="206"/>
        <v>132270423</v>
      </c>
      <c r="EO159" s="9">
        <f t="shared" si="206"/>
        <v>132270423</v>
      </c>
      <c r="EP159" s="9">
        <f t="shared" si="206"/>
        <v>128053264</v>
      </c>
      <c r="EQ159" s="9">
        <f t="shared" si="206"/>
        <v>128053264</v>
      </c>
      <c r="ER159" s="9">
        <f t="shared" si="206"/>
        <v>128053264</v>
      </c>
      <c r="ES159" s="9">
        <f t="shared" si="206"/>
        <v>128053264</v>
      </c>
      <c r="ET159" s="9">
        <f t="shared" si="206"/>
        <v>128053264</v>
      </c>
      <c r="EU159" s="9">
        <f t="shared" si="206"/>
        <v>128053264</v>
      </c>
      <c r="EV159" s="9">
        <f t="shared" si="206"/>
        <v>128053264</v>
      </c>
      <c r="EW159" s="9">
        <f t="shared" si="206"/>
        <v>128053264</v>
      </c>
      <c r="EX159" s="9">
        <f t="shared" si="206"/>
        <v>128053264</v>
      </c>
      <c r="EY159" s="9">
        <f t="shared" si="206"/>
        <v>128053264</v>
      </c>
      <c r="EZ159" s="9">
        <f t="shared" si="206"/>
        <v>128053264</v>
      </c>
      <c r="FA159" s="9">
        <f t="shared" si="206"/>
        <v>128053264</v>
      </c>
      <c r="FB159" s="9">
        <f t="shared" si="206"/>
        <v>128053264</v>
      </c>
      <c r="FC159" s="9">
        <f t="shared" si="206"/>
        <v>112044847</v>
      </c>
      <c r="FD159" s="9">
        <f t="shared" si="206"/>
        <v>112044847</v>
      </c>
      <c r="FE159" s="9">
        <f t="shared" si="206"/>
        <v>112044847</v>
      </c>
      <c r="FF159" s="9">
        <f t="shared" si="206"/>
        <v>112044847</v>
      </c>
      <c r="FG159" s="9">
        <f t="shared" ref="FG159:FO159" si="207">+FG11+FG50+FG89</f>
        <v>112044847</v>
      </c>
      <c r="FH159" s="9">
        <f t="shared" si="207"/>
        <v>112044847</v>
      </c>
      <c r="FI159" s="9">
        <f t="shared" si="207"/>
        <v>112044847</v>
      </c>
      <c r="FJ159" s="9">
        <f t="shared" si="207"/>
        <v>0</v>
      </c>
      <c r="FK159" s="9">
        <f t="shared" si="207"/>
        <v>0</v>
      </c>
      <c r="FL159" s="9">
        <f t="shared" si="207"/>
        <v>0</v>
      </c>
      <c r="FM159" s="9">
        <f t="shared" si="207"/>
        <v>0</v>
      </c>
      <c r="FN159" s="9">
        <f t="shared" si="207"/>
        <v>0</v>
      </c>
      <c r="FO159" s="9">
        <f t="shared" si="207"/>
        <v>112044847</v>
      </c>
    </row>
    <row r="160" spans="2:171" x14ac:dyDescent="0.3">
      <c r="B160" t="str">
        <f t="shared" si="183"/>
        <v>Dirección de Aeropuertos</v>
      </c>
      <c r="C160" s="9">
        <f t="shared" ref="C160:AH160" si="208">+C12+C51+C90</f>
        <v>41516735</v>
      </c>
      <c r="D160" s="9">
        <f t="shared" si="208"/>
        <v>41516735</v>
      </c>
      <c r="E160" s="9">
        <f t="shared" si="208"/>
        <v>41516735</v>
      </c>
      <c r="F160" s="9">
        <f t="shared" si="208"/>
        <v>41516735</v>
      </c>
      <c r="G160" s="9">
        <f t="shared" si="208"/>
        <v>41516735</v>
      </c>
      <c r="H160" s="9">
        <f t="shared" si="208"/>
        <v>41516735</v>
      </c>
      <c r="I160" s="9">
        <f t="shared" si="208"/>
        <v>41516735</v>
      </c>
      <c r="J160" s="9">
        <f t="shared" si="208"/>
        <v>41516735</v>
      </c>
      <c r="K160" s="9">
        <f t="shared" si="208"/>
        <v>41516735</v>
      </c>
      <c r="L160" s="9">
        <f t="shared" si="208"/>
        <v>41516735</v>
      </c>
      <c r="M160" s="9">
        <f t="shared" si="208"/>
        <v>41516735</v>
      </c>
      <c r="N160" s="9">
        <f t="shared" si="208"/>
        <v>41516735</v>
      </c>
      <c r="O160" s="9">
        <f t="shared" si="208"/>
        <v>41516735</v>
      </c>
      <c r="P160" s="9">
        <f t="shared" si="208"/>
        <v>41477471</v>
      </c>
      <c r="Q160" s="9">
        <f t="shared" si="208"/>
        <v>41477471</v>
      </c>
      <c r="R160" s="9">
        <f t="shared" si="208"/>
        <v>41477471</v>
      </c>
      <c r="S160" s="9">
        <f t="shared" si="208"/>
        <v>41477471</v>
      </c>
      <c r="T160" s="9">
        <f t="shared" si="208"/>
        <v>41477471</v>
      </c>
      <c r="U160" s="9">
        <f t="shared" si="208"/>
        <v>41477471</v>
      </c>
      <c r="V160" s="9">
        <f t="shared" si="208"/>
        <v>41477471</v>
      </c>
      <c r="W160" s="9">
        <f t="shared" si="208"/>
        <v>41477471</v>
      </c>
      <c r="X160" s="9">
        <f t="shared" si="208"/>
        <v>41477471</v>
      </c>
      <c r="Y160" s="9">
        <f t="shared" si="208"/>
        <v>41477471</v>
      </c>
      <c r="Z160" s="9">
        <f t="shared" si="208"/>
        <v>41477471</v>
      </c>
      <c r="AA160" s="9">
        <f t="shared" si="208"/>
        <v>41477471</v>
      </c>
      <c r="AB160" s="9">
        <f t="shared" si="208"/>
        <v>41477471</v>
      </c>
      <c r="AC160" s="9">
        <f t="shared" si="208"/>
        <v>44126522</v>
      </c>
      <c r="AD160" s="9">
        <f t="shared" si="208"/>
        <v>44126522</v>
      </c>
      <c r="AE160" s="9">
        <f t="shared" si="208"/>
        <v>44126522</v>
      </c>
      <c r="AF160" s="9">
        <f t="shared" si="208"/>
        <v>44126522</v>
      </c>
      <c r="AG160" s="9">
        <f t="shared" si="208"/>
        <v>44126522</v>
      </c>
      <c r="AH160" s="9">
        <f t="shared" si="208"/>
        <v>44126522</v>
      </c>
      <c r="AI160" s="9">
        <f t="shared" ref="AI160:BN160" si="209">+AI12+AI51+AI90</f>
        <v>44126522</v>
      </c>
      <c r="AJ160" s="9">
        <f t="shared" si="209"/>
        <v>44126522</v>
      </c>
      <c r="AK160" s="9">
        <f t="shared" si="209"/>
        <v>44126522</v>
      </c>
      <c r="AL160" s="9">
        <f t="shared" si="209"/>
        <v>44126522</v>
      </c>
      <c r="AM160" s="9">
        <f t="shared" si="209"/>
        <v>44126522</v>
      </c>
      <c r="AN160" s="9">
        <f t="shared" si="209"/>
        <v>44126522</v>
      </c>
      <c r="AO160" s="9">
        <f t="shared" si="209"/>
        <v>44126522</v>
      </c>
      <c r="AP160" s="9">
        <f t="shared" si="209"/>
        <v>45372078</v>
      </c>
      <c r="AQ160" s="9">
        <f t="shared" si="209"/>
        <v>45372078</v>
      </c>
      <c r="AR160" s="9">
        <f t="shared" si="209"/>
        <v>45372078</v>
      </c>
      <c r="AS160" s="9">
        <f t="shared" si="209"/>
        <v>45372078</v>
      </c>
      <c r="AT160" s="9">
        <f t="shared" si="209"/>
        <v>45372078</v>
      </c>
      <c r="AU160" s="9">
        <f t="shared" si="209"/>
        <v>45372078</v>
      </c>
      <c r="AV160" s="9">
        <f t="shared" si="209"/>
        <v>45372078</v>
      </c>
      <c r="AW160" s="9">
        <f t="shared" si="209"/>
        <v>45372078</v>
      </c>
      <c r="AX160" s="9">
        <f t="shared" si="209"/>
        <v>45372078</v>
      </c>
      <c r="AY160" s="9">
        <f t="shared" si="209"/>
        <v>45372078</v>
      </c>
      <c r="AZ160" s="9">
        <f t="shared" si="209"/>
        <v>45372078</v>
      </c>
      <c r="BA160" s="9">
        <f t="shared" si="209"/>
        <v>45372078</v>
      </c>
      <c r="BB160" s="9">
        <f t="shared" si="209"/>
        <v>45372078</v>
      </c>
      <c r="BC160" s="9">
        <f t="shared" si="209"/>
        <v>35697836</v>
      </c>
      <c r="BD160" s="9">
        <f t="shared" si="209"/>
        <v>35697836</v>
      </c>
      <c r="BE160" s="9">
        <f t="shared" si="209"/>
        <v>35697836</v>
      </c>
      <c r="BF160" s="9">
        <f t="shared" si="209"/>
        <v>35697836</v>
      </c>
      <c r="BG160" s="9">
        <f t="shared" si="209"/>
        <v>35697836</v>
      </c>
      <c r="BH160" s="9">
        <f t="shared" si="209"/>
        <v>35697836</v>
      </c>
      <c r="BI160" s="9">
        <f t="shared" si="209"/>
        <v>35697836</v>
      </c>
      <c r="BJ160" s="9">
        <f t="shared" si="209"/>
        <v>35697836</v>
      </c>
      <c r="BK160" s="9">
        <f t="shared" si="209"/>
        <v>35697836</v>
      </c>
      <c r="BL160" s="9">
        <f t="shared" si="209"/>
        <v>35697836</v>
      </c>
      <c r="BM160" s="9">
        <f t="shared" si="209"/>
        <v>35697836</v>
      </c>
      <c r="BN160" s="9">
        <f t="shared" si="209"/>
        <v>35697836</v>
      </c>
      <c r="BO160" s="9">
        <f t="shared" ref="BO160:CT160" si="210">+BO12+BO51+BO90</f>
        <v>35697836</v>
      </c>
      <c r="BP160" s="9">
        <f t="shared" si="210"/>
        <v>53166152</v>
      </c>
      <c r="BQ160" s="9">
        <f t="shared" si="210"/>
        <v>53166152</v>
      </c>
      <c r="BR160" s="9">
        <f t="shared" si="210"/>
        <v>53166152</v>
      </c>
      <c r="BS160" s="9">
        <f t="shared" si="210"/>
        <v>53166152</v>
      </c>
      <c r="BT160" s="9">
        <f t="shared" si="210"/>
        <v>53166152</v>
      </c>
      <c r="BU160" s="9">
        <f t="shared" si="210"/>
        <v>53166152</v>
      </c>
      <c r="BV160" s="9">
        <f t="shared" si="210"/>
        <v>53166152</v>
      </c>
      <c r="BW160" s="9">
        <f t="shared" si="210"/>
        <v>53166152</v>
      </c>
      <c r="BX160" s="9">
        <f t="shared" si="210"/>
        <v>53166152</v>
      </c>
      <c r="BY160" s="9">
        <f t="shared" si="210"/>
        <v>53166152</v>
      </c>
      <c r="BZ160" s="9">
        <f t="shared" si="210"/>
        <v>53166152</v>
      </c>
      <c r="CA160" s="9">
        <f t="shared" si="210"/>
        <v>53166152</v>
      </c>
      <c r="CB160" s="9">
        <f t="shared" si="210"/>
        <v>53166152</v>
      </c>
      <c r="CC160" s="9">
        <f t="shared" si="210"/>
        <v>58656782</v>
      </c>
      <c r="CD160" s="9">
        <f t="shared" si="210"/>
        <v>58656782</v>
      </c>
      <c r="CE160" s="9">
        <f t="shared" si="210"/>
        <v>58656782</v>
      </c>
      <c r="CF160" s="9">
        <f t="shared" si="210"/>
        <v>58656782</v>
      </c>
      <c r="CG160" s="9">
        <f t="shared" si="210"/>
        <v>58656782</v>
      </c>
      <c r="CH160" s="9">
        <f t="shared" si="210"/>
        <v>58656782</v>
      </c>
      <c r="CI160" s="9">
        <f t="shared" si="210"/>
        <v>58656782</v>
      </c>
      <c r="CJ160" s="9">
        <f t="shared" si="210"/>
        <v>58656782</v>
      </c>
      <c r="CK160" s="9">
        <f t="shared" si="210"/>
        <v>58656782</v>
      </c>
      <c r="CL160" s="9">
        <f t="shared" si="210"/>
        <v>58656782</v>
      </c>
      <c r="CM160" s="9">
        <f t="shared" si="210"/>
        <v>58656782</v>
      </c>
      <c r="CN160" s="9">
        <f t="shared" si="210"/>
        <v>58656782</v>
      </c>
      <c r="CO160" s="9">
        <f t="shared" si="210"/>
        <v>58656782</v>
      </c>
      <c r="CP160" s="9">
        <f t="shared" si="210"/>
        <v>107077898</v>
      </c>
      <c r="CQ160" s="9">
        <f t="shared" si="210"/>
        <v>107077898</v>
      </c>
      <c r="CR160" s="9">
        <f t="shared" si="210"/>
        <v>107077898</v>
      </c>
      <c r="CS160" s="9">
        <f t="shared" si="210"/>
        <v>107077898</v>
      </c>
      <c r="CT160" s="9">
        <f t="shared" si="210"/>
        <v>107077898</v>
      </c>
      <c r="CU160" s="9">
        <f t="shared" ref="CU160:DZ160" si="211">+CU12+CU51+CU90</f>
        <v>107077898</v>
      </c>
      <c r="CV160" s="9">
        <f t="shared" si="211"/>
        <v>107077898</v>
      </c>
      <c r="CW160" s="9">
        <f t="shared" si="211"/>
        <v>107077898</v>
      </c>
      <c r="CX160" s="9">
        <f t="shared" si="211"/>
        <v>107077898</v>
      </c>
      <c r="CY160" s="9">
        <f t="shared" si="211"/>
        <v>107077898</v>
      </c>
      <c r="CZ160" s="9">
        <f t="shared" si="211"/>
        <v>107077898</v>
      </c>
      <c r="DA160" s="9">
        <f t="shared" si="211"/>
        <v>107077898</v>
      </c>
      <c r="DB160" s="9">
        <f t="shared" si="211"/>
        <v>107077898</v>
      </c>
      <c r="DC160" s="9">
        <f t="shared" si="211"/>
        <v>117908324</v>
      </c>
      <c r="DD160" s="9">
        <f t="shared" si="211"/>
        <v>117908324</v>
      </c>
      <c r="DE160" s="9">
        <f t="shared" si="211"/>
        <v>117908324</v>
      </c>
      <c r="DF160" s="9">
        <f t="shared" si="211"/>
        <v>117908324</v>
      </c>
      <c r="DG160" s="9">
        <f t="shared" si="211"/>
        <v>117908324</v>
      </c>
      <c r="DH160" s="9">
        <f t="shared" si="211"/>
        <v>117908324</v>
      </c>
      <c r="DI160" s="9">
        <f t="shared" si="211"/>
        <v>117908324</v>
      </c>
      <c r="DJ160" s="9">
        <f t="shared" si="211"/>
        <v>117908324</v>
      </c>
      <c r="DK160" s="9">
        <f t="shared" si="211"/>
        <v>117908324</v>
      </c>
      <c r="DL160" s="9">
        <f t="shared" si="211"/>
        <v>117908324</v>
      </c>
      <c r="DM160" s="9">
        <f t="shared" si="211"/>
        <v>117908324</v>
      </c>
      <c r="DN160" s="9">
        <f t="shared" si="211"/>
        <v>117908324</v>
      </c>
      <c r="DO160" s="9">
        <f t="shared" si="211"/>
        <v>117908324</v>
      </c>
      <c r="DP160" s="9">
        <f t="shared" si="211"/>
        <v>135558590</v>
      </c>
      <c r="DQ160" s="9">
        <f t="shared" si="211"/>
        <v>135558590</v>
      </c>
      <c r="DR160" s="9">
        <f t="shared" si="211"/>
        <v>135558590</v>
      </c>
      <c r="DS160" s="9">
        <f t="shared" si="211"/>
        <v>135558590</v>
      </c>
      <c r="DT160" s="9">
        <f t="shared" si="211"/>
        <v>135558590</v>
      </c>
      <c r="DU160" s="9">
        <f t="shared" si="211"/>
        <v>135558590</v>
      </c>
      <c r="DV160" s="9">
        <f t="shared" si="211"/>
        <v>135558590</v>
      </c>
      <c r="DW160" s="9">
        <f t="shared" si="211"/>
        <v>135558590</v>
      </c>
      <c r="DX160" s="9">
        <f t="shared" si="211"/>
        <v>135558590</v>
      </c>
      <c r="DY160" s="9">
        <f t="shared" si="211"/>
        <v>135558590</v>
      </c>
      <c r="DZ160" s="9">
        <f t="shared" si="211"/>
        <v>135558590</v>
      </c>
      <c r="EA160" s="9">
        <f t="shared" ref="EA160:FF160" si="212">+EA12+EA51+EA90</f>
        <v>135558590</v>
      </c>
      <c r="EB160" s="9">
        <f t="shared" si="212"/>
        <v>135558590</v>
      </c>
      <c r="EC160" s="9">
        <f t="shared" si="212"/>
        <v>137993176</v>
      </c>
      <c r="ED160" s="9">
        <f t="shared" si="212"/>
        <v>137993176</v>
      </c>
      <c r="EE160" s="9">
        <f t="shared" si="212"/>
        <v>137993176</v>
      </c>
      <c r="EF160" s="9">
        <f t="shared" si="212"/>
        <v>137993176</v>
      </c>
      <c r="EG160" s="9">
        <f t="shared" si="212"/>
        <v>137993176</v>
      </c>
      <c r="EH160" s="9">
        <f t="shared" si="212"/>
        <v>137993176</v>
      </c>
      <c r="EI160" s="9">
        <f t="shared" si="212"/>
        <v>137993176</v>
      </c>
      <c r="EJ160" s="9">
        <f t="shared" si="212"/>
        <v>137993176</v>
      </c>
      <c r="EK160" s="9">
        <f t="shared" si="212"/>
        <v>137993176</v>
      </c>
      <c r="EL160" s="9">
        <f t="shared" si="212"/>
        <v>137993176</v>
      </c>
      <c r="EM160" s="9">
        <f t="shared" si="212"/>
        <v>137993176</v>
      </c>
      <c r="EN160" s="9">
        <f t="shared" si="212"/>
        <v>137993176</v>
      </c>
      <c r="EO160" s="9">
        <f t="shared" si="212"/>
        <v>137993176</v>
      </c>
      <c r="EP160" s="9">
        <f t="shared" si="212"/>
        <v>142750398</v>
      </c>
      <c r="EQ160" s="9">
        <f t="shared" si="212"/>
        <v>142750398</v>
      </c>
      <c r="ER160" s="9">
        <f t="shared" si="212"/>
        <v>142750398</v>
      </c>
      <c r="ES160" s="9">
        <f t="shared" si="212"/>
        <v>142750398</v>
      </c>
      <c r="ET160" s="9">
        <f t="shared" si="212"/>
        <v>142750398</v>
      </c>
      <c r="EU160" s="9">
        <f t="shared" si="212"/>
        <v>142750398</v>
      </c>
      <c r="EV160" s="9">
        <f t="shared" si="212"/>
        <v>142750398</v>
      </c>
      <c r="EW160" s="9">
        <f t="shared" si="212"/>
        <v>142750398</v>
      </c>
      <c r="EX160" s="9">
        <f t="shared" si="212"/>
        <v>142750398</v>
      </c>
      <c r="EY160" s="9">
        <f t="shared" si="212"/>
        <v>142750398</v>
      </c>
      <c r="EZ160" s="9">
        <f t="shared" si="212"/>
        <v>142750398</v>
      </c>
      <c r="FA160" s="9">
        <f t="shared" si="212"/>
        <v>142750398</v>
      </c>
      <c r="FB160" s="9">
        <f t="shared" si="212"/>
        <v>142750398</v>
      </c>
      <c r="FC160" s="9">
        <f t="shared" si="212"/>
        <v>127904989</v>
      </c>
      <c r="FD160" s="9">
        <f t="shared" si="212"/>
        <v>127904989</v>
      </c>
      <c r="FE160" s="9">
        <f t="shared" si="212"/>
        <v>127904989</v>
      </c>
      <c r="FF160" s="9">
        <f t="shared" si="212"/>
        <v>127904989</v>
      </c>
      <c r="FG160" s="9">
        <f t="shared" ref="FG160:FO160" si="213">+FG12+FG51+FG90</f>
        <v>127904989</v>
      </c>
      <c r="FH160" s="9">
        <f t="shared" si="213"/>
        <v>127904989</v>
      </c>
      <c r="FI160" s="9">
        <f t="shared" si="213"/>
        <v>127904989</v>
      </c>
      <c r="FJ160" s="9">
        <f t="shared" si="213"/>
        <v>0</v>
      </c>
      <c r="FK160" s="9">
        <f t="shared" si="213"/>
        <v>0</v>
      </c>
      <c r="FL160" s="9">
        <f t="shared" si="213"/>
        <v>0</v>
      </c>
      <c r="FM160" s="9">
        <f t="shared" si="213"/>
        <v>0</v>
      </c>
      <c r="FN160" s="9">
        <f t="shared" si="213"/>
        <v>0</v>
      </c>
      <c r="FO160" s="9">
        <f t="shared" si="213"/>
        <v>127904989</v>
      </c>
    </row>
    <row r="161" spans="2:171" x14ac:dyDescent="0.3">
      <c r="B161" t="str">
        <f t="shared" si="183"/>
        <v>Dirección de Arquitectura</v>
      </c>
      <c r="C161" s="9">
        <f t="shared" ref="C161:AH161" si="214">+C13+C52+C91</f>
        <v>26377345</v>
      </c>
      <c r="D161" s="9">
        <f t="shared" si="214"/>
        <v>26377345</v>
      </c>
      <c r="E161" s="9">
        <f t="shared" si="214"/>
        <v>26377345</v>
      </c>
      <c r="F161" s="9">
        <f t="shared" si="214"/>
        <v>26377345</v>
      </c>
      <c r="G161" s="9">
        <f t="shared" si="214"/>
        <v>26377345</v>
      </c>
      <c r="H161" s="9">
        <f t="shared" si="214"/>
        <v>26377345</v>
      </c>
      <c r="I161" s="9">
        <f t="shared" si="214"/>
        <v>26377345</v>
      </c>
      <c r="J161" s="9">
        <f t="shared" si="214"/>
        <v>26377345</v>
      </c>
      <c r="K161" s="9">
        <f t="shared" si="214"/>
        <v>26377345</v>
      </c>
      <c r="L161" s="9">
        <f t="shared" si="214"/>
        <v>26377345</v>
      </c>
      <c r="M161" s="9">
        <f t="shared" si="214"/>
        <v>26377345</v>
      </c>
      <c r="N161" s="9">
        <f t="shared" si="214"/>
        <v>26377345</v>
      </c>
      <c r="O161" s="9">
        <f t="shared" si="214"/>
        <v>26377345</v>
      </c>
      <c r="P161" s="9">
        <f t="shared" si="214"/>
        <v>28299228</v>
      </c>
      <c r="Q161" s="9">
        <f t="shared" si="214"/>
        <v>28299228</v>
      </c>
      <c r="R161" s="9">
        <f t="shared" si="214"/>
        <v>28299228</v>
      </c>
      <c r="S161" s="9">
        <f t="shared" si="214"/>
        <v>28299228</v>
      </c>
      <c r="T161" s="9">
        <f t="shared" si="214"/>
        <v>28299228</v>
      </c>
      <c r="U161" s="9">
        <f t="shared" si="214"/>
        <v>28299228</v>
      </c>
      <c r="V161" s="9">
        <f t="shared" si="214"/>
        <v>28299228</v>
      </c>
      <c r="W161" s="9">
        <f t="shared" si="214"/>
        <v>28299228</v>
      </c>
      <c r="X161" s="9">
        <f t="shared" si="214"/>
        <v>28299228</v>
      </c>
      <c r="Y161" s="9">
        <f t="shared" si="214"/>
        <v>28299228</v>
      </c>
      <c r="Z161" s="9">
        <f t="shared" si="214"/>
        <v>28299228</v>
      </c>
      <c r="AA161" s="9">
        <f t="shared" si="214"/>
        <v>28299228</v>
      </c>
      <c r="AB161" s="9">
        <f t="shared" si="214"/>
        <v>28299228</v>
      </c>
      <c r="AC161" s="9">
        <f t="shared" si="214"/>
        <v>25815885</v>
      </c>
      <c r="AD161" s="9">
        <f t="shared" si="214"/>
        <v>25815885</v>
      </c>
      <c r="AE161" s="9">
        <f t="shared" si="214"/>
        <v>25815885</v>
      </c>
      <c r="AF161" s="9">
        <f t="shared" si="214"/>
        <v>25815885</v>
      </c>
      <c r="AG161" s="9">
        <f t="shared" si="214"/>
        <v>25815885</v>
      </c>
      <c r="AH161" s="9">
        <f t="shared" si="214"/>
        <v>25815885</v>
      </c>
      <c r="AI161" s="9">
        <f t="shared" ref="AI161:BN161" si="215">+AI13+AI52+AI91</f>
        <v>25815885</v>
      </c>
      <c r="AJ161" s="9">
        <f t="shared" si="215"/>
        <v>25815885</v>
      </c>
      <c r="AK161" s="9">
        <f t="shared" si="215"/>
        <v>25815885</v>
      </c>
      <c r="AL161" s="9">
        <f t="shared" si="215"/>
        <v>25815885</v>
      </c>
      <c r="AM161" s="9">
        <f t="shared" si="215"/>
        <v>25815885</v>
      </c>
      <c r="AN161" s="9">
        <f t="shared" si="215"/>
        <v>25815885</v>
      </c>
      <c r="AO161" s="9">
        <f t="shared" si="215"/>
        <v>25815885</v>
      </c>
      <c r="AP161" s="9">
        <f t="shared" si="215"/>
        <v>28407446</v>
      </c>
      <c r="AQ161" s="9">
        <f t="shared" si="215"/>
        <v>28407446</v>
      </c>
      <c r="AR161" s="9">
        <f t="shared" si="215"/>
        <v>28407446</v>
      </c>
      <c r="AS161" s="9">
        <f t="shared" si="215"/>
        <v>28407446</v>
      </c>
      <c r="AT161" s="9">
        <f t="shared" si="215"/>
        <v>28407446</v>
      </c>
      <c r="AU161" s="9">
        <f t="shared" si="215"/>
        <v>28407446</v>
      </c>
      <c r="AV161" s="9">
        <f t="shared" si="215"/>
        <v>28407446</v>
      </c>
      <c r="AW161" s="9">
        <f t="shared" si="215"/>
        <v>28407446</v>
      </c>
      <c r="AX161" s="9">
        <f t="shared" si="215"/>
        <v>28407446</v>
      </c>
      <c r="AY161" s="9">
        <f t="shared" si="215"/>
        <v>28407446</v>
      </c>
      <c r="AZ161" s="9">
        <f t="shared" si="215"/>
        <v>28407446</v>
      </c>
      <c r="BA161" s="9">
        <f t="shared" si="215"/>
        <v>28407446</v>
      </c>
      <c r="BB161" s="9">
        <f t="shared" si="215"/>
        <v>28407446</v>
      </c>
      <c r="BC161" s="9">
        <f t="shared" si="215"/>
        <v>30605269</v>
      </c>
      <c r="BD161" s="9">
        <f t="shared" si="215"/>
        <v>30605269</v>
      </c>
      <c r="BE161" s="9">
        <f t="shared" si="215"/>
        <v>30605269</v>
      </c>
      <c r="BF161" s="9">
        <f t="shared" si="215"/>
        <v>30605269</v>
      </c>
      <c r="BG161" s="9">
        <f t="shared" si="215"/>
        <v>30605269</v>
      </c>
      <c r="BH161" s="9">
        <f t="shared" si="215"/>
        <v>30605269</v>
      </c>
      <c r="BI161" s="9">
        <f t="shared" si="215"/>
        <v>30605269</v>
      </c>
      <c r="BJ161" s="9">
        <f t="shared" si="215"/>
        <v>30605269</v>
      </c>
      <c r="BK161" s="9">
        <f t="shared" si="215"/>
        <v>30605269</v>
      </c>
      <c r="BL161" s="9">
        <f t="shared" si="215"/>
        <v>30605269</v>
      </c>
      <c r="BM161" s="9">
        <f t="shared" si="215"/>
        <v>30605269</v>
      </c>
      <c r="BN161" s="9">
        <f t="shared" si="215"/>
        <v>30605269</v>
      </c>
      <c r="BO161" s="9">
        <f t="shared" ref="BO161:CT161" si="216">+BO13+BO52+BO91</f>
        <v>30605269</v>
      </c>
      <c r="BP161" s="9">
        <f t="shared" si="216"/>
        <v>25965248</v>
      </c>
      <c r="BQ161" s="9">
        <f t="shared" si="216"/>
        <v>25965248</v>
      </c>
      <c r="BR161" s="9">
        <f t="shared" si="216"/>
        <v>25965248</v>
      </c>
      <c r="BS161" s="9">
        <f t="shared" si="216"/>
        <v>25965248</v>
      </c>
      <c r="BT161" s="9">
        <f t="shared" si="216"/>
        <v>25965248</v>
      </c>
      <c r="BU161" s="9">
        <f t="shared" si="216"/>
        <v>25965248</v>
      </c>
      <c r="BV161" s="9">
        <f t="shared" si="216"/>
        <v>25965248</v>
      </c>
      <c r="BW161" s="9">
        <f t="shared" si="216"/>
        <v>25965248</v>
      </c>
      <c r="BX161" s="9">
        <f t="shared" si="216"/>
        <v>25965248</v>
      </c>
      <c r="BY161" s="9">
        <f t="shared" si="216"/>
        <v>25965248</v>
      </c>
      <c r="BZ161" s="9">
        <f t="shared" si="216"/>
        <v>25965248</v>
      </c>
      <c r="CA161" s="9">
        <f t="shared" si="216"/>
        <v>25965248</v>
      </c>
      <c r="CB161" s="9">
        <f t="shared" si="216"/>
        <v>25965248</v>
      </c>
      <c r="CC161" s="9">
        <f t="shared" si="216"/>
        <v>22282559</v>
      </c>
      <c r="CD161" s="9">
        <f t="shared" si="216"/>
        <v>22282559</v>
      </c>
      <c r="CE161" s="9">
        <f t="shared" si="216"/>
        <v>22282559</v>
      </c>
      <c r="CF161" s="9">
        <f t="shared" si="216"/>
        <v>22282559</v>
      </c>
      <c r="CG161" s="9">
        <f t="shared" si="216"/>
        <v>22282559</v>
      </c>
      <c r="CH161" s="9">
        <f t="shared" si="216"/>
        <v>22282559</v>
      </c>
      <c r="CI161" s="9">
        <f t="shared" si="216"/>
        <v>22282559</v>
      </c>
      <c r="CJ161" s="9">
        <f t="shared" si="216"/>
        <v>22282559</v>
      </c>
      <c r="CK161" s="9">
        <f t="shared" si="216"/>
        <v>22282559</v>
      </c>
      <c r="CL161" s="9">
        <f t="shared" si="216"/>
        <v>22282559</v>
      </c>
      <c r="CM161" s="9">
        <f t="shared" si="216"/>
        <v>22282559</v>
      </c>
      <c r="CN161" s="9">
        <f t="shared" si="216"/>
        <v>22282559</v>
      </c>
      <c r="CO161" s="9">
        <f t="shared" si="216"/>
        <v>22282559</v>
      </c>
      <c r="CP161" s="9">
        <f t="shared" si="216"/>
        <v>37073180</v>
      </c>
      <c r="CQ161" s="9">
        <f t="shared" si="216"/>
        <v>37073180</v>
      </c>
      <c r="CR161" s="9">
        <f t="shared" si="216"/>
        <v>37073180</v>
      </c>
      <c r="CS161" s="9">
        <f t="shared" si="216"/>
        <v>37073180</v>
      </c>
      <c r="CT161" s="9">
        <f t="shared" si="216"/>
        <v>37073180</v>
      </c>
      <c r="CU161" s="9">
        <f t="shared" ref="CU161:DZ161" si="217">+CU13+CU52+CU91</f>
        <v>37073180</v>
      </c>
      <c r="CV161" s="9">
        <f t="shared" si="217"/>
        <v>37073180</v>
      </c>
      <c r="CW161" s="9">
        <f t="shared" si="217"/>
        <v>37073180</v>
      </c>
      <c r="CX161" s="9">
        <f t="shared" si="217"/>
        <v>37073180</v>
      </c>
      <c r="CY161" s="9">
        <f t="shared" si="217"/>
        <v>37073180</v>
      </c>
      <c r="CZ161" s="9">
        <f t="shared" si="217"/>
        <v>37073180</v>
      </c>
      <c r="DA161" s="9">
        <f t="shared" si="217"/>
        <v>37073180</v>
      </c>
      <c r="DB161" s="9">
        <f t="shared" si="217"/>
        <v>37073180</v>
      </c>
      <c r="DC161" s="9">
        <f t="shared" si="217"/>
        <v>41208334</v>
      </c>
      <c r="DD161" s="9">
        <f t="shared" si="217"/>
        <v>41208334</v>
      </c>
      <c r="DE161" s="9">
        <f t="shared" si="217"/>
        <v>41208334</v>
      </c>
      <c r="DF161" s="9">
        <f t="shared" si="217"/>
        <v>41208334</v>
      </c>
      <c r="DG161" s="9">
        <f t="shared" si="217"/>
        <v>41208334</v>
      </c>
      <c r="DH161" s="9">
        <f t="shared" si="217"/>
        <v>41208334</v>
      </c>
      <c r="DI161" s="9">
        <f t="shared" si="217"/>
        <v>41208334</v>
      </c>
      <c r="DJ161" s="9">
        <f t="shared" si="217"/>
        <v>41208334</v>
      </c>
      <c r="DK161" s="9">
        <f t="shared" si="217"/>
        <v>41208334</v>
      </c>
      <c r="DL161" s="9">
        <f t="shared" si="217"/>
        <v>41208334</v>
      </c>
      <c r="DM161" s="9">
        <f t="shared" si="217"/>
        <v>41208334</v>
      </c>
      <c r="DN161" s="9">
        <f t="shared" si="217"/>
        <v>41208334</v>
      </c>
      <c r="DO161" s="9">
        <f t="shared" si="217"/>
        <v>41208334</v>
      </c>
      <c r="DP161" s="9">
        <f t="shared" si="217"/>
        <v>38146983</v>
      </c>
      <c r="DQ161" s="9">
        <f t="shared" si="217"/>
        <v>38146983</v>
      </c>
      <c r="DR161" s="9">
        <f t="shared" si="217"/>
        <v>38146983</v>
      </c>
      <c r="DS161" s="9">
        <f t="shared" si="217"/>
        <v>38146983</v>
      </c>
      <c r="DT161" s="9">
        <f t="shared" si="217"/>
        <v>38146983</v>
      </c>
      <c r="DU161" s="9">
        <f t="shared" si="217"/>
        <v>38146983</v>
      </c>
      <c r="DV161" s="9">
        <f t="shared" si="217"/>
        <v>38146983</v>
      </c>
      <c r="DW161" s="9">
        <f t="shared" si="217"/>
        <v>38146983</v>
      </c>
      <c r="DX161" s="9">
        <f t="shared" si="217"/>
        <v>38146983</v>
      </c>
      <c r="DY161" s="9">
        <f t="shared" si="217"/>
        <v>38146983</v>
      </c>
      <c r="DZ161" s="9">
        <f t="shared" si="217"/>
        <v>38146983</v>
      </c>
      <c r="EA161" s="9">
        <f t="shared" ref="EA161:FF161" si="218">+EA13+EA52+EA91</f>
        <v>38146983</v>
      </c>
      <c r="EB161" s="9">
        <f t="shared" si="218"/>
        <v>38146983</v>
      </c>
      <c r="EC161" s="9">
        <f t="shared" si="218"/>
        <v>45185895</v>
      </c>
      <c r="ED161" s="9">
        <f t="shared" si="218"/>
        <v>45185895</v>
      </c>
      <c r="EE161" s="9">
        <f t="shared" si="218"/>
        <v>45185895</v>
      </c>
      <c r="EF161" s="9">
        <f t="shared" si="218"/>
        <v>45185895</v>
      </c>
      <c r="EG161" s="9">
        <f t="shared" si="218"/>
        <v>45185895</v>
      </c>
      <c r="EH161" s="9">
        <f t="shared" si="218"/>
        <v>45185895</v>
      </c>
      <c r="EI161" s="9">
        <f t="shared" si="218"/>
        <v>45185895</v>
      </c>
      <c r="EJ161" s="9">
        <f t="shared" si="218"/>
        <v>45185895</v>
      </c>
      <c r="EK161" s="9">
        <f t="shared" si="218"/>
        <v>45185895</v>
      </c>
      <c r="EL161" s="9">
        <f t="shared" si="218"/>
        <v>45185895</v>
      </c>
      <c r="EM161" s="9">
        <f t="shared" si="218"/>
        <v>45185895</v>
      </c>
      <c r="EN161" s="9">
        <f t="shared" si="218"/>
        <v>45185895</v>
      </c>
      <c r="EO161" s="9">
        <f t="shared" si="218"/>
        <v>45185895</v>
      </c>
      <c r="EP161" s="9">
        <f t="shared" si="218"/>
        <v>57665235</v>
      </c>
      <c r="EQ161" s="9">
        <f t="shared" si="218"/>
        <v>57665235</v>
      </c>
      <c r="ER161" s="9">
        <f t="shared" si="218"/>
        <v>57665235</v>
      </c>
      <c r="ES161" s="9">
        <f t="shared" si="218"/>
        <v>57665235</v>
      </c>
      <c r="ET161" s="9">
        <f t="shared" si="218"/>
        <v>57665235</v>
      </c>
      <c r="EU161" s="9">
        <f t="shared" si="218"/>
        <v>57665235</v>
      </c>
      <c r="EV161" s="9">
        <f t="shared" si="218"/>
        <v>57665235</v>
      </c>
      <c r="EW161" s="9">
        <f t="shared" si="218"/>
        <v>57665235</v>
      </c>
      <c r="EX161" s="9">
        <f t="shared" si="218"/>
        <v>57665235</v>
      </c>
      <c r="EY161" s="9">
        <f t="shared" si="218"/>
        <v>57665235</v>
      </c>
      <c r="EZ161" s="9">
        <f t="shared" si="218"/>
        <v>57665235</v>
      </c>
      <c r="FA161" s="9">
        <f t="shared" si="218"/>
        <v>57665235</v>
      </c>
      <c r="FB161" s="9">
        <f t="shared" si="218"/>
        <v>57665235</v>
      </c>
      <c r="FC161" s="9">
        <f t="shared" si="218"/>
        <v>30872482</v>
      </c>
      <c r="FD161" s="9">
        <f t="shared" si="218"/>
        <v>30872482</v>
      </c>
      <c r="FE161" s="9">
        <f t="shared" si="218"/>
        <v>30872482</v>
      </c>
      <c r="FF161" s="9">
        <f t="shared" si="218"/>
        <v>30872482</v>
      </c>
      <c r="FG161" s="9">
        <f t="shared" ref="FG161:FO161" si="219">+FG13+FG52+FG91</f>
        <v>30872482</v>
      </c>
      <c r="FH161" s="9">
        <f t="shared" si="219"/>
        <v>30872482</v>
      </c>
      <c r="FI161" s="9">
        <f t="shared" si="219"/>
        <v>30872482</v>
      </c>
      <c r="FJ161" s="9">
        <f t="shared" si="219"/>
        <v>0</v>
      </c>
      <c r="FK161" s="9">
        <f t="shared" si="219"/>
        <v>0</v>
      </c>
      <c r="FL161" s="9">
        <f t="shared" si="219"/>
        <v>0</v>
      </c>
      <c r="FM161" s="9">
        <f t="shared" si="219"/>
        <v>0</v>
      </c>
      <c r="FN161" s="9">
        <f t="shared" si="219"/>
        <v>0</v>
      </c>
      <c r="FO161" s="9">
        <f t="shared" si="219"/>
        <v>30872482</v>
      </c>
    </row>
  </sheetData>
  <mergeCells count="130">
    <mergeCell ref="B3:FO3"/>
    <mergeCell ref="CC45:CO45"/>
    <mergeCell ref="DC6:DO6"/>
    <mergeCell ref="FC108:FO108"/>
    <mergeCell ref="AP45:BB45"/>
    <mergeCell ref="DC30:DO30"/>
    <mergeCell ref="BP69:CB69"/>
    <mergeCell ref="B2:FO2"/>
    <mergeCell ref="FC30:FO30"/>
    <mergeCell ref="CC96:CO96"/>
    <mergeCell ref="P30:AB30"/>
    <mergeCell ref="BP30:CB30"/>
    <mergeCell ref="P45:AB45"/>
    <mergeCell ref="C18:O18"/>
    <mergeCell ref="EC30:EO30"/>
    <mergeCell ref="EC45:EO45"/>
    <mergeCell ref="CP84:DB84"/>
    <mergeCell ref="CP69:DB69"/>
    <mergeCell ref="DC96:DO96"/>
    <mergeCell ref="B29:FO29"/>
    <mergeCell ref="EP84:FB84"/>
    <mergeCell ref="AC57:AO57"/>
    <mergeCell ref="BP45:CB45"/>
    <mergeCell ref="CP6:DB6"/>
    <mergeCell ref="EP6:FB6"/>
    <mergeCell ref="C108:O108"/>
    <mergeCell ref="C45:O45"/>
    <mergeCell ref="P96:AB96"/>
    <mergeCell ref="EP45:FB45"/>
    <mergeCell ref="AC30:AO30"/>
    <mergeCell ref="C84:O84"/>
    <mergeCell ref="AC69:AO69"/>
    <mergeCell ref="FC84:FO84"/>
    <mergeCell ref="CP18:DB18"/>
    <mergeCell ref="CP108:DB108"/>
    <mergeCell ref="AC18:AO18"/>
    <mergeCell ref="EP108:FB108"/>
    <mergeCell ref="CP30:DB30"/>
    <mergeCell ref="DC57:DO57"/>
    <mergeCell ref="BP96:CB96"/>
    <mergeCell ref="B95:FO95"/>
    <mergeCell ref="CP45:DB45"/>
    <mergeCell ref="DP108:EB108"/>
    <mergeCell ref="DP30:EB30"/>
    <mergeCell ref="EC57:EO57"/>
    <mergeCell ref="CP96:DB96"/>
    <mergeCell ref="CC6:CO6"/>
    <mergeCell ref="CC108:CO108"/>
    <mergeCell ref="DC69:DO69"/>
    <mergeCell ref="EP57:FB57"/>
    <mergeCell ref="EC108:EO108"/>
    <mergeCell ref="FC69:FO69"/>
    <mergeCell ref="CC30:CO30"/>
    <mergeCell ref="AP69:BB69"/>
    <mergeCell ref="AP84:BB84"/>
    <mergeCell ref="BC96:BO96"/>
    <mergeCell ref="FC6:FO6"/>
    <mergeCell ref="AP30:BB30"/>
    <mergeCell ref="AP6:BB6"/>
    <mergeCell ref="DC108:DO108"/>
    <mergeCell ref="DP69:EB69"/>
    <mergeCell ref="EP18:FB18"/>
    <mergeCell ref="DC45:DO45"/>
    <mergeCell ref="BP84:CB84"/>
    <mergeCell ref="FC45:FO45"/>
    <mergeCell ref="DP84:EB84"/>
    <mergeCell ref="BP6:CB6"/>
    <mergeCell ref="BP108:CB108"/>
    <mergeCell ref="EP69:FB69"/>
    <mergeCell ref="CC57:CO57"/>
    <mergeCell ref="EP96:FB96"/>
    <mergeCell ref="EC69:EO69"/>
    <mergeCell ref="BP57:CB57"/>
    <mergeCell ref="FC18:FO18"/>
    <mergeCell ref="CC84:CO84"/>
    <mergeCell ref="EC84:EO84"/>
    <mergeCell ref="BP18:CB18"/>
    <mergeCell ref="B68:FO68"/>
    <mergeCell ref="DP18:EB18"/>
    <mergeCell ref="BC45:BO45"/>
    <mergeCell ref="C57:O57"/>
    <mergeCell ref="AP96:BB96"/>
    <mergeCell ref="P6:AB6"/>
    <mergeCell ref="B5:FO5"/>
    <mergeCell ref="EC96:EO96"/>
    <mergeCell ref="BC57:BO57"/>
    <mergeCell ref="DP6:EB6"/>
    <mergeCell ref="BC18:BO18"/>
    <mergeCell ref="AP108:BB108"/>
    <mergeCell ref="DP45:EB45"/>
    <mergeCell ref="CC18:CO18"/>
    <mergeCell ref="EP30:FB30"/>
    <mergeCell ref="FC57:FO57"/>
    <mergeCell ref="DP96:EB96"/>
    <mergeCell ref="C69:O69"/>
    <mergeCell ref="AP57:BB57"/>
    <mergeCell ref="C96:O96"/>
    <mergeCell ref="EC18:EO18"/>
    <mergeCell ref="BC84:BO84"/>
    <mergeCell ref="DC84:DO84"/>
    <mergeCell ref="C30:O30"/>
    <mergeCell ref="AP18:BB18"/>
    <mergeCell ref="C6:O6"/>
    <mergeCell ref="AC45:AO45"/>
    <mergeCell ref="FC96:FO96"/>
    <mergeCell ref="BC6:BO6"/>
    <mergeCell ref="B81:FO81"/>
    <mergeCell ref="P57:AB57"/>
    <mergeCell ref="DC18:DO18"/>
    <mergeCell ref="AC84:AO84"/>
    <mergeCell ref="B56:FO56"/>
    <mergeCell ref="P18:AB18"/>
    <mergeCell ref="AC6:AO6"/>
    <mergeCell ref="AC108:AO108"/>
    <mergeCell ref="BC69:BO69"/>
    <mergeCell ref="CP57:DB57"/>
    <mergeCell ref="P108:AB108"/>
    <mergeCell ref="B42:FO42"/>
    <mergeCell ref="B107:FO107"/>
    <mergeCell ref="B17:FO17"/>
    <mergeCell ref="B44:FO44"/>
    <mergeCell ref="BC108:BO108"/>
    <mergeCell ref="AC96:AO96"/>
    <mergeCell ref="CC69:CO69"/>
    <mergeCell ref="DP57:EB57"/>
    <mergeCell ref="BC30:BO30"/>
    <mergeCell ref="P69:AB69"/>
    <mergeCell ref="P84:AB84"/>
    <mergeCell ref="EC6:EO6"/>
    <mergeCell ref="B83:FO83"/>
  </mergeCells>
  <pageMargins left="0.75" right="0.75" top="1" bottom="1" header="0.5" footer="0.5"/>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Dashboard</vt:lpstr>
      <vt:lpstr>MOP_Mes_Corriente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Aldo Manuel Herrera Hernandez</cp:lastModifiedBy>
  <dcterms:created xsi:type="dcterms:W3CDTF">2026-09-02T20:45:15Z</dcterms:created>
  <dcterms:modified xsi:type="dcterms:W3CDTF">2026-09-09T16:41:52Z</dcterms:modified>
</cp:coreProperties>
</file>