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ldo Manuel Herrera\Downloads\Ejecucion presupuestaria imversion\"/>
    </mc:Choice>
  </mc:AlternateContent>
  <xr:revisionPtr revIDLastSave="0" documentId="8_{67B6779D-1A1C-4EF9-A977-ECB2599F39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" sheetId="3" r:id="rId1"/>
    <sheet name="MINVU_Mes_Corrient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9" i="3" l="1"/>
  <c r="H39" i="3"/>
  <c r="G39" i="3"/>
  <c r="F39" i="3"/>
  <c r="E39" i="3"/>
  <c r="D39" i="3"/>
  <c r="C39" i="3"/>
  <c r="I39" i="3" s="1"/>
  <c r="H38" i="3"/>
  <c r="G38" i="3"/>
  <c r="I38" i="3" s="1"/>
  <c r="F38" i="3"/>
  <c r="J38" i="3" s="1"/>
  <c r="K38" i="3" s="1"/>
  <c r="E38" i="3"/>
  <c r="D38" i="3"/>
  <c r="C38" i="3"/>
  <c r="H37" i="3"/>
  <c r="G37" i="3"/>
  <c r="F37" i="3"/>
  <c r="E37" i="3"/>
  <c r="D37" i="3"/>
  <c r="J37" i="3" s="1"/>
  <c r="C37" i="3"/>
  <c r="I37" i="3" s="1"/>
  <c r="H36" i="3"/>
  <c r="G36" i="3"/>
  <c r="F36" i="3"/>
  <c r="E36" i="3"/>
  <c r="D36" i="3"/>
  <c r="J36" i="3" s="1"/>
  <c r="K36" i="3" s="1"/>
  <c r="C36" i="3"/>
  <c r="I36" i="3" s="1"/>
  <c r="I35" i="3"/>
  <c r="H35" i="3"/>
  <c r="J35" i="3" s="1"/>
  <c r="G35" i="3"/>
  <c r="F35" i="3"/>
  <c r="E35" i="3"/>
  <c r="D35" i="3"/>
  <c r="C35" i="3"/>
  <c r="H34" i="3"/>
  <c r="G34" i="3"/>
  <c r="F34" i="3"/>
  <c r="E34" i="3"/>
  <c r="D34" i="3"/>
  <c r="C34" i="3"/>
  <c r="I34" i="3" s="1"/>
  <c r="H33" i="3"/>
  <c r="G33" i="3"/>
  <c r="F33" i="3"/>
  <c r="E33" i="3"/>
  <c r="I33" i="3" s="1"/>
  <c r="D33" i="3"/>
  <c r="J33" i="3" s="1"/>
  <c r="C33" i="3"/>
  <c r="H32" i="3"/>
  <c r="G32" i="3"/>
  <c r="F32" i="3"/>
  <c r="E32" i="3"/>
  <c r="D32" i="3"/>
  <c r="J32" i="3" s="1"/>
  <c r="C32" i="3"/>
  <c r="I32" i="3" s="1"/>
  <c r="H31" i="3"/>
  <c r="G31" i="3"/>
  <c r="F31" i="3"/>
  <c r="E31" i="3"/>
  <c r="D31" i="3"/>
  <c r="J31" i="3" s="1"/>
  <c r="C31" i="3"/>
  <c r="H30" i="3"/>
  <c r="G30" i="3"/>
  <c r="F30" i="3"/>
  <c r="E30" i="3"/>
  <c r="D30" i="3"/>
  <c r="J30" i="3" s="1"/>
  <c r="C30" i="3"/>
  <c r="I30" i="3" s="1"/>
  <c r="H29" i="3"/>
  <c r="G29" i="3"/>
  <c r="F29" i="3"/>
  <c r="E29" i="3"/>
  <c r="D29" i="3"/>
  <c r="J29" i="3" s="1"/>
  <c r="C29" i="3"/>
  <c r="H28" i="3"/>
  <c r="G28" i="3"/>
  <c r="F28" i="3"/>
  <c r="E28" i="3"/>
  <c r="D28" i="3"/>
  <c r="J28" i="3" s="1"/>
  <c r="C28" i="3"/>
  <c r="I28" i="3" s="1"/>
  <c r="H27" i="3"/>
  <c r="G27" i="3"/>
  <c r="F27" i="3"/>
  <c r="E27" i="3"/>
  <c r="D27" i="3"/>
  <c r="J27" i="3" s="1"/>
  <c r="C27" i="3"/>
  <c r="H26" i="3"/>
  <c r="J26" i="3" s="1"/>
  <c r="K26" i="3" s="1"/>
  <c r="G26" i="3"/>
  <c r="F26" i="3"/>
  <c r="E26" i="3"/>
  <c r="D26" i="3"/>
  <c r="C26" i="3"/>
  <c r="I26" i="3" s="1"/>
  <c r="H25" i="3"/>
  <c r="G25" i="3"/>
  <c r="F25" i="3"/>
  <c r="J25" i="3" s="1"/>
  <c r="E25" i="3"/>
  <c r="I25" i="3" s="1"/>
  <c r="D25" i="3"/>
  <c r="C25" i="3"/>
  <c r="I24" i="3"/>
  <c r="H24" i="3"/>
  <c r="G24" i="3"/>
  <c r="F24" i="3"/>
  <c r="E24" i="3"/>
  <c r="D24" i="3"/>
  <c r="J24" i="3" s="1"/>
  <c r="K24" i="3" s="1"/>
  <c r="C24" i="3"/>
  <c r="J23" i="3"/>
  <c r="I23" i="3"/>
  <c r="H23" i="3"/>
  <c r="G23" i="3"/>
  <c r="F23" i="3"/>
  <c r="E23" i="3"/>
  <c r="D23" i="3"/>
  <c r="C23" i="3"/>
  <c r="H22" i="3"/>
  <c r="G22" i="3"/>
  <c r="G40" i="3" s="1"/>
  <c r="F22" i="3"/>
  <c r="E22" i="3"/>
  <c r="E40" i="3" s="1"/>
  <c r="D22" i="3"/>
  <c r="D40" i="3" s="1"/>
  <c r="C22" i="3"/>
  <c r="I22" i="3" s="1"/>
  <c r="F14" i="3"/>
  <c r="FO208" i="2"/>
  <c r="E65" i="3" s="1"/>
  <c r="FN208" i="2"/>
  <c r="FM208" i="2"/>
  <c r="FL208" i="2"/>
  <c r="FK208" i="2"/>
  <c r="FJ208" i="2"/>
  <c r="FI208" i="2"/>
  <c r="FH208" i="2"/>
  <c r="FG208" i="2"/>
  <c r="FF208" i="2"/>
  <c r="FE208" i="2"/>
  <c r="FD208" i="2"/>
  <c r="FC208" i="2"/>
  <c r="FB208" i="2"/>
  <c r="E64" i="3" s="1"/>
  <c r="I65" i="3" s="1"/>
  <c r="FA208" i="2"/>
  <c r="EZ208" i="2"/>
  <c r="EY208" i="2"/>
  <c r="EX208" i="2"/>
  <c r="EW208" i="2"/>
  <c r="EV208" i="2"/>
  <c r="EU208" i="2"/>
  <c r="ET208" i="2"/>
  <c r="ES208" i="2"/>
  <c r="ER208" i="2"/>
  <c r="EQ208" i="2"/>
  <c r="EP208" i="2"/>
  <c r="EO208" i="2"/>
  <c r="O47" i="3" s="1"/>
  <c r="EN208" i="2"/>
  <c r="N47" i="3" s="1"/>
  <c r="EM208" i="2"/>
  <c r="M47" i="3" s="1"/>
  <c r="EL208" i="2"/>
  <c r="L47" i="3" s="1"/>
  <c r="EK208" i="2"/>
  <c r="K47" i="3" s="1"/>
  <c r="EJ208" i="2"/>
  <c r="J47" i="3" s="1"/>
  <c r="EI208" i="2"/>
  <c r="I47" i="3" s="1"/>
  <c r="EH208" i="2"/>
  <c r="H47" i="3" s="1"/>
  <c r="EG208" i="2"/>
  <c r="G47" i="3" s="1"/>
  <c r="EF208" i="2"/>
  <c r="F47" i="3" s="1"/>
  <c r="EE208" i="2"/>
  <c r="E47" i="3" s="1"/>
  <c r="ED208" i="2"/>
  <c r="D47" i="3" s="1"/>
  <c r="EC208" i="2"/>
  <c r="C47" i="3" s="1"/>
  <c r="EB208" i="2"/>
  <c r="E62" i="3" s="1"/>
  <c r="EA208" i="2"/>
  <c r="DZ208" i="2"/>
  <c r="DY208" i="2"/>
  <c r="DX208" i="2"/>
  <c r="DW208" i="2"/>
  <c r="DV208" i="2"/>
  <c r="DU208" i="2"/>
  <c r="DT208" i="2"/>
  <c r="DS208" i="2"/>
  <c r="DR208" i="2"/>
  <c r="DQ208" i="2"/>
  <c r="DP208" i="2"/>
  <c r="DO208" i="2"/>
  <c r="E61" i="3" s="1"/>
  <c r="DN208" i="2"/>
  <c r="DM208" i="2"/>
  <c r="DL208" i="2"/>
  <c r="DK208" i="2"/>
  <c r="DJ208" i="2"/>
  <c r="DI208" i="2"/>
  <c r="DH208" i="2"/>
  <c r="DG208" i="2"/>
  <c r="DF208" i="2"/>
  <c r="DE208" i="2"/>
  <c r="DD208" i="2"/>
  <c r="DC208" i="2"/>
  <c r="DB208" i="2"/>
  <c r="E60" i="3" s="1"/>
  <c r="I61" i="3" s="1"/>
  <c r="DA208" i="2"/>
  <c r="CZ208" i="2"/>
  <c r="CY208" i="2"/>
  <c r="CX208" i="2"/>
  <c r="CW208" i="2"/>
  <c r="CV208" i="2"/>
  <c r="CU208" i="2"/>
  <c r="CT208" i="2"/>
  <c r="CS208" i="2"/>
  <c r="CR208" i="2"/>
  <c r="CQ208" i="2"/>
  <c r="CP208" i="2"/>
  <c r="CO208" i="2"/>
  <c r="E59" i="3" s="1"/>
  <c r="CN208" i="2"/>
  <c r="CM208" i="2"/>
  <c r="CL208" i="2"/>
  <c r="CK208" i="2"/>
  <c r="CJ208" i="2"/>
  <c r="CI208" i="2"/>
  <c r="CH208" i="2"/>
  <c r="CG208" i="2"/>
  <c r="CF208" i="2"/>
  <c r="CE208" i="2"/>
  <c r="CD208" i="2"/>
  <c r="CC208" i="2"/>
  <c r="CB208" i="2"/>
  <c r="E58" i="3" s="1"/>
  <c r="CA208" i="2"/>
  <c r="BZ208" i="2"/>
  <c r="BY208" i="2"/>
  <c r="BX208" i="2"/>
  <c r="BW208" i="2"/>
  <c r="BV208" i="2"/>
  <c r="BU208" i="2"/>
  <c r="BT208" i="2"/>
  <c r="BS208" i="2"/>
  <c r="BR208" i="2"/>
  <c r="BQ208" i="2"/>
  <c r="BP208" i="2"/>
  <c r="BO208" i="2"/>
  <c r="E57" i="3" s="1"/>
  <c r="BN208" i="2"/>
  <c r="BM208" i="2"/>
  <c r="BL208" i="2"/>
  <c r="BK208" i="2"/>
  <c r="BJ208" i="2"/>
  <c r="BI208" i="2"/>
  <c r="BH208" i="2"/>
  <c r="BG208" i="2"/>
  <c r="BF208" i="2"/>
  <c r="BE208" i="2"/>
  <c r="BD208" i="2"/>
  <c r="BC208" i="2"/>
  <c r="BB208" i="2"/>
  <c r="E56" i="3" s="1"/>
  <c r="BA208" i="2"/>
  <c r="AZ208" i="2"/>
  <c r="AY208" i="2"/>
  <c r="AX208" i="2"/>
  <c r="AW208" i="2"/>
  <c r="AV208" i="2"/>
  <c r="AU208" i="2"/>
  <c r="AT208" i="2"/>
  <c r="AS208" i="2"/>
  <c r="AR208" i="2"/>
  <c r="AQ208" i="2"/>
  <c r="AP208" i="2"/>
  <c r="AO208" i="2"/>
  <c r="E55" i="3" s="1"/>
  <c r="AN208" i="2"/>
  <c r="AM208" i="2"/>
  <c r="AL208" i="2"/>
  <c r="AK208" i="2"/>
  <c r="AJ208" i="2"/>
  <c r="AI208" i="2"/>
  <c r="AH208" i="2"/>
  <c r="AG208" i="2"/>
  <c r="AF208" i="2"/>
  <c r="AE208" i="2"/>
  <c r="AD208" i="2"/>
  <c r="AC208" i="2"/>
  <c r="AB208" i="2"/>
  <c r="E54" i="3" s="1"/>
  <c r="AA208" i="2"/>
  <c r="Z208" i="2"/>
  <c r="Y208" i="2"/>
  <c r="X208" i="2"/>
  <c r="W208" i="2"/>
  <c r="V208" i="2"/>
  <c r="U208" i="2"/>
  <c r="T208" i="2"/>
  <c r="S208" i="2"/>
  <c r="R208" i="2"/>
  <c r="Q208" i="2"/>
  <c r="P208" i="2"/>
  <c r="O208" i="2"/>
  <c r="E53" i="3" s="1"/>
  <c r="N208" i="2"/>
  <c r="M208" i="2"/>
  <c r="L208" i="2"/>
  <c r="K208" i="2"/>
  <c r="J208" i="2"/>
  <c r="I208" i="2"/>
  <c r="H208" i="2"/>
  <c r="G208" i="2"/>
  <c r="F208" i="2"/>
  <c r="E208" i="2"/>
  <c r="D208" i="2"/>
  <c r="C208" i="2"/>
  <c r="FO186" i="2"/>
  <c r="D65" i="3" s="1"/>
  <c r="G65" i="3" s="1"/>
  <c r="FN186" i="2"/>
  <c r="FM186" i="2"/>
  <c r="FL186" i="2"/>
  <c r="FK186" i="2"/>
  <c r="FJ186" i="2"/>
  <c r="FI186" i="2"/>
  <c r="FH186" i="2"/>
  <c r="FG186" i="2"/>
  <c r="FF186" i="2"/>
  <c r="FE186" i="2"/>
  <c r="FD186" i="2"/>
  <c r="FC186" i="2"/>
  <c r="FB186" i="2"/>
  <c r="D64" i="3" s="1"/>
  <c r="FA186" i="2"/>
  <c r="EZ186" i="2"/>
  <c r="EY186" i="2"/>
  <c r="EX186" i="2"/>
  <c r="EW186" i="2"/>
  <c r="EV186" i="2"/>
  <c r="EU186" i="2"/>
  <c r="ET186" i="2"/>
  <c r="ES186" i="2"/>
  <c r="ER186" i="2"/>
  <c r="EQ186" i="2"/>
  <c r="EP186" i="2"/>
  <c r="EO186" i="2"/>
  <c r="E14" i="3" s="1"/>
  <c r="EN186" i="2"/>
  <c r="N46" i="3" s="1"/>
  <c r="N48" i="3" s="1"/>
  <c r="EM186" i="2"/>
  <c r="M46" i="3" s="1"/>
  <c r="EL186" i="2"/>
  <c r="L46" i="3" s="1"/>
  <c r="EK186" i="2"/>
  <c r="K46" i="3" s="1"/>
  <c r="K48" i="3" s="1"/>
  <c r="EJ186" i="2"/>
  <c r="J46" i="3" s="1"/>
  <c r="J48" i="3" s="1"/>
  <c r="EI186" i="2"/>
  <c r="I46" i="3" s="1"/>
  <c r="I48" i="3" s="1"/>
  <c r="EH186" i="2"/>
  <c r="H46" i="3" s="1"/>
  <c r="H48" i="3" s="1"/>
  <c r="EG186" i="2"/>
  <c r="G46" i="3" s="1"/>
  <c r="G48" i="3" s="1"/>
  <c r="EF186" i="2"/>
  <c r="F46" i="3" s="1"/>
  <c r="F48" i="3" s="1"/>
  <c r="EE186" i="2"/>
  <c r="E46" i="3" s="1"/>
  <c r="E48" i="3" s="1"/>
  <c r="ED186" i="2"/>
  <c r="D46" i="3" s="1"/>
  <c r="D48" i="3" s="1"/>
  <c r="EC186" i="2"/>
  <c r="C46" i="3" s="1"/>
  <c r="C48" i="3" s="1"/>
  <c r="EB186" i="2"/>
  <c r="D62" i="3" s="1"/>
  <c r="G62" i="3" s="1"/>
  <c r="EA186" i="2"/>
  <c r="DZ186" i="2"/>
  <c r="DY186" i="2"/>
  <c r="DX186" i="2"/>
  <c r="DW186" i="2"/>
  <c r="DV186" i="2"/>
  <c r="DU186" i="2"/>
  <c r="DT186" i="2"/>
  <c r="DS186" i="2"/>
  <c r="DR186" i="2"/>
  <c r="DQ186" i="2"/>
  <c r="DP186" i="2"/>
  <c r="DO186" i="2"/>
  <c r="D61" i="3" s="1"/>
  <c r="DN186" i="2"/>
  <c r="DM186" i="2"/>
  <c r="DL186" i="2"/>
  <c r="DK186" i="2"/>
  <c r="DJ186" i="2"/>
  <c r="DI186" i="2"/>
  <c r="DH186" i="2"/>
  <c r="DG186" i="2"/>
  <c r="DF186" i="2"/>
  <c r="DE186" i="2"/>
  <c r="DD186" i="2"/>
  <c r="DC186" i="2"/>
  <c r="DB186" i="2"/>
  <c r="D60" i="3" s="1"/>
  <c r="DA186" i="2"/>
  <c r="CZ186" i="2"/>
  <c r="CY186" i="2"/>
  <c r="CX186" i="2"/>
  <c r="CW186" i="2"/>
  <c r="CV186" i="2"/>
  <c r="CU186" i="2"/>
  <c r="CT186" i="2"/>
  <c r="CS186" i="2"/>
  <c r="CR186" i="2"/>
  <c r="CQ186" i="2"/>
  <c r="CP186" i="2"/>
  <c r="CO186" i="2"/>
  <c r="D59" i="3" s="1"/>
  <c r="CN186" i="2"/>
  <c r="CM186" i="2"/>
  <c r="CL186" i="2"/>
  <c r="CK186" i="2"/>
  <c r="CJ186" i="2"/>
  <c r="CI186" i="2"/>
  <c r="CH186" i="2"/>
  <c r="CG186" i="2"/>
  <c r="CF186" i="2"/>
  <c r="CE186" i="2"/>
  <c r="CD186" i="2"/>
  <c r="CC186" i="2"/>
  <c r="CB186" i="2"/>
  <c r="D58" i="3" s="1"/>
  <c r="CA186" i="2"/>
  <c r="BZ186" i="2"/>
  <c r="BY186" i="2"/>
  <c r="BX186" i="2"/>
  <c r="BW186" i="2"/>
  <c r="BV186" i="2"/>
  <c r="BU186" i="2"/>
  <c r="BT186" i="2"/>
  <c r="BS186" i="2"/>
  <c r="BR186" i="2"/>
  <c r="BQ186" i="2"/>
  <c r="BP186" i="2"/>
  <c r="BO186" i="2"/>
  <c r="D57" i="3" s="1"/>
  <c r="BN186" i="2"/>
  <c r="BM186" i="2"/>
  <c r="BL186" i="2"/>
  <c r="BK186" i="2"/>
  <c r="BJ186" i="2"/>
  <c r="BI186" i="2"/>
  <c r="BH186" i="2"/>
  <c r="BG186" i="2"/>
  <c r="BF186" i="2"/>
  <c r="BE186" i="2"/>
  <c r="BD186" i="2"/>
  <c r="BC186" i="2"/>
  <c r="BB186" i="2"/>
  <c r="D56" i="3" s="1"/>
  <c r="G56" i="3" s="1"/>
  <c r="BA186" i="2"/>
  <c r="AZ186" i="2"/>
  <c r="AY186" i="2"/>
  <c r="AX186" i="2"/>
  <c r="AW186" i="2"/>
  <c r="AV186" i="2"/>
  <c r="AU186" i="2"/>
  <c r="AT186" i="2"/>
  <c r="AS186" i="2"/>
  <c r="AR186" i="2"/>
  <c r="AQ186" i="2"/>
  <c r="AP186" i="2"/>
  <c r="AO186" i="2"/>
  <c r="D55" i="3" s="1"/>
  <c r="G55" i="3" s="1"/>
  <c r="AN186" i="2"/>
  <c r="AM186" i="2"/>
  <c r="AL186" i="2"/>
  <c r="AK186" i="2"/>
  <c r="AJ186" i="2"/>
  <c r="AI186" i="2"/>
  <c r="AH186" i="2"/>
  <c r="AG186" i="2"/>
  <c r="AF186" i="2"/>
  <c r="AE186" i="2"/>
  <c r="AD186" i="2"/>
  <c r="AC186" i="2"/>
  <c r="AB186" i="2"/>
  <c r="D54" i="3" s="1"/>
  <c r="AA186" i="2"/>
  <c r="Z186" i="2"/>
  <c r="Y186" i="2"/>
  <c r="X186" i="2"/>
  <c r="W186" i="2"/>
  <c r="V186" i="2"/>
  <c r="U186" i="2"/>
  <c r="T186" i="2"/>
  <c r="S186" i="2"/>
  <c r="R186" i="2"/>
  <c r="Q186" i="2"/>
  <c r="P186" i="2"/>
  <c r="O186" i="2"/>
  <c r="D53" i="3" s="1"/>
  <c r="G53" i="3" s="1"/>
  <c r="N186" i="2"/>
  <c r="M186" i="2"/>
  <c r="L186" i="2"/>
  <c r="K186" i="2"/>
  <c r="J186" i="2"/>
  <c r="I186" i="2"/>
  <c r="H186" i="2"/>
  <c r="G186" i="2"/>
  <c r="F186" i="2"/>
  <c r="E186" i="2"/>
  <c r="D186" i="2"/>
  <c r="C186" i="2"/>
  <c r="FO164" i="2"/>
  <c r="C65" i="3" s="1"/>
  <c r="FN164" i="2"/>
  <c r="FM164" i="2"/>
  <c r="FL164" i="2"/>
  <c r="FK164" i="2"/>
  <c r="FJ164" i="2"/>
  <c r="FI164" i="2"/>
  <c r="FH164" i="2"/>
  <c r="FG164" i="2"/>
  <c r="FF164" i="2"/>
  <c r="FE164" i="2"/>
  <c r="FD164" i="2"/>
  <c r="FC164" i="2"/>
  <c r="FB164" i="2"/>
  <c r="C64" i="3" s="1"/>
  <c r="FA164" i="2"/>
  <c r="EZ164" i="2"/>
  <c r="EY164" i="2"/>
  <c r="EX164" i="2"/>
  <c r="EW164" i="2"/>
  <c r="EV164" i="2"/>
  <c r="EU164" i="2"/>
  <c r="ET164" i="2"/>
  <c r="ES164" i="2"/>
  <c r="ER164" i="2"/>
  <c r="EQ164" i="2"/>
  <c r="EP164" i="2"/>
  <c r="EO164" i="2"/>
  <c r="C63" i="3" s="1"/>
  <c r="EN164" i="2"/>
  <c r="N45" i="3" s="1"/>
  <c r="EM164" i="2"/>
  <c r="M45" i="3" s="1"/>
  <c r="EL164" i="2"/>
  <c r="L45" i="3" s="1"/>
  <c r="EK164" i="2"/>
  <c r="K45" i="3" s="1"/>
  <c r="EJ164" i="2"/>
  <c r="J45" i="3" s="1"/>
  <c r="EI164" i="2"/>
  <c r="I45" i="3" s="1"/>
  <c r="EH164" i="2"/>
  <c r="H45" i="3" s="1"/>
  <c r="EG164" i="2"/>
  <c r="G45" i="3" s="1"/>
  <c r="EF164" i="2"/>
  <c r="F45" i="3" s="1"/>
  <c r="EE164" i="2"/>
  <c r="E45" i="3" s="1"/>
  <c r="ED164" i="2"/>
  <c r="D45" i="3" s="1"/>
  <c r="EC164" i="2"/>
  <c r="C45" i="3" s="1"/>
  <c r="EB164" i="2"/>
  <c r="C62" i="3" s="1"/>
  <c r="EA164" i="2"/>
  <c r="DZ164" i="2"/>
  <c r="DY164" i="2"/>
  <c r="DX164" i="2"/>
  <c r="DW164" i="2"/>
  <c r="DV164" i="2"/>
  <c r="DU164" i="2"/>
  <c r="DT164" i="2"/>
  <c r="DS164" i="2"/>
  <c r="DR164" i="2"/>
  <c r="DQ164" i="2"/>
  <c r="DP164" i="2"/>
  <c r="DO164" i="2"/>
  <c r="C61" i="3" s="1"/>
  <c r="DN164" i="2"/>
  <c r="DM164" i="2"/>
  <c r="DL164" i="2"/>
  <c r="DK164" i="2"/>
  <c r="DJ164" i="2"/>
  <c r="DI164" i="2"/>
  <c r="DH164" i="2"/>
  <c r="DG164" i="2"/>
  <c r="DF164" i="2"/>
  <c r="DE164" i="2"/>
  <c r="DD164" i="2"/>
  <c r="DC164" i="2"/>
  <c r="DB164" i="2"/>
  <c r="C60" i="3" s="1"/>
  <c r="DA164" i="2"/>
  <c r="CZ164" i="2"/>
  <c r="CY164" i="2"/>
  <c r="CX164" i="2"/>
  <c r="CW164" i="2"/>
  <c r="CV164" i="2"/>
  <c r="CU164" i="2"/>
  <c r="CT164" i="2"/>
  <c r="CS164" i="2"/>
  <c r="CR164" i="2"/>
  <c r="CQ164" i="2"/>
  <c r="CP164" i="2"/>
  <c r="CO164" i="2"/>
  <c r="C59" i="3" s="1"/>
  <c r="CN164" i="2"/>
  <c r="CM164" i="2"/>
  <c r="CL164" i="2"/>
  <c r="CK164" i="2"/>
  <c r="CJ164" i="2"/>
  <c r="CI164" i="2"/>
  <c r="CH164" i="2"/>
  <c r="CG164" i="2"/>
  <c r="CF164" i="2"/>
  <c r="CE164" i="2"/>
  <c r="CD164" i="2"/>
  <c r="CC164" i="2"/>
  <c r="CB164" i="2"/>
  <c r="C58" i="3" s="1"/>
  <c r="CA164" i="2"/>
  <c r="BZ164" i="2"/>
  <c r="BY164" i="2"/>
  <c r="BX164" i="2"/>
  <c r="BW164" i="2"/>
  <c r="BV164" i="2"/>
  <c r="BU164" i="2"/>
  <c r="BT164" i="2"/>
  <c r="BS164" i="2"/>
  <c r="BR164" i="2"/>
  <c r="BQ164" i="2"/>
  <c r="BP164" i="2"/>
  <c r="BO164" i="2"/>
  <c r="C57" i="3" s="1"/>
  <c r="BN164" i="2"/>
  <c r="BM164" i="2"/>
  <c r="BL164" i="2"/>
  <c r="BK164" i="2"/>
  <c r="BJ164" i="2"/>
  <c r="BI164" i="2"/>
  <c r="BH164" i="2"/>
  <c r="BG164" i="2"/>
  <c r="BF164" i="2"/>
  <c r="BE164" i="2"/>
  <c r="BD164" i="2"/>
  <c r="BC164" i="2"/>
  <c r="BB164" i="2"/>
  <c r="C56" i="3" s="1"/>
  <c r="BA164" i="2"/>
  <c r="AZ164" i="2"/>
  <c r="AY164" i="2"/>
  <c r="AX164" i="2"/>
  <c r="AW164" i="2"/>
  <c r="AV164" i="2"/>
  <c r="AU164" i="2"/>
  <c r="AT164" i="2"/>
  <c r="AS164" i="2"/>
  <c r="AR164" i="2"/>
  <c r="AQ164" i="2"/>
  <c r="AP164" i="2"/>
  <c r="AO164" i="2"/>
  <c r="C55" i="3" s="1"/>
  <c r="AN164" i="2"/>
  <c r="AM164" i="2"/>
  <c r="AL164" i="2"/>
  <c r="AK164" i="2"/>
  <c r="AJ164" i="2"/>
  <c r="AI164" i="2"/>
  <c r="AH164" i="2"/>
  <c r="AG164" i="2"/>
  <c r="AF164" i="2"/>
  <c r="AE164" i="2"/>
  <c r="AD164" i="2"/>
  <c r="AC164" i="2"/>
  <c r="AB164" i="2"/>
  <c r="C54" i="3" s="1"/>
  <c r="AA164" i="2"/>
  <c r="Z164" i="2"/>
  <c r="Y164" i="2"/>
  <c r="X164" i="2"/>
  <c r="W164" i="2"/>
  <c r="V164" i="2"/>
  <c r="U164" i="2"/>
  <c r="T164" i="2"/>
  <c r="S164" i="2"/>
  <c r="R164" i="2"/>
  <c r="Q164" i="2"/>
  <c r="P164" i="2"/>
  <c r="O164" i="2"/>
  <c r="C53" i="3" s="1"/>
  <c r="N164" i="2"/>
  <c r="M164" i="2"/>
  <c r="L164" i="2"/>
  <c r="K164" i="2"/>
  <c r="J164" i="2"/>
  <c r="I164" i="2"/>
  <c r="H164" i="2"/>
  <c r="G164" i="2"/>
  <c r="F164" i="2"/>
  <c r="E164" i="2"/>
  <c r="D164" i="2"/>
  <c r="C164" i="2"/>
  <c r="FO139" i="2"/>
  <c r="FN139" i="2"/>
  <c r="FM139" i="2"/>
  <c r="FL139" i="2"/>
  <c r="FK139" i="2"/>
  <c r="FJ139" i="2"/>
  <c r="FI139" i="2"/>
  <c r="FH139" i="2"/>
  <c r="FG139" i="2"/>
  <c r="FF139" i="2"/>
  <c r="FE139" i="2"/>
  <c r="FD139" i="2"/>
  <c r="FC139" i="2"/>
  <c r="FB139" i="2"/>
  <c r="FA139" i="2"/>
  <c r="EZ139" i="2"/>
  <c r="EY139" i="2"/>
  <c r="EX139" i="2"/>
  <c r="EW139" i="2"/>
  <c r="EV139" i="2"/>
  <c r="EU139" i="2"/>
  <c r="ET139" i="2"/>
  <c r="ES139" i="2"/>
  <c r="ER139" i="2"/>
  <c r="EQ139" i="2"/>
  <c r="EP139" i="2"/>
  <c r="EO139" i="2"/>
  <c r="F16" i="3" s="1"/>
  <c r="EN139" i="2"/>
  <c r="EM139" i="2"/>
  <c r="EL139" i="2"/>
  <c r="EK139" i="2"/>
  <c r="EJ139" i="2"/>
  <c r="EI139" i="2"/>
  <c r="EH139" i="2"/>
  <c r="EG139" i="2"/>
  <c r="EF139" i="2"/>
  <c r="EE139" i="2"/>
  <c r="ED139" i="2"/>
  <c r="EC139" i="2"/>
  <c r="EB139" i="2"/>
  <c r="EA139" i="2"/>
  <c r="DZ139" i="2"/>
  <c r="DY139" i="2"/>
  <c r="DX139" i="2"/>
  <c r="DW139" i="2"/>
  <c r="DV139" i="2"/>
  <c r="DU139" i="2"/>
  <c r="DT139" i="2"/>
  <c r="DS139" i="2"/>
  <c r="DR139" i="2"/>
  <c r="DQ139" i="2"/>
  <c r="DP139" i="2"/>
  <c r="DO139" i="2"/>
  <c r="DN139" i="2"/>
  <c r="DM139" i="2"/>
  <c r="DL139" i="2"/>
  <c r="DK139" i="2"/>
  <c r="DJ139" i="2"/>
  <c r="DI139" i="2"/>
  <c r="DH139" i="2"/>
  <c r="DG139" i="2"/>
  <c r="DF139" i="2"/>
  <c r="DE139" i="2"/>
  <c r="DD139" i="2"/>
  <c r="DC139" i="2"/>
  <c r="DB139" i="2"/>
  <c r="DA139" i="2"/>
  <c r="CZ139" i="2"/>
  <c r="CY139" i="2"/>
  <c r="CX139" i="2"/>
  <c r="CW139" i="2"/>
  <c r="CV139" i="2"/>
  <c r="CU139" i="2"/>
  <c r="CT139" i="2"/>
  <c r="CS139" i="2"/>
  <c r="CR139" i="2"/>
  <c r="CQ139" i="2"/>
  <c r="CP139" i="2"/>
  <c r="CO139" i="2"/>
  <c r="CN139" i="2"/>
  <c r="CM139" i="2"/>
  <c r="CL139" i="2"/>
  <c r="CK139" i="2"/>
  <c r="CJ139" i="2"/>
  <c r="CI139" i="2"/>
  <c r="CH139" i="2"/>
  <c r="CG139" i="2"/>
  <c r="CF139" i="2"/>
  <c r="CE139" i="2"/>
  <c r="CD139" i="2"/>
  <c r="CC139" i="2"/>
  <c r="CB139" i="2"/>
  <c r="CA139" i="2"/>
  <c r="BZ139" i="2"/>
  <c r="BY139" i="2"/>
  <c r="BX139" i="2"/>
  <c r="BW139" i="2"/>
  <c r="BV139" i="2"/>
  <c r="BU139" i="2"/>
  <c r="BT139" i="2"/>
  <c r="BS139" i="2"/>
  <c r="BR139" i="2"/>
  <c r="BQ139" i="2"/>
  <c r="BP139" i="2"/>
  <c r="BO139" i="2"/>
  <c r="BN139" i="2"/>
  <c r="BM139" i="2"/>
  <c r="BL139" i="2"/>
  <c r="BK139" i="2"/>
  <c r="BJ139" i="2"/>
  <c r="BI139" i="2"/>
  <c r="BH139" i="2"/>
  <c r="BG139" i="2"/>
  <c r="BF139" i="2"/>
  <c r="BE139" i="2"/>
  <c r="BD139" i="2"/>
  <c r="BC139" i="2"/>
  <c r="BB139" i="2"/>
  <c r="BA139" i="2"/>
  <c r="AZ139" i="2"/>
  <c r="AY139" i="2"/>
  <c r="AX139" i="2"/>
  <c r="AW139" i="2"/>
  <c r="AV139" i="2"/>
  <c r="AU139" i="2"/>
  <c r="AT139" i="2"/>
  <c r="AS139" i="2"/>
  <c r="AR139" i="2"/>
  <c r="AQ139" i="2"/>
  <c r="AP139" i="2"/>
  <c r="AO139" i="2"/>
  <c r="AN139" i="2"/>
  <c r="AM139" i="2"/>
  <c r="AL139" i="2"/>
  <c r="AK139" i="2"/>
  <c r="AJ139" i="2"/>
  <c r="AI139" i="2"/>
  <c r="AH139" i="2"/>
  <c r="AG139" i="2"/>
  <c r="AF139" i="2"/>
  <c r="AE139" i="2"/>
  <c r="AD139" i="2"/>
  <c r="AC139" i="2"/>
  <c r="AB139" i="2"/>
  <c r="AA139" i="2"/>
  <c r="Z139" i="2"/>
  <c r="Y139" i="2"/>
  <c r="X139" i="2"/>
  <c r="W139" i="2"/>
  <c r="V139" i="2"/>
  <c r="U139" i="2"/>
  <c r="T139" i="2"/>
  <c r="S139" i="2"/>
  <c r="R139" i="2"/>
  <c r="Q139" i="2"/>
  <c r="P139" i="2"/>
  <c r="O139" i="2"/>
  <c r="N139" i="2"/>
  <c r="M139" i="2"/>
  <c r="L139" i="2"/>
  <c r="K139" i="2"/>
  <c r="J139" i="2"/>
  <c r="I139" i="2"/>
  <c r="H139" i="2"/>
  <c r="G139" i="2"/>
  <c r="F139" i="2"/>
  <c r="E139" i="2"/>
  <c r="D139" i="2"/>
  <c r="C139" i="2"/>
  <c r="FO117" i="2"/>
  <c r="FN117" i="2"/>
  <c r="FM117" i="2"/>
  <c r="FL117" i="2"/>
  <c r="FK117" i="2"/>
  <c r="FJ117" i="2"/>
  <c r="FI117" i="2"/>
  <c r="FH117" i="2"/>
  <c r="FG117" i="2"/>
  <c r="FF117" i="2"/>
  <c r="FE117" i="2"/>
  <c r="FD117" i="2"/>
  <c r="FC117" i="2"/>
  <c r="FB117" i="2"/>
  <c r="FA117" i="2"/>
  <c r="EZ117" i="2"/>
  <c r="EY117" i="2"/>
  <c r="EX117" i="2"/>
  <c r="EW117" i="2"/>
  <c r="EV117" i="2"/>
  <c r="EU117" i="2"/>
  <c r="ET117" i="2"/>
  <c r="ES117" i="2"/>
  <c r="ER117" i="2"/>
  <c r="EQ117" i="2"/>
  <c r="EP117" i="2"/>
  <c r="EO117" i="2"/>
  <c r="E16" i="3" s="1"/>
  <c r="EN117" i="2"/>
  <c r="EM117" i="2"/>
  <c r="EL117" i="2"/>
  <c r="EK117" i="2"/>
  <c r="EJ117" i="2"/>
  <c r="EI117" i="2"/>
  <c r="EH117" i="2"/>
  <c r="EG117" i="2"/>
  <c r="EF117" i="2"/>
  <c r="EE117" i="2"/>
  <c r="ED117" i="2"/>
  <c r="EC117" i="2"/>
  <c r="EB117" i="2"/>
  <c r="EA117" i="2"/>
  <c r="DZ117" i="2"/>
  <c r="DY117" i="2"/>
  <c r="DX117" i="2"/>
  <c r="DW117" i="2"/>
  <c r="DV117" i="2"/>
  <c r="DU117" i="2"/>
  <c r="DT117" i="2"/>
  <c r="DS117" i="2"/>
  <c r="DR117" i="2"/>
  <c r="DQ117" i="2"/>
  <c r="DP117" i="2"/>
  <c r="DO117" i="2"/>
  <c r="DN117" i="2"/>
  <c r="DM117" i="2"/>
  <c r="DL117" i="2"/>
  <c r="DK117" i="2"/>
  <c r="DJ117" i="2"/>
  <c r="DI117" i="2"/>
  <c r="DH117" i="2"/>
  <c r="DG117" i="2"/>
  <c r="DF117" i="2"/>
  <c r="DE117" i="2"/>
  <c r="DD117" i="2"/>
  <c r="DC117" i="2"/>
  <c r="DB117" i="2"/>
  <c r="DA117" i="2"/>
  <c r="CZ117" i="2"/>
  <c r="CY117" i="2"/>
  <c r="CX117" i="2"/>
  <c r="CW117" i="2"/>
  <c r="CV117" i="2"/>
  <c r="CU117" i="2"/>
  <c r="CT117" i="2"/>
  <c r="CS117" i="2"/>
  <c r="CR117" i="2"/>
  <c r="CQ117" i="2"/>
  <c r="CP117" i="2"/>
  <c r="CO117" i="2"/>
  <c r="CN117" i="2"/>
  <c r="CM117" i="2"/>
  <c r="CL117" i="2"/>
  <c r="CK117" i="2"/>
  <c r="CJ117" i="2"/>
  <c r="CI117" i="2"/>
  <c r="CH117" i="2"/>
  <c r="CG117" i="2"/>
  <c r="CF117" i="2"/>
  <c r="CE117" i="2"/>
  <c r="CD117" i="2"/>
  <c r="CC117" i="2"/>
  <c r="CB117" i="2"/>
  <c r="CA117" i="2"/>
  <c r="BZ117" i="2"/>
  <c r="BY117" i="2"/>
  <c r="BX117" i="2"/>
  <c r="BW117" i="2"/>
  <c r="BV117" i="2"/>
  <c r="BU117" i="2"/>
  <c r="BT117" i="2"/>
  <c r="BS117" i="2"/>
  <c r="BR117" i="2"/>
  <c r="BQ117" i="2"/>
  <c r="BP117" i="2"/>
  <c r="BO117" i="2"/>
  <c r="BN117" i="2"/>
  <c r="BM117" i="2"/>
  <c r="BL117" i="2"/>
  <c r="BK117" i="2"/>
  <c r="BJ117" i="2"/>
  <c r="BI117" i="2"/>
  <c r="BH117" i="2"/>
  <c r="BG117" i="2"/>
  <c r="BF117" i="2"/>
  <c r="BE117" i="2"/>
  <c r="BD117" i="2"/>
  <c r="BC117" i="2"/>
  <c r="BB117" i="2"/>
  <c r="BA117" i="2"/>
  <c r="AZ117" i="2"/>
  <c r="AY117" i="2"/>
  <c r="AX117" i="2"/>
  <c r="AW117" i="2"/>
  <c r="AV117" i="2"/>
  <c r="AU117" i="2"/>
  <c r="AT117" i="2"/>
  <c r="AS117" i="2"/>
  <c r="AR117" i="2"/>
  <c r="AQ117" i="2"/>
  <c r="AP117" i="2"/>
  <c r="AO117" i="2"/>
  <c r="AN117" i="2"/>
  <c r="AM117" i="2"/>
  <c r="AL117" i="2"/>
  <c r="AK117" i="2"/>
  <c r="AJ117" i="2"/>
  <c r="AI117" i="2"/>
  <c r="AH117" i="2"/>
  <c r="AG117" i="2"/>
  <c r="AF117" i="2"/>
  <c r="AE117" i="2"/>
  <c r="AD117" i="2"/>
  <c r="AC117" i="2"/>
  <c r="AB117" i="2"/>
  <c r="AA117" i="2"/>
  <c r="Z117" i="2"/>
  <c r="Y117" i="2"/>
  <c r="X117" i="2"/>
  <c r="W117" i="2"/>
  <c r="V117" i="2"/>
  <c r="U117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F117" i="2"/>
  <c r="E117" i="2"/>
  <c r="D117" i="2"/>
  <c r="C117" i="2"/>
  <c r="FO95" i="2"/>
  <c r="FN95" i="2"/>
  <c r="FM95" i="2"/>
  <c r="FL95" i="2"/>
  <c r="FK95" i="2"/>
  <c r="FJ95" i="2"/>
  <c r="FI95" i="2"/>
  <c r="FH95" i="2"/>
  <c r="FG95" i="2"/>
  <c r="FF95" i="2"/>
  <c r="FE95" i="2"/>
  <c r="FD95" i="2"/>
  <c r="FC95" i="2"/>
  <c r="FB95" i="2"/>
  <c r="FA95" i="2"/>
  <c r="EZ95" i="2"/>
  <c r="EY95" i="2"/>
  <c r="EX95" i="2"/>
  <c r="EW95" i="2"/>
  <c r="EV95" i="2"/>
  <c r="EU95" i="2"/>
  <c r="ET95" i="2"/>
  <c r="ES95" i="2"/>
  <c r="ER95" i="2"/>
  <c r="EQ95" i="2"/>
  <c r="EP95" i="2"/>
  <c r="EO95" i="2"/>
  <c r="D16" i="3" s="1"/>
  <c r="EN95" i="2"/>
  <c r="EM95" i="2"/>
  <c r="EL95" i="2"/>
  <c r="EK95" i="2"/>
  <c r="EJ95" i="2"/>
  <c r="EI95" i="2"/>
  <c r="EH95" i="2"/>
  <c r="EG95" i="2"/>
  <c r="EF95" i="2"/>
  <c r="EE95" i="2"/>
  <c r="ED95" i="2"/>
  <c r="EC95" i="2"/>
  <c r="EB95" i="2"/>
  <c r="EA95" i="2"/>
  <c r="DZ95" i="2"/>
  <c r="DY95" i="2"/>
  <c r="DX95" i="2"/>
  <c r="DW95" i="2"/>
  <c r="DV95" i="2"/>
  <c r="DU95" i="2"/>
  <c r="DT95" i="2"/>
  <c r="DS95" i="2"/>
  <c r="DR95" i="2"/>
  <c r="DQ95" i="2"/>
  <c r="DP95" i="2"/>
  <c r="DO95" i="2"/>
  <c r="DN95" i="2"/>
  <c r="DM95" i="2"/>
  <c r="DL95" i="2"/>
  <c r="DK95" i="2"/>
  <c r="DJ95" i="2"/>
  <c r="DI95" i="2"/>
  <c r="DH95" i="2"/>
  <c r="DG95" i="2"/>
  <c r="DF95" i="2"/>
  <c r="DE95" i="2"/>
  <c r="DD95" i="2"/>
  <c r="DC95" i="2"/>
  <c r="DB95" i="2"/>
  <c r="DA95" i="2"/>
  <c r="CZ95" i="2"/>
  <c r="CY95" i="2"/>
  <c r="CX95" i="2"/>
  <c r="CW95" i="2"/>
  <c r="CV95" i="2"/>
  <c r="CU95" i="2"/>
  <c r="CT95" i="2"/>
  <c r="CS95" i="2"/>
  <c r="CR95" i="2"/>
  <c r="CQ95" i="2"/>
  <c r="CP95" i="2"/>
  <c r="CO95" i="2"/>
  <c r="CN95" i="2"/>
  <c r="CM95" i="2"/>
  <c r="CL95" i="2"/>
  <c r="CK95" i="2"/>
  <c r="CJ95" i="2"/>
  <c r="CI95" i="2"/>
  <c r="CH95" i="2"/>
  <c r="CG95" i="2"/>
  <c r="CF95" i="2"/>
  <c r="CE95" i="2"/>
  <c r="CD95" i="2"/>
  <c r="CC95" i="2"/>
  <c r="CB95" i="2"/>
  <c r="CA95" i="2"/>
  <c r="BZ95" i="2"/>
  <c r="BY95" i="2"/>
  <c r="BX95" i="2"/>
  <c r="BW95" i="2"/>
  <c r="BV95" i="2"/>
  <c r="BU95" i="2"/>
  <c r="BT95" i="2"/>
  <c r="BS95" i="2"/>
  <c r="BR95" i="2"/>
  <c r="BQ95" i="2"/>
  <c r="BP95" i="2"/>
  <c r="BO95" i="2"/>
  <c r="BN95" i="2"/>
  <c r="BM95" i="2"/>
  <c r="BL95" i="2"/>
  <c r="BK95" i="2"/>
  <c r="BJ95" i="2"/>
  <c r="BI95" i="2"/>
  <c r="BH95" i="2"/>
  <c r="BG95" i="2"/>
  <c r="BF95" i="2"/>
  <c r="BE95" i="2"/>
  <c r="BD95" i="2"/>
  <c r="BC95" i="2"/>
  <c r="BB95" i="2"/>
  <c r="BA95" i="2"/>
  <c r="AZ95" i="2"/>
  <c r="AY95" i="2"/>
  <c r="AX95" i="2"/>
  <c r="AW95" i="2"/>
  <c r="AV95" i="2"/>
  <c r="AU95" i="2"/>
  <c r="AT95" i="2"/>
  <c r="AS95" i="2"/>
  <c r="AR95" i="2"/>
  <c r="AQ95" i="2"/>
  <c r="AP95" i="2"/>
  <c r="AO95" i="2"/>
  <c r="AN95" i="2"/>
  <c r="AM95" i="2"/>
  <c r="AL95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F95" i="2"/>
  <c r="E95" i="2"/>
  <c r="D95" i="2"/>
  <c r="C95" i="2"/>
  <c r="FO70" i="2"/>
  <c r="FN70" i="2"/>
  <c r="FM70" i="2"/>
  <c r="FL70" i="2"/>
  <c r="FK70" i="2"/>
  <c r="FJ70" i="2"/>
  <c r="FI70" i="2"/>
  <c r="FH70" i="2"/>
  <c r="FG70" i="2"/>
  <c r="FF70" i="2"/>
  <c r="FE70" i="2"/>
  <c r="FD70" i="2"/>
  <c r="FC70" i="2"/>
  <c r="FB70" i="2"/>
  <c r="FA70" i="2"/>
  <c r="EZ70" i="2"/>
  <c r="EY70" i="2"/>
  <c r="EX70" i="2"/>
  <c r="EW70" i="2"/>
  <c r="EV70" i="2"/>
  <c r="EU70" i="2"/>
  <c r="ET70" i="2"/>
  <c r="ES70" i="2"/>
  <c r="ER70" i="2"/>
  <c r="EQ70" i="2"/>
  <c r="EP70" i="2"/>
  <c r="EO70" i="2"/>
  <c r="F15" i="3" s="1"/>
  <c r="EN70" i="2"/>
  <c r="EM70" i="2"/>
  <c r="EL70" i="2"/>
  <c r="EK70" i="2"/>
  <c r="EJ70" i="2"/>
  <c r="EI70" i="2"/>
  <c r="EH70" i="2"/>
  <c r="EG70" i="2"/>
  <c r="EF70" i="2"/>
  <c r="EE70" i="2"/>
  <c r="ED70" i="2"/>
  <c r="EC70" i="2"/>
  <c r="EB70" i="2"/>
  <c r="EA70" i="2"/>
  <c r="DZ70" i="2"/>
  <c r="DY70" i="2"/>
  <c r="DX70" i="2"/>
  <c r="DW70" i="2"/>
  <c r="DV70" i="2"/>
  <c r="DU70" i="2"/>
  <c r="DT70" i="2"/>
  <c r="DS70" i="2"/>
  <c r="DR70" i="2"/>
  <c r="DQ70" i="2"/>
  <c r="DP70" i="2"/>
  <c r="DO70" i="2"/>
  <c r="DN70" i="2"/>
  <c r="DM70" i="2"/>
  <c r="DL70" i="2"/>
  <c r="DK70" i="2"/>
  <c r="DJ70" i="2"/>
  <c r="DI70" i="2"/>
  <c r="DH70" i="2"/>
  <c r="DG70" i="2"/>
  <c r="DF70" i="2"/>
  <c r="DE70" i="2"/>
  <c r="DD70" i="2"/>
  <c r="DC70" i="2"/>
  <c r="DB70" i="2"/>
  <c r="DA70" i="2"/>
  <c r="CZ70" i="2"/>
  <c r="CY70" i="2"/>
  <c r="CX70" i="2"/>
  <c r="CW70" i="2"/>
  <c r="CV70" i="2"/>
  <c r="CU70" i="2"/>
  <c r="CT70" i="2"/>
  <c r="CS70" i="2"/>
  <c r="CR70" i="2"/>
  <c r="CQ70" i="2"/>
  <c r="CP70" i="2"/>
  <c r="CO70" i="2"/>
  <c r="CN70" i="2"/>
  <c r="CM70" i="2"/>
  <c r="CL70" i="2"/>
  <c r="CK70" i="2"/>
  <c r="CJ70" i="2"/>
  <c r="CI70" i="2"/>
  <c r="CH70" i="2"/>
  <c r="CG70" i="2"/>
  <c r="CF70" i="2"/>
  <c r="CE70" i="2"/>
  <c r="CD70" i="2"/>
  <c r="CC70" i="2"/>
  <c r="CB70" i="2"/>
  <c r="CA70" i="2"/>
  <c r="BZ70" i="2"/>
  <c r="BY70" i="2"/>
  <c r="BX70" i="2"/>
  <c r="BW70" i="2"/>
  <c r="BV70" i="2"/>
  <c r="BU70" i="2"/>
  <c r="BT70" i="2"/>
  <c r="BS70" i="2"/>
  <c r="BR70" i="2"/>
  <c r="BQ70" i="2"/>
  <c r="BP70" i="2"/>
  <c r="BO70" i="2"/>
  <c r="BN70" i="2"/>
  <c r="BM70" i="2"/>
  <c r="BL70" i="2"/>
  <c r="BK70" i="2"/>
  <c r="BJ70" i="2"/>
  <c r="BI70" i="2"/>
  <c r="BH70" i="2"/>
  <c r="BG70" i="2"/>
  <c r="BF70" i="2"/>
  <c r="BE70" i="2"/>
  <c r="BD70" i="2"/>
  <c r="BC70" i="2"/>
  <c r="BB70" i="2"/>
  <c r="BA70" i="2"/>
  <c r="AZ70" i="2"/>
  <c r="AY70" i="2"/>
  <c r="AX70" i="2"/>
  <c r="AW70" i="2"/>
  <c r="AV70" i="2"/>
  <c r="AU70" i="2"/>
  <c r="AT70" i="2"/>
  <c r="AS70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FO48" i="2"/>
  <c r="FN48" i="2"/>
  <c r="FM48" i="2"/>
  <c r="FL48" i="2"/>
  <c r="FK48" i="2"/>
  <c r="FJ48" i="2"/>
  <c r="FI48" i="2"/>
  <c r="FH48" i="2"/>
  <c r="FG48" i="2"/>
  <c r="FF48" i="2"/>
  <c r="FE48" i="2"/>
  <c r="FD48" i="2"/>
  <c r="FC48" i="2"/>
  <c r="FB48" i="2"/>
  <c r="FA48" i="2"/>
  <c r="EZ48" i="2"/>
  <c r="EY48" i="2"/>
  <c r="EX48" i="2"/>
  <c r="EW48" i="2"/>
  <c r="EV48" i="2"/>
  <c r="EU48" i="2"/>
  <c r="ET48" i="2"/>
  <c r="ES48" i="2"/>
  <c r="ER48" i="2"/>
  <c r="EQ48" i="2"/>
  <c r="EP48" i="2"/>
  <c r="EO48" i="2"/>
  <c r="E15" i="3" s="1"/>
  <c r="H15" i="3" s="1"/>
  <c r="EN48" i="2"/>
  <c r="EM48" i="2"/>
  <c r="EL48" i="2"/>
  <c r="EK48" i="2"/>
  <c r="EJ48" i="2"/>
  <c r="EI48" i="2"/>
  <c r="EH48" i="2"/>
  <c r="EG48" i="2"/>
  <c r="EF48" i="2"/>
  <c r="EE48" i="2"/>
  <c r="ED48" i="2"/>
  <c r="EC48" i="2"/>
  <c r="EB48" i="2"/>
  <c r="EA48" i="2"/>
  <c r="DZ48" i="2"/>
  <c r="DY48" i="2"/>
  <c r="DX48" i="2"/>
  <c r="DW48" i="2"/>
  <c r="DV48" i="2"/>
  <c r="DU48" i="2"/>
  <c r="DT48" i="2"/>
  <c r="DS48" i="2"/>
  <c r="DR48" i="2"/>
  <c r="DQ48" i="2"/>
  <c r="DP48" i="2"/>
  <c r="DO48" i="2"/>
  <c r="DN48" i="2"/>
  <c r="DM48" i="2"/>
  <c r="DL48" i="2"/>
  <c r="DK48" i="2"/>
  <c r="DJ48" i="2"/>
  <c r="DI48" i="2"/>
  <c r="DH48" i="2"/>
  <c r="DG48" i="2"/>
  <c r="DF48" i="2"/>
  <c r="DE48" i="2"/>
  <c r="DD48" i="2"/>
  <c r="DC48" i="2"/>
  <c r="DB48" i="2"/>
  <c r="DA48" i="2"/>
  <c r="CZ48" i="2"/>
  <c r="CY48" i="2"/>
  <c r="CX48" i="2"/>
  <c r="CW48" i="2"/>
  <c r="CV48" i="2"/>
  <c r="CU48" i="2"/>
  <c r="CT48" i="2"/>
  <c r="CS48" i="2"/>
  <c r="CR48" i="2"/>
  <c r="CQ48" i="2"/>
  <c r="CP48" i="2"/>
  <c r="CO48" i="2"/>
  <c r="CN48" i="2"/>
  <c r="CM48" i="2"/>
  <c r="CL48" i="2"/>
  <c r="CK48" i="2"/>
  <c r="CJ48" i="2"/>
  <c r="CI48" i="2"/>
  <c r="CH48" i="2"/>
  <c r="CG48" i="2"/>
  <c r="CF48" i="2"/>
  <c r="CE48" i="2"/>
  <c r="CD48" i="2"/>
  <c r="CC48" i="2"/>
  <c r="CB48" i="2"/>
  <c r="CA48" i="2"/>
  <c r="BZ48" i="2"/>
  <c r="BY48" i="2"/>
  <c r="BX48" i="2"/>
  <c r="BW48" i="2"/>
  <c r="BV48" i="2"/>
  <c r="BU48" i="2"/>
  <c r="BT48" i="2"/>
  <c r="BS48" i="2"/>
  <c r="BR48" i="2"/>
  <c r="BQ48" i="2"/>
  <c r="BP48" i="2"/>
  <c r="BO48" i="2"/>
  <c r="BN48" i="2"/>
  <c r="BM48" i="2"/>
  <c r="BL48" i="2"/>
  <c r="BK48" i="2"/>
  <c r="BJ48" i="2"/>
  <c r="BI48" i="2"/>
  <c r="BH48" i="2"/>
  <c r="BG48" i="2"/>
  <c r="BF48" i="2"/>
  <c r="BE48" i="2"/>
  <c r="BD48" i="2"/>
  <c r="BC48" i="2"/>
  <c r="BB48" i="2"/>
  <c r="BA48" i="2"/>
  <c r="AZ48" i="2"/>
  <c r="AY48" i="2"/>
  <c r="AX48" i="2"/>
  <c r="AW48" i="2"/>
  <c r="AV48" i="2"/>
  <c r="AU48" i="2"/>
  <c r="AT48" i="2"/>
  <c r="AS48" i="2"/>
  <c r="AR48" i="2"/>
  <c r="AQ48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FO26" i="2"/>
  <c r="FN26" i="2"/>
  <c r="FM26" i="2"/>
  <c r="FL26" i="2"/>
  <c r="FK26" i="2"/>
  <c r="FJ26" i="2"/>
  <c r="FI26" i="2"/>
  <c r="FH26" i="2"/>
  <c r="FG26" i="2"/>
  <c r="FF26" i="2"/>
  <c r="FE26" i="2"/>
  <c r="FD26" i="2"/>
  <c r="FC26" i="2"/>
  <c r="FB26" i="2"/>
  <c r="FA26" i="2"/>
  <c r="EZ26" i="2"/>
  <c r="EY26" i="2"/>
  <c r="EX26" i="2"/>
  <c r="EW26" i="2"/>
  <c r="EV26" i="2"/>
  <c r="EU26" i="2"/>
  <c r="ET26" i="2"/>
  <c r="ES26" i="2"/>
  <c r="ER26" i="2"/>
  <c r="EQ26" i="2"/>
  <c r="EP26" i="2"/>
  <c r="EO26" i="2"/>
  <c r="D15" i="3" s="1"/>
  <c r="EN26" i="2"/>
  <c r="EM26" i="2"/>
  <c r="EL26" i="2"/>
  <c r="EK26" i="2"/>
  <c r="EJ26" i="2"/>
  <c r="EI26" i="2"/>
  <c r="EH26" i="2"/>
  <c r="EG26" i="2"/>
  <c r="EF26" i="2"/>
  <c r="EE26" i="2"/>
  <c r="ED26" i="2"/>
  <c r="EC26" i="2"/>
  <c r="EB26" i="2"/>
  <c r="EA26" i="2"/>
  <c r="DZ26" i="2"/>
  <c r="DY26" i="2"/>
  <c r="DX26" i="2"/>
  <c r="DW26" i="2"/>
  <c r="DV26" i="2"/>
  <c r="DU26" i="2"/>
  <c r="DT26" i="2"/>
  <c r="DS26" i="2"/>
  <c r="DR26" i="2"/>
  <c r="DQ26" i="2"/>
  <c r="DP26" i="2"/>
  <c r="DO26" i="2"/>
  <c r="DN26" i="2"/>
  <c r="DM26" i="2"/>
  <c r="DL26" i="2"/>
  <c r="DK26" i="2"/>
  <c r="DJ26" i="2"/>
  <c r="DI26" i="2"/>
  <c r="DH26" i="2"/>
  <c r="DG26" i="2"/>
  <c r="DF26" i="2"/>
  <c r="DE26" i="2"/>
  <c r="DD26" i="2"/>
  <c r="DC26" i="2"/>
  <c r="DB26" i="2"/>
  <c r="DA26" i="2"/>
  <c r="CZ26" i="2"/>
  <c r="CY26" i="2"/>
  <c r="CX26" i="2"/>
  <c r="CW26" i="2"/>
  <c r="CV26" i="2"/>
  <c r="CU26" i="2"/>
  <c r="CT26" i="2"/>
  <c r="CS26" i="2"/>
  <c r="CR26" i="2"/>
  <c r="CQ26" i="2"/>
  <c r="CP26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BH26" i="2"/>
  <c r="BG26" i="2"/>
  <c r="BF26" i="2"/>
  <c r="BE26" i="2"/>
  <c r="BD26" i="2"/>
  <c r="BC26" i="2"/>
  <c r="BB26" i="2"/>
  <c r="BA26" i="2"/>
  <c r="AZ26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H61" i="3" l="1"/>
  <c r="H62" i="3"/>
  <c r="F61" i="3"/>
  <c r="M48" i="3"/>
  <c r="H14" i="3"/>
  <c r="G14" i="3"/>
  <c r="F62" i="3"/>
  <c r="H65" i="3"/>
  <c r="G64" i="3"/>
  <c r="F64" i="3"/>
  <c r="L38" i="3"/>
  <c r="H54" i="3"/>
  <c r="G54" i="3"/>
  <c r="F54" i="3"/>
  <c r="L37" i="3"/>
  <c r="K37" i="3"/>
  <c r="I54" i="3"/>
  <c r="I55" i="3"/>
  <c r="L25" i="3"/>
  <c r="K25" i="3"/>
  <c r="D17" i="3"/>
  <c r="B7" i="3" s="1"/>
  <c r="H58" i="3"/>
  <c r="G57" i="3"/>
  <c r="F57" i="3"/>
  <c r="I56" i="3"/>
  <c r="I57" i="3"/>
  <c r="G58" i="3"/>
  <c r="H59" i="3"/>
  <c r="I58" i="3"/>
  <c r="H60" i="3"/>
  <c r="G59" i="3"/>
  <c r="L26" i="3"/>
  <c r="H16" i="3"/>
  <c r="G16" i="3"/>
  <c r="G60" i="3"/>
  <c r="L48" i="3"/>
  <c r="I59" i="3"/>
  <c r="L36" i="3"/>
  <c r="F17" i="3"/>
  <c r="F7" i="3" s="1"/>
  <c r="L23" i="3"/>
  <c r="D63" i="3"/>
  <c r="L35" i="3"/>
  <c r="O45" i="3"/>
  <c r="E63" i="3"/>
  <c r="I64" i="3" s="1"/>
  <c r="F40" i="3"/>
  <c r="O46" i="3"/>
  <c r="O48" i="3" s="1"/>
  <c r="J34" i="3"/>
  <c r="K34" i="3" s="1"/>
  <c r="H40" i="3"/>
  <c r="I27" i="3"/>
  <c r="I29" i="3"/>
  <c r="I31" i="3"/>
  <c r="L31" i="3" s="1"/>
  <c r="L24" i="3"/>
  <c r="D14" i="3"/>
  <c r="L30" i="3"/>
  <c r="K30" i="3"/>
  <c r="I40" i="3"/>
  <c r="L27" i="3"/>
  <c r="K27" i="3"/>
  <c r="K29" i="3"/>
  <c r="L29" i="3"/>
  <c r="L39" i="3"/>
  <c r="K39" i="3"/>
  <c r="L33" i="3"/>
  <c r="K33" i="3"/>
  <c r="L28" i="3"/>
  <c r="K28" i="3"/>
  <c r="L32" i="3"/>
  <c r="K32" i="3"/>
  <c r="H55" i="3"/>
  <c r="I60" i="3"/>
  <c r="H57" i="3"/>
  <c r="F59" i="3"/>
  <c r="I62" i="3"/>
  <c r="C40" i="3"/>
  <c r="E17" i="3"/>
  <c r="J22" i="3"/>
  <c r="L22" i="3" s="1"/>
  <c r="K23" i="3"/>
  <c r="K35" i="3"/>
  <c r="F56" i="3"/>
  <c r="G61" i="3"/>
  <c r="K22" i="3"/>
  <c r="G15" i="3"/>
  <c r="H56" i="3"/>
  <c r="F58" i="3"/>
  <c r="G63" i="3"/>
  <c r="F65" i="3"/>
  <c r="F60" i="3"/>
  <c r="I63" i="3"/>
  <c r="F53" i="3"/>
  <c r="F55" i="3"/>
  <c r="H63" i="3" l="1"/>
  <c r="H64" i="3"/>
  <c r="F63" i="3"/>
  <c r="K31" i="3"/>
  <c r="J40" i="3"/>
  <c r="L34" i="3"/>
  <c r="K40" i="3"/>
  <c r="M31" i="3"/>
  <c r="M32" i="3"/>
  <c r="M39" i="3"/>
  <c r="M33" i="3"/>
  <c r="M34" i="3"/>
  <c r="M22" i="3"/>
  <c r="M35" i="3"/>
  <c r="M23" i="3"/>
  <c r="M36" i="3"/>
  <c r="M24" i="3"/>
  <c r="M26" i="3"/>
  <c r="M37" i="3"/>
  <c r="M25" i="3"/>
  <c r="M28" i="3"/>
  <c r="L40" i="3"/>
  <c r="M29" i="3"/>
  <c r="M30" i="3"/>
  <c r="M38" i="3"/>
  <c r="M27" i="3"/>
  <c r="I16" i="3"/>
  <c r="I15" i="3"/>
  <c r="H17" i="3"/>
  <c r="H7" i="3" s="1"/>
  <c r="G17" i="3"/>
  <c r="J7" i="3" s="1"/>
  <c r="I14" i="3"/>
  <c r="D7" i="3"/>
  <c r="M40" i="3" l="1"/>
  <c r="I17" i="3"/>
</calcChain>
</file>

<file path=xl/sharedStrings.xml><?xml version="1.0" encoding="utf-8"?>
<sst xmlns="http://schemas.openxmlformats.org/spreadsheetml/2006/main" count="1928" uniqueCount="136">
  <si>
    <t>MINISTERIO DE VIVIENDA Y URBANISMO — DASHBOARD DE INVERSIÓN Y EJECUCIÓN PRESUPUESTARIA</t>
  </si>
  <si>
    <t>Visualizador Analítico Interactivo Tabla a Tabla | Subtítulos 33 (Subsidios/Capital), 31 (Inversión Directa), 29 (Activos) y Consolidado | Cifras en miles de pesos ($)</t>
  </si>
  <si>
    <t>AÑO SELECCIONADO:</t>
  </si>
  <si>
    <t>COBERTURA TEMPORAL:</t>
  </si>
  <si>
    <t>2014 - 2026 (Ene - Dic)</t>
  </si>
  <si>
    <t>UNIDAD MONETARIA:</t>
  </si>
  <si>
    <t>Miles de $ Corrientes (DIPRES)</t>
  </si>
  <si>
    <t>PRESUPUESTO LEY (INICIAL)</t>
  </si>
  <si>
    <t>PRESUPUESTO VIGENTE</t>
  </si>
  <si>
    <t>EJECUCIÓN ACUMULADA</t>
  </si>
  <si>
    <t>% CUMPLIMIENTO PRESUPUESTARIO</t>
  </si>
  <si>
    <t>SALDO POR EJECUTAR</t>
  </si>
  <si>
    <t>Aprobado Ley de Presupuesto</t>
  </si>
  <si>
    <t>Presupuesto anual actualizado</t>
  </si>
  <si>
    <t>Total devengado en el ejercicio</t>
  </si>
  <si>
    <t>Ejecución devengada / Presupuesto vigente</t>
  </si>
  <si>
    <t>Monto disponible no devengado</t>
  </si>
  <si>
    <t>TABLA 1: RESUMEN CONSOLIDADO POR SUBTÍTULO PRESUPUESTARIO</t>
  </si>
  <si>
    <t>Subtítulo Presupuestario</t>
  </si>
  <si>
    <t>Cód.</t>
  </si>
  <si>
    <t>Presupuesto Ley</t>
  </si>
  <si>
    <t>Presupuesto Vigente</t>
  </si>
  <si>
    <t>Ejecución Acumulada</t>
  </si>
  <si>
    <t>Saldo por Ejecutar</t>
  </si>
  <si>
    <t>% Ejecución</t>
  </si>
  <si>
    <t>% Participación</t>
  </si>
  <si>
    <t>Subtítulo 33 – Transferencias de Capital (Subsidios)</t>
  </si>
  <si>
    <t>33</t>
  </si>
  <si>
    <t>Subtítulo 31 – Iniciativas de Inversión</t>
  </si>
  <si>
    <t>31</t>
  </si>
  <si>
    <t>Subtítulo 29 – Activos No Financieros</t>
  </si>
  <si>
    <t>29</t>
  </si>
  <si>
    <t>TOTAL INVERSIÓN MINVU (33 + 31 + 29)</t>
  </si>
  <si>
    <t>TOTAL</t>
  </si>
  <si>
    <t>TABLA 2: DESGLOSE COMPLETO POR ENTIDAD / PROGRAMA / SERVIU (AÑO SELECCIONADO)</t>
  </si>
  <si>
    <t>Entidad / SERVIU Regional</t>
  </si>
  <si>
    <t>Subt. 33 Vigente</t>
  </si>
  <si>
    <t>Subt. 33 Ejecución</t>
  </si>
  <si>
    <t>Subt. 31 Vigente</t>
  </si>
  <si>
    <t>Subt. 31 Ejecución</t>
  </si>
  <si>
    <t>Subt. 29 Vigente</t>
  </si>
  <si>
    <t>Subt. 29 Ejecución</t>
  </si>
  <si>
    <t>Total Vigente</t>
  </si>
  <si>
    <t>Total Ejecución</t>
  </si>
  <si>
    <t>Saldo</t>
  </si>
  <si>
    <t>% Part. MINVU</t>
  </si>
  <si>
    <t>Subsecretaría y Programas Centrales</t>
  </si>
  <si>
    <t>Parque Metropolitano (PARQUEMET)</t>
  </si>
  <si>
    <t>SERVIU Arica y Parinacota</t>
  </si>
  <si>
    <t>SERVIU Tarapacá</t>
  </si>
  <si>
    <t>SERVIU Antofagasta</t>
  </si>
  <si>
    <t>SERVIU Atacama</t>
  </si>
  <si>
    <t>SERVIU Coquimbo</t>
  </si>
  <si>
    <t>SERVIU Valparaíso</t>
  </si>
  <si>
    <t>SERVIU Metropolitano</t>
  </si>
  <si>
    <t>SERVIU O'Higgins</t>
  </si>
  <si>
    <t>SERVIU Maule</t>
  </si>
  <si>
    <t>SERVIU Ñuble</t>
  </si>
  <si>
    <t>SERVIU Biobío</t>
  </si>
  <si>
    <t>SERVIU La Araucanía</t>
  </si>
  <si>
    <t>SERVIU Los Ríos</t>
  </si>
  <si>
    <t>SERVIU Los Lagos</t>
  </si>
  <si>
    <t>SERVIU Aysén</t>
  </si>
  <si>
    <t>SERVIU Magallanes</t>
  </si>
  <si>
    <t>TOTAL MINVU</t>
  </si>
  <si>
    <t>TABLA 3: EVOLUCIÓN MENSUAL DEL AÑO SELECCIONADO (ENERO A DICIEMBRE)</t>
  </si>
  <si>
    <t>Concepto / Mes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</si>
  <si>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</si>
  <si>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</si>
  <si>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</si>
  <si>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</si>
  <si>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</si>
  <si>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</si>
  <si>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</si>
  <si>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</si>
  <si>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</si>
  <si>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</si>
  <si>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</si>
  <si>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</si>
  <si>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Cierre Total</t>
  </si>
  <si>
    <t>% Avance Ejecución</t>
  </si>
  <si>
    <t>TABLA 4: COMPARATIVA HISTÓRICA MULTIANUAL (2014 - 2026)</t>
  </si>
  <si>
    <t>Año</t>
  </si>
  <si>
    <t>Crec. Vigente (YoY)</t>
  </si>
  <si>
    <t>Crec. Ejecución (YoY)</t>
  </si>
  <si>
    <t>-</t>
  </si>
  <si>
    <t>Ministerio de Vivienda y Urbanismo — Partida 18</t>
  </si>
  <si>
    <t>Miles de pesos — moneda corriente — montos devengados</t>
  </si>
  <si>
    <t>SUBTÍTULO 31 – INICIATIVAS DE INVERSIÓN</t>
  </si>
  <si>
    <t>Presupuesto Ley (Subtítulo 31)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</si>
  <si>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</si>
  <si>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</si>
  <si>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</si>
  <si>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</si>
  <si>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</si>
  <si>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</si>
  <si>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</si>
  <si>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</si>
  <si>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</si>
  <si>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</si>
  <si>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</si>
  <si>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</si>
  <si>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</si>
  <si>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Programa / Entidad</t>
  </si>
  <si>
    <t>Total 2014</t>
  </si>
  <si>
    <t>Total 2015</t>
  </si>
  <si>
    <t>Total 2016</t>
  </si>
  <si>
    <t>Total 2017</t>
  </si>
  <si>
    <t>Total 2018</t>
  </si>
  <si>
    <t>Total 2019</t>
  </si>
  <si>
    <t>Total 2020</t>
  </si>
  <si>
    <t>Total 2021</t>
  </si>
  <si>
    <t>Total 2022</t>
  </si>
  <si>
    <t>Total 2023</t>
  </si>
  <si>
    <t>Total 2024</t>
  </si>
  <si>
    <t>Total 2025</t>
  </si>
  <si>
    <t>Total 2026</t>
  </si>
  <si>
    <t>Total Presupuesto Ley (Subtítulo 31)</t>
  </si>
  <si>
    <t>Presupuesto Vigente (Subtítulo 31)</t>
  </si>
  <si>
    <t>Total Presupuesto Vigente (Subtítulo 31)</t>
  </si>
  <si>
    <t>Ejecución Acumulada (Subtítulo 31)</t>
  </si>
  <si>
    <t>Total Ejecución Acumulada (Subtítulo 31)</t>
  </si>
  <si>
    <t>SUBTÍTULO 29 – ADQUISICIÓN DE ACTIVOS NO FINANCIEROS</t>
  </si>
  <si>
    <t>Presupuesto Ley (Subtítulo 29)</t>
  </si>
  <si>
    <t>Total Presupuesto Ley (Subtítulo 29)</t>
  </si>
  <si>
    <t>Presupuesto Vigente (Subtítulo 29)</t>
  </si>
  <si>
    <t>Total Presupuesto Vigente (Subtítulo 29)</t>
  </si>
  <si>
    <t>Ejecución Acumulada (Subtítulo 29)</t>
  </si>
  <si>
    <t>Total Ejecución Acumulada (Subtítulo 29)</t>
  </si>
  <si>
    <t>SUBTÍTULO 33 – TRANSFERENCIAS DE CAPITAL (SUBSIDIOS HABITACIONALES E INVERSIÓN)</t>
  </si>
  <si>
    <t>Presupuesto Ley (Subtítulo 33)</t>
  </si>
  <si>
    <t>Total Presupuesto Ley (Subtítulo 33)</t>
  </si>
  <si>
    <t>Presupuesto Vigente (Subtítulo 33)</t>
  </si>
  <si>
    <t>Total Presupuesto Vigente (Subtítulo 33)</t>
  </si>
  <si>
    <t>Ejecución Acumulada (Subtítulo 33)</t>
  </si>
  <si>
    <t>Total Ejecución Acumulada (Subtítulo 33)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</si>
</sst>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&quot;-&quot;_-;_-@_-"/>
    <numFmt numFmtId="165" formatCode="0.0%"/>
  </numFmts>
  <fonts count="15" x14ac:knownFonts="1">
    <font>
      <sz val="11"/>
      <color theme="1"/>
      <name val="Calibri"/>
      <family val="2"/>
      <scheme val="minor"/>
    </font>
    <font>
      <b/>
      <sz val="16"/>
      <color rgb="FF1B365D"/>
      <name val="Calibri"/>
    </font>
    <font>
      <i/>
      <sz val="10"/>
      <color rgb="FF595959"/>
      <name val="Calibri"/>
    </font>
    <font>
      <b/>
      <sz val="13"/>
      <color rgb="FFFFFFFF"/>
      <name val="Calibri"/>
    </font>
    <font>
      <b/>
      <sz val="11"/>
      <color rgb="FF1B365D"/>
      <name val="Calibri"/>
    </font>
    <font>
      <b/>
      <sz val="10"/>
      <color rgb="FFFFFFFF"/>
      <name val="Calibri"/>
    </font>
    <font>
      <sz val="10"/>
      <color rgb="FF000000"/>
      <name val="Calibri"/>
    </font>
    <font>
      <b/>
      <sz val="10"/>
      <color rgb="FF000000"/>
      <name val="Calibri"/>
    </font>
    <font>
      <b/>
      <sz val="13"/>
      <color rgb="FFB25900"/>
      <name val="Calibri"/>
    </font>
    <font>
      <b/>
      <sz val="9"/>
      <color rgb="FF595959"/>
      <name val="Calibri"/>
    </font>
    <font>
      <b/>
      <sz val="15"/>
      <color rgb="FF1B365D"/>
      <name val="Calibri"/>
    </font>
    <font>
      <i/>
      <sz val="8"/>
      <color rgb="FF7F7F7F"/>
      <name val="Calibri"/>
    </font>
    <font>
      <b/>
      <sz val="15"/>
      <color rgb="FF007A3D"/>
      <name val="Calibri"/>
    </font>
    <font>
      <b/>
      <sz val="16"/>
      <color rgb="FF007A3D"/>
      <name val="Calibri"/>
    </font>
    <font>
      <b/>
      <sz val="15"/>
      <color rgb="FFB259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2C3E50"/>
        <bgColor rgb="FF2C3E50"/>
      </patternFill>
    </fill>
    <fill>
      <patternFill patternType="solid">
        <fgColor rgb="FFF9FAFC"/>
        <bgColor rgb="FFF9FAFC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F2F4F8"/>
        <bgColor rgb="FFF2F4F8"/>
      </patternFill>
    </fill>
  </fills>
  <borders count="1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double">
        <color rgb="FF1B365D"/>
      </bottom>
      <diagonal/>
    </border>
    <border>
      <left style="medium">
        <color rgb="FF1B365D"/>
      </left>
      <right style="medium">
        <color rgb="FF1B365D"/>
      </right>
      <top style="medium">
        <color rgb="FF1B365D"/>
      </top>
      <bottom style="medium">
        <color rgb="FF1B365D"/>
      </bottom>
      <diagonal/>
    </border>
    <border>
      <left style="thin">
        <color rgb="FFD9D9D9"/>
      </left>
      <right/>
      <top style="medium">
        <color rgb="FF1B365D"/>
      </top>
      <bottom/>
      <diagonal/>
    </border>
    <border>
      <left/>
      <right style="thin">
        <color rgb="FFD9D9D9"/>
      </right>
      <top style="medium">
        <color rgb="FF1B365D"/>
      </top>
      <bottom/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/>
      <right/>
      <top style="medium">
        <color rgb="FF1B365D"/>
      </top>
      <bottom/>
      <diagonal/>
    </border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2" fillId="0" borderId="0" xfId="0" applyFont="1"/>
    <xf numFmtId="0" fontId="7" fillId="5" borderId="1" xfId="0" applyFont="1" applyFill="1" applyBorder="1" applyAlignment="1">
      <alignment horizontal="right" vertical="center"/>
    </xf>
    <xf numFmtId="0" fontId="8" fillId="6" borderId="3" xfId="0" applyFont="1" applyFill="1" applyBorder="1" applyAlignment="1">
      <alignment horizontal="center" vertical="center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164" fontId="6" fillId="0" borderId="1" xfId="0" applyNumberFormat="1" applyFont="1" applyBorder="1" applyAlignment="1">
      <alignment horizontal="right"/>
    </xf>
    <xf numFmtId="165" fontId="6" fillId="0" borderId="1" xfId="0" applyNumberFormat="1" applyFont="1" applyBorder="1" applyAlignment="1">
      <alignment horizontal="right"/>
    </xf>
    <xf numFmtId="0" fontId="7" fillId="5" borderId="2" xfId="0" applyFont="1" applyFill="1" applyBorder="1"/>
    <xf numFmtId="0" fontId="7" fillId="5" borderId="2" xfId="0" applyFont="1" applyFill="1" applyBorder="1" applyAlignment="1">
      <alignment horizontal="center"/>
    </xf>
    <xf numFmtId="164" fontId="7" fillId="5" borderId="2" xfId="0" applyNumberFormat="1" applyFont="1" applyFill="1" applyBorder="1" applyAlignment="1">
      <alignment horizontal="right"/>
    </xf>
    <xf numFmtId="165" fontId="7" fillId="5" borderId="2" xfId="0" applyNumberFormat="1" applyFont="1" applyFill="1" applyBorder="1" applyAlignment="1">
      <alignment horizontal="right"/>
    </xf>
    <xf numFmtId="0" fontId="5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/>
    <xf numFmtId="164" fontId="6" fillId="4" borderId="1" xfId="0" applyNumberFormat="1" applyFont="1" applyFill="1" applyBorder="1" applyAlignment="1">
      <alignment horizontal="right"/>
    </xf>
    <xf numFmtId="165" fontId="6" fillId="4" borderId="1" xfId="0" applyNumberFormat="1" applyFont="1" applyFill="1" applyBorder="1" applyAlignment="1">
      <alignment horizontal="right"/>
    </xf>
    <xf numFmtId="0" fontId="5" fillId="2" borderId="1" xfId="0" applyFont="1" applyFill="1" applyBorder="1" applyAlignment="1">
      <alignment horizontal="center" vertical="center"/>
    </xf>
    <xf numFmtId="164" fontId="6" fillId="5" borderId="1" xfId="0" applyNumberFormat="1" applyFont="1" applyFill="1" applyBorder="1" applyAlignment="1">
      <alignment horizontal="right"/>
    </xf>
    <xf numFmtId="0" fontId="7" fillId="0" borderId="1" xfId="0" applyFont="1" applyBorder="1"/>
    <xf numFmtId="164" fontId="7" fillId="0" borderId="1" xfId="0" applyNumberFormat="1" applyFont="1" applyBorder="1" applyAlignment="1">
      <alignment horizontal="right"/>
    </xf>
    <xf numFmtId="164" fontId="7" fillId="5" borderId="1" xfId="0" applyNumberFormat="1" applyFont="1" applyFill="1" applyBorder="1" applyAlignment="1">
      <alignment horizontal="right"/>
    </xf>
    <xf numFmtId="0" fontId="7" fillId="0" borderId="2" xfId="0" applyFont="1" applyBorder="1"/>
    <xf numFmtId="165" fontId="7" fillId="0" borderId="2" xfId="0" applyNumberFormat="1" applyFont="1" applyBorder="1" applyAlignment="1">
      <alignment horizontal="right"/>
    </xf>
    <xf numFmtId="0" fontId="7" fillId="4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right"/>
    </xf>
    <xf numFmtId="0" fontId="7" fillId="0" borderId="1" xfId="0" applyFont="1" applyBorder="1" applyAlignment="1">
      <alignment horizontal="center"/>
    </xf>
    <xf numFmtId="0" fontId="3" fillId="2" borderId="0" xfId="0" applyFont="1" applyFill="1"/>
    <xf numFmtId="0" fontId="5" fillId="3" borderId="1" xfId="0" applyFont="1" applyFill="1" applyBorder="1" applyAlignment="1">
      <alignment horizontal="center" vertical="center"/>
    </xf>
    <xf numFmtId="164" fontId="7" fillId="4" borderId="1" xfId="0" applyNumberFormat="1" applyFont="1" applyFill="1" applyBorder="1" applyAlignment="1">
      <alignment horizontal="right"/>
    </xf>
    <xf numFmtId="0" fontId="7" fillId="0" borderId="1" xfId="0" applyFont="1" applyBorder="1" applyAlignment="1">
      <alignment horizontal="center" vertical="center"/>
    </xf>
    <xf numFmtId="0" fontId="0" fillId="0" borderId="1" xfId="0" applyBorder="1"/>
    <xf numFmtId="0" fontId="9" fillId="7" borderId="4" xfId="0" applyFont="1" applyFill="1" applyBorder="1" applyAlignment="1">
      <alignment horizontal="center" vertical="center"/>
    </xf>
    <xf numFmtId="0" fontId="0" fillId="0" borderId="10" xfId="0" applyBorder="1"/>
    <xf numFmtId="0" fontId="0" fillId="0" borderId="5" xfId="0" applyBorder="1"/>
    <xf numFmtId="164" fontId="10" fillId="7" borderId="6" xfId="0" applyNumberFormat="1" applyFont="1" applyFill="1" applyBorder="1" applyAlignment="1">
      <alignment horizontal="center" vertical="center"/>
    </xf>
    <xf numFmtId="0" fontId="0" fillId="0" borderId="7" xfId="0" applyBorder="1"/>
    <xf numFmtId="0" fontId="0" fillId="0" borderId="6" xfId="0" applyBorder="1"/>
    <xf numFmtId="165" fontId="13" fillId="7" borderId="6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5" borderId="1" xfId="0" applyFont="1" applyFill="1" applyBorder="1" applyAlignment="1">
      <alignment horizontal="right" vertical="center"/>
    </xf>
    <xf numFmtId="0" fontId="11" fillId="7" borderId="8" xfId="0" applyFont="1" applyFill="1" applyBorder="1" applyAlignment="1">
      <alignment horizontal="center" vertical="center"/>
    </xf>
    <xf numFmtId="0" fontId="0" fillId="0" borderId="9" xfId="0" applyBorder="1"/>
    <xf numFmtId="164" fontId="12" fillId="7" borderId="6" xfId="0" applyNumberFormat="1" applyFont="1" applyFill="1" applyBorder="1" applyAlignment="1">
      <alignment horizontal="center" vertical="center"/>
    </xf>
    <xf numFmtId="164" fontId="14" fillId="7" borderId="6" xfId="0" applyNumberFormat="1" applyFont="1" applyFill="1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5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Presupuesto Vigente vs Ejecución Acumulada por Entidad / SERVIU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 Vigente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Dashboard!$B$22:$B$39</c:f>
              <c:strCache>
                <c:ptCount val="18"/>
                <c:pt idx="0">
                  <c:v>Subsecretaría y Programas Centrales</c:v>
                </c:pt>
                <c:pt idx="1">
                  <c:v>Parque Metropolitano (PARQUEMET)</c:v>
                </c:pt>
                <c:pt idx="2">
                  <c:v>SERVIU Arica y Parinacota</c:v>
                </c:pt>
                <c:pt idx="3">
                  <c:v>SERVIU Tarapacá</c:v>
                </c:pt>
                <c:pt idx="4">
                  <c:v>SERVIU Antofagasta</c:v>
                </c:pt>
                <c:pt idx="5">
                  <c:v>SERVIU Atacama</c:v>
                </c:pt>
                <c:pt idx="6">
                  <c:v>SERVIU Coquimbo</c:v>
                </c:pt>
                <c:pt idx="7">
                  <c:v>SERVIU Valparaíso</c:v>
                </c:pt>
                <c:pt idx="8">
                  <c:v>SERVIU Metropolitano</c:v>
                </c:pt>
                <c:pt idx="9">
                  <c:v>SERVIU O'Higgins</c:v>
                </c:pt>
                <c:pt idx="10">
                  <c:v>SERVIU Maule</c:v>
                </c:pt>
                <c:pt idx="11">
                  <c:v>SERVIU Ñuble</c:v>
                </c:pt>
                <c:pt idx="12">
                  <c:v>SERVIU Biobío</c:v>
                </c:pt>
                <c:pt idx="13">
                  <c:v>SERVIU La Araucanía</c:v>
                </c:pt>
                <c:pt idx="14">
                  <c:v>SERVIU Los Ríos</c:v>
                </c:pt>
                <c:pt idx="15">
                  <c:v>SERVIU Los Lagos</c:v>
                </c:pt>
                <c:pt idx="16">
                  <c:v>SERVIU Aysén</c:v>
                </c:pt>
                <c:pt idx="17">
                  <c:v>SERVIU Magallanes</c:v>
                </c:pt>
              </c:strCache>
            </c:strRef>
          </c:cat>
          <c:val>
            <c:numRef>
              <c:f>Dashboard!$I$22:$I$39</c:f>
              <c:numCache>
                <c:formatCode>_-* #,##0_-;\-* #,##0_-;_-* "-"_-;_-@_-</c:formatCode>
                <c:ptCount val="18"/>
                <c:pt idx="0">
                  <c:v>258288263</c:v>
                </c:pt>
                <c:pt idx="1">
                  <c:v>28174336</c:v>
                </c:pt>
                <c:pt idx="2">
                  <c:v>87621377</c:v>
                </c:pt>
                <c:pt idx="3">
                  <c:v>90747728</c:v>
                </c:pt>
                <c:pt idx="4">
                  <c:v>88591371</c:v>
                </c:pt>
                <c:pt idx="5">
                  <c:v>58916647</c:v>
                </c:pt>
                <c:pt idx="6">
                  <c:v>131919472</c:v>
                </c:pt>
                <c:pt idx="7">
                  <c:v>263897547</c:v>
                </c:pt>
                <c:pt idx="8">
                  <c:v>622639877</c:v>
                </c:pt>
                <c:pt idx="9">
                  <c:v>178760312</c:v>
                </c:pt>
                <c:pt idx="10">
                  <c:v>233505462</c:v>
                </c:pt>
                <c:pt idx="11">
                  <c:v>173828633</c:v>
                </c:pt>
                <c:pt idx="12">
                  <c:v>356798144</c:v>
                </c:pt>
                <c:pt idx="13">
                  <c:v>303088191</c:v>
                </c:pt>
                <c:pt idx="14">
                  <c:v>87191904</c:v>
                </c:pt>
                <c:pt idx="15">
                  <c:v>235673354</c:v>
                </c:pt>
                <c:pt idx="16">
                  <c:v>48641680</c:v>
                </c:pt>
                <c:pt idx="17">
                  <c:v>84483885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AB-44F8-8C03-A168552308FB}"/>
            </c:ext>
          </c:extLst>
        </c:ser>
        <c:ser>
          <c:idx val="1"/>
          <c:order val="1"/>
          <c:tx>
            <c:v>Total Ejecución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Dashboard!$B$22:$B$39</c:f>
              <c:strCache>
                <c:ptCount val="18"/>
                <c:pt idx="0">
                  <c:v>Subsecretaría y Programas Centrales</c:v>
                </c:pt>
                <c:pt idx="1">
                  <c:v>Parque Metropolitano (PARQUEMET)</c:v>
                </c:pt>
                <c:pt idx="2">
                  <c:v>SERVIU Arica y Parinacota</c:v>
                </c:pt>
                <c:pt idx="3">
                  <c:v>SERVIU Tarapacá</c:v>
                </c:pt>
                <c:pt idx="4">
                  <c:v>SERVIU Antofagasta</c:v>
                </c:pt>
                <c:pt idx="5">
                  <c:v>SERVIU Atacama</c:v>
                </c:pt>
                <c:pt idx="6">
                  <c:v>SERVIU Coquimbo</c:v>
                </c:pt>
                <c:pt idx="7">
                  <c:v>SERVIU Valparaíso</c:v>
                </c:pt>
                <c:pt idx="8">
                  <c:v>SERVIU Metropolitano</c:v>
                </c:pt>
                <c:pt idx="9">
                  <c:v>SERVIU O'Higgins</c:v>
                </c:pt>
                <c:pt idx="10">
                  <c:v>SERVIU Maule</c:v>
                </c:pt>
                <c:pt idx="11">
                  <c:v>SERVIU Ñuble</c:v>
                </c:pt>
                <c:pt idx="12">
                  <c:v>SERVIU Biobío</c:v>
                </c:pt>
                <c:pt idx="13">
                  <c:v>SERVIU La Araucanía</c:v>
                </c:pt>
                <c:pt idx="14">
                  <c:v>SERVIU Los Ríos</c:v>
                </c:pt>
                <c:pt idx="15">
                  <c:v>SERVIU Los Lagos</c:v>
                </c:pt>
                <c:pt idx="16">
                  <c:v>SERVIU Aysén</c:v>
                </c:pt>
                <c:pt idx="17">
                  <c:v>SERVIU Magallanes</c:v>
                </c:pt>
              </c:strCache>
            </c:strRef>
          </c:cat>
          <c:val>
            <c:numRef>
              <c:f>Dashboard!$J$22:$J$39</c:f>
              <c:numCache>
                <c:formatCode>_-* #,##0_-;\-* #,##0_-;_-* "-"_-;_-@_-</c:formatCode>
                <c:ptCount val="18"/>
                <c:pt idx="0">
                  <c:v>254021289</c:v>
                </c:pt>
                <c:pt idx="1">
                  <c:v>28088125</c:v>
                </c:pt>
                <c:pt idx="2">
                  <c:v>87582709</c:v>
                </c:pt>
                <c:pt idx="3">
                  <c:v>90124357</c:v>
                </c:pt>
                <c:pt idx="4">
                  <c:v>87295789</c:v>
                </c:pt>
                <c:pt idx="5">
                  <c:v>58352659</c:v>
                </c:pt>
                <c:pt idx="6">
                  <c:v>131345040</c:v>
                </c:pt>
                <c:pt idx="7">
                  <c:v>261685179</c:v>
                </c:pt>
                <c:pt idx="8">
                  <c:v>620155634</c:v>
                </c:pt>
                <c:pt idx="9">
                  <c:v>178330583</c:v>
                </c:pt>
                <c:pt idx="10">
                  <c:v>232634063</c:v>
                </c:pt>
                <c:pt idx="11">
                  <c:v>172620832</c:v>
                </c:pt>
                <c:pt idx="12">
                  <c:v>355872518</c:v>
                </c:pt>
                <c:pt idx="13">
                  <c:v>302193259</c:v>
                </c:pt>
                <c:pt idx="14">
                  <c:v>84860506</c:v>
                </c:pt>
                <c:pt idx="15">
                  <c:v>234858090</c:v>
                </c:pt>
                <c:pt idx="16">
                  <c:v>48272275</c:v>
                </c:pt>
                <c:pt idx="17">
                  <c:v>84406133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3AB-44F8-8C03-A168552308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6391056"/>
        <c:axId val="236389392"/>
      </c:barChart>
      <c:catAx>
        <c:axId val="236391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1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36389392"/>
        <c:crosses val="autoZero"/>
        <c:auto val="1"/>
        <c:lblAlgn val="ctr"/>
        <c:lblOffset val="100"/>
        <c:noMultiLvlLbl val="0"/>
      </c:catAx>
      <c:valAx>
        <c:axId val="236389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36391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Evolución Mensual de la Inversión MINVU (Enero a Diciembre)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Presupuesto Vigente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Dashboard!$C$44:$N$44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Dashboard!$C$46:$N$46</c:f>
              <c:numCache>
                <c:formatCode>_-* #,##0_-;\-* #,##0_-;_-* "-"_-;_-@_-</c:formatCode>
                <c:ptCount val="12"/>
                <c:pt idx="0">
                  <c:v>3320541734</c:v>
                </c:pt>
                <c:pt idx="1">
                  <c:v>3320541734</c:v>
                </c:pt>
                <c:pt idx="2">
                  <c:v>3320541734</c:v>
                </c:pt>
                <c:pt idx="3">
                  <c:v>3320541734</c:v>
                </c:pt>
                <c:pt idx="4">
                  <c:v>3320643534</c:v>
                </c:pt>
                <c:pt idx="5">
                  <c:v>3320643534</c:v>
                </c:pt>
                <c:pt idx="6">
                  <c:v>3329424159</c:v>
                </c:pt>
                <c:pt idx="7">
                  <c:v>3376717372</c:v>
                </c:pt>
                <c:pt idx="8">
                  <c:v>3421717372</c:v>
                </c:pt>
                <c:pt idx="9">
                  <c:v>3491232791</c:v>
                </c:pt>
                <c:pt idx="10">
                  <c:v>3488688633</c:v>
                </c:pt>
                <c:pt idx="11">
                  <c:v>3332768183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ECC-46D1-BA36-AE62F77ACAC7}"/>
            </c:ext>
          </c:extLst>
        </c:ser>
        <c:ser>
          <c:idx val="1"/>
          <c:order val="1"/>
          <c:tx>
            <c:v>Ejecución Acumulada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Dashboard!$C$44:$N$44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Dashboard!$C$47:$N$47</c:f>
              <c:numCache>
                <c:formatCode>_-* #,##0_-;\-* #,##0_-;_-* "-"_-;_-@_-</c:formatCode>
                <c:ptCount val="12"/>
                <c:pt idx="0">
                  <c:v>144905537</c:v>
                </c:pt>
                <c:pt idx="1">
                  <c:v>392112901</c:v>
                </c:pt>
                <c:pt idx="2">
                  <c:v>734004289</c:v>
                </c:pt>
                <c:pt idx="3">
                  <c:v>1004471755</c:v>
                </c:pt>
                <c:pt idx="4">
                  <c:v>1303821878</c:v>
                </c:pt>
                <c:pt idx="5">
                  <c:v>1551877586</c:v>
                </c:pt>
                <c:pt idx="6">
                  <c:v>1800513314</c:v>
                </c:pt>
                <c:pt idx="7">
                  <c:v>2056646958</c:v>
                </c:pt>
                <c:pt idx="8">
                  <c:v>2287303377</c:v>
                </c:pt>
                <c:pt idx="9">
                  <c:v>2541084845</c:v>
                </c:pt>
                <c:pt idx="10">
                  <c:v>2810519043</c:v>
                </c:pt>
                <c:pt idx="11">
                  <c:v>3312699040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ECC-46D1-BA36-AE62F77ACA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6391472"/>
        <c:axId val="236391888"/>
      </c:lineChart>
      <c:catAx>
        <c:axId val="236391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36391888"/>
        <c:crosses val="autoZero"/>
        <c:auto val="1"/>
        <c:lblAlgn val="ctr"/>
        <c:lblOffset val="100"/>
        <c:noMultiLvlLbl val="0"/>
      </c:catAx>
      <c:valAx>
        <c:axId val="236391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36391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Composición de la Inversión Vigente por Subtítulo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doughnutChart>
        <c:varyColors val="1"/>
        <c:ser>
          <c:idx val="0"/>
          <c:order val="0"/>
          <c:tx>
            <c:v>Presupuesto Vigente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Dashboard!$B$14:$B$16</c:f>
              <c:strCache>
                <c:ptCount val="3"/>
                <c:pt idx="0">
                  <c:v>Subtítulo 33 – Transferencias de Capital (Subsidios)</c:v>
                </c:pt>
                <c:pt idx="1">
                  <c:v>Subtítulo 31 – Iniciativas de Inversión</c:v>
                </c:pt>
                <c:pt idx="2">
                  <c:v>Subtítulo 29 – Activos No Financieros</c:v>
                </c:pt>
              </c:strCache>
            </c:strRef>
          </c:cat>
          <c:val>
            <c:numRef>
              <c:f>Dashboard!$E$14:$E$16</c:f>
              <c:numCache>
                <c:formatCode>_-* #,##0_-;\-* #,##0_-;_-* "-"_-;_-@_-</c:formatCode>
                <c:ptCount val="3"/>
                <c:pt idx="0">
                  <c:v>2913408485</c:v>
                </c:pt>
                <c:pt idx="1">
                  <c:v>400142072</c:v>
                </c:pt>
                <c:pt idx="2">
                  <c:v>19217626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54-4D9F-839E-14C8B95526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10</xdr:row>
      <xdr:rowOff>0</xdr:rowOff>
    </xdr:from>
    <xdr:to>
      <xdr:col>26</xdr:col>
      <xdr:colOff>330200</xdr:colOff>
      <xdr:row>27</xdr:row>
      <xdr:rowOff>144780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9356ADE-92EF-484C-9F7C-FA51AD5F21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29</xdr:row>
      <xdr:rowOff>127000</xdr:rowOff>
    </xdr:from>
    <xdr:to>
      <xdr:col>26</xdr:col>
      <xdr:colOff>330200</xdr:colOff>
      <xdr:row>46</xdr:row>
      <xdr:rowOff>58420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A04978B-1D1A-4DCE-99CF-73B23D4005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47</xdr:row>
      <xdr:rowOff>7620</xdr:rowOff>
    </xdr:from>
    <xdr:to>
      <xdr:col>23</xdr:col>
      <xdr:colOff>307340</xdr:colOff>
      <xdr:row>62</xdr:row>
      <xdr:rowOff>137160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B23F55A-C1DF-4210-A390-C2CB5F7721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48934-576A-490B-A968-C21B73C2A526}">
  <sheetPr>
    <tabColor rgb="FF1B365D"/>
  </sheetPr>
  <dimension ref="B2:O65"/>
  <sheetViews>
    <sheetView tabSelected="1" workbookViewId="0"/>
  </sheetViews>
  <sheetFormatPr baseColWidth="10" defaultColWidth="8.88671875" defaultRowHeight="14.4" x14ac:dyDescent="0.3"/>
  <cols>
    <col min="1" max="1" width="3" customWidth="1"/>
    <col min="2" max="2" width="36" customWidth="1"/>
    <col min="3" max="13" width="16" customWidth="1"/>
    <col min="14" max="15" width="18" customWidth="1"/>
    <col min="16" max="16" width="4" customWidth="1"/>
    <col min="17" max="33" width="11" customWidth="1"/>
  </cols>
  <sheetData>
    <row r="2" spans="2:12" ht="21" x14ac:dyDescent="0.4">
      <c r="B2" s="1" t="s">
        <v>0</v>
      </c>
    </row>
    <row r="3" spans="2:12" ht="15" thickBot="1" x14ac:dyDescent="0.35">
      <c r="B3" s="2" t="s">
        <v>1</v>
      </c>
    </row>
    <row r="4" spans="2:12" ht="18" thickBot="1" x14ac:dyDescent="0.35">
      <c r="B4" s="3" t="s">
        <v>2</v>
      </c>
      <c r="C4" s="4">
        <v>2024</v>
      </c>
      <c r="D4" s="42" t="s">
        <v>3</v>
      </c>
      <c r="E4" s="33"/>
      <c r="F4" s="32" t="s">
        <v>4</v>
      </c>
      <c r="G4" s="33"/>
      <c r="H4" s="42" t="s">
        <v>5</v>
      </c>
      <c r="I4" s="33"/>
      <c r="J4" s="41" t="s">
        <v>6</v>
      </c>
      <c r="K4" s="33"/>
      <c r="L4" s="33"/>
    </row>
    <row r="6" spans="2:12" x14ac:dyDescent="0.3">
      <c r="B6" s="34" t="s">
        <v>7</v>
      </c>
      <c r="C6" s="36"/>
      <c r="D6" s="34" t="s">
        <v>8</v>
      </c>
      <c r="E6" s="36"/>
      <c r="F6" s="34" t="s">
        <v>9</v>
      </c>
      <c r="G6" s="36"/>
      <c r="H6" s="34" t="s">
        <v>10</v>
      </c>
      <c r="I6" s="36"/>
      <c r="J6" s="34" t="s">
        <v>11</v>
      </c>
      <c r="K6" s="35"/>
      <c r="L6" s="36"/>
    </row>
    <row r="7" spans="2:12" x14ac:dyDescent="0.3">
      <c r="B7" s="37">
        <f>D17</f>
        <v>3320541734</v>
      </c>
      <c r="C7" s="38"/>
      <c r="D7" s="37">
        <f>E17</f>
        <v>3332768183</v>
      </c>
      <c r="E7" s="38"/>
      <c r="F7" s="45">
        <f>F17</f>
        <v>3312699040</v>
      </c>
      <c r="G7" s="38"/>
      <c r="H7" s="40">
        <f>H17</f>
        <v>0.99397823613944414</v>
      </c>
      <c r="I7" s="38"/>
      <c r="J7" s="46">
        <f>G17</f>
        <v>20069143</v>
      </c>
      <c r="K7" s="47"/>
      <c r="L7" s="38"/>
    </row>
    <row r="8" spans="2:12" x14ac:dyDescent="0.3">
      <c r="B8" s="39"/>
      <c r="C8" s="38"/>
      <c r="D8" s="39"/>
      <c r="E8" s="38"/>
      <c r="F8" s="39"/>
      <c r="G8" s="38"/>
      <c r="H8" s="39"/>
      <c r="I8" s="38"/>
      <c r="J8" s="39"/>
      <c r="K8" s="47"/>
      <c r="L8" s="38"/>
    </row>
    <row r="9" spans="2:12" x14ac:dyDescent="0.3">
      <c r="B9" s="43" t="s">
        <v>12</v>
      </c>
      <c r="C9" s="44"/>
      <c r="D9" s="43" t="s">
        <v>13</v>
      </c>
      <c r="E9" s="44"/>
      <c r="F9" s="43" t="s">
        <v>14</v>
      </c>
      <c r="G9" s="44"/>
      <c r="H9" s="43" t="s">
        <v>15</v>
      </c>
      <c r="I9" s="44"/>
      <c r="J9" s="43" t="s">
        <v>16</v>
      </c>
      <c r="K9" s="48"/>
      <c r="L9" s="44"/>
    </row>
    <row r="11" spans="2:12" x14ac:dyDescent="0.3">
      <c r="B11" s="5" t="s">
        <v>17</v>
      </c>
    </row>
    <row r="13" spans="2:12" ht="27.6" x14ac:dyDescent="0.3">
      <c r="B13" s="6" t="s">
        <v>18</v>
      </c>
      <c r="C13" s="6" t="s">
        <v>19</v>
      </c>
      <c r="D13" s="6" t="s">
        <v>20</v>
      </c>
      <c r="E13" s="6" t="s">
        <v>21</v>
      </c>
      <c r="F13" s="6" t="s">
        <v>22</v>
      </c>
      <c r="G13" s="6" t="s">
        <v>23</v>
      </c>
      <c r="H13" s="6" t="s">
        <v>24</v>
      </c>
      <c r="I13" s="6" t="s">
        <v>25</v>
      </c>
    </row>
    <row r="14" spans="2:12" x14ac:dyDescent="0.3">
      <c r="B14" s="7" t="s">
        <v>26</v>
      </c>
      <c r="C14" s="8" t="s">
        <v>27</v>
      </c>
      <c r="D14" s="9">
        <f>INDEX(MINVU_Mes_Corriente!$1:$300, 164, 3 + ($C$4 - 2014)*13 + 12)</f>
        <v>2729162964</v>
      </c>
      <c r="E14" s="9">
        <f>INDEX(MINVU_Mes_Corriente!$1:$300, 186, 3 + ($C$4 - 2014)*13 + 12)</f>
        <v>2913408485</v>
      </c>
      <c r="F14" s="9">
        <f>INDEX(MINVU_Mes_Corriente!$1:$300, 208, 3 + ($C$4 - 2014)*13 + 12)</f>
        <v>2904924599</v>
      </c>
      <c r="G14" s="9">
        <f>E14 - F14</f>
        <v>8483886</v>
      </c>
      <c r="H14" s="10">
        <f>IF(E14&gt;0, F14/E14, 0)</f>
        <v>0.99708798610161253</v>
      </c>
      <c r="I14" s="10">
        <f>IF($E$17&gt;0, E14/$E$17, 0)</f>
        <v>0.8741707568683903</v>
      </c>
    </row>
    <row r="15" spans="2:12" x14ac:dyDescent="0.3">
      <c r="B15" s="7" t="s">
        <v>28</v>
      </c>
      <c r="C15" s="8" t="s">
        <v>29</v>
      </c>
      <c r="D15" s="9">
        <f>INDEX(MINVU_Mes_Corriente!$1:$300, 26, 3 + ($C$4 - 2014)*13 + 12)</f>
        <v>560704016</v>
      </c>
      <c r="E15" s="9">
        <f>INDEX(MINVU_Mes_Corriente!$1:$300, 48, 3 + ($C$4 - 2014)*13 + 12)</f>
        <v>400142072</v>
      </c>
      <c r="F15" s="9">
        <f>INDEX(MINVU_Mes_Corriente!$1:$300, 70, 3 + ($C$4 - 2014)*13 + 12)</f>
        <v>388712182</v>
      </c>
      <c r="G15" s="9">
        <f>E15 - F15</f>
        <v>11429890</v>
      </c>
      <c r="H15" s="10">
        <f>IF(E15&gt;0, F15/E15, 0)</f>
        <v>0.9714354205673229</v>
      </c>
      <c r="I15" s="10">
        <f>IF($E$17&gt;0, E15/$E$17, 0)</f>
        <v>0.12006297768955868</v>
      </c>
    </row>
    <row r="16" spans="2:12" x14ac:dyDescent="0.3">
      <c r="B16" s="7" t="s">
        <v>30</v>
      </c>
      <c r="C16" s="8" t="s">
        <v>31</v>
      </c>
      <c r="D16" s="9">
        <f>INDEX(MINVU_Mes_Corriente!$1:$300, 95, 3 + ($C$4 - 2014)*13 + 12)</f>
        <v>30674754</v>
      </c>
      <c r="E16" s="9">
        <f>INDEX(MINVU_Mes_Corriente!$1:$300, 117, 3 + ($C$4 - 2014)*13 + 12)</f>
        <v>19217626</v>
      </c>
      <c r="F16" s="9">
        <f>INDEX(MINVU_Mes_Corriente!$1:$300, 139, 3 + ($C$4 - 2014)*13 + 12)</f>
        <v>19062259</v>
      </c>
      <c r="G16" s="9">
        <f>E16 - F16</f>
        <v>155367</v>
      </c>
      <c r="H16" s="10">
        <f>IF(E16&gt;0, F16/E16, 0)</f>
        <v>0.99191539058986788</v>
      </c>
      <c r="I16" s="10">
        <f>IF($E$17&gt;0, E16/$E$17, 0)</f>
        <v>5.7662654420509987E-3</v>
      </c>
    </row>
    <row r="17" spans="2:13" ht="15" thickBot="1" x14ac:dyDescent="0.35">
      <c r="B17" s="11" t="s">
        <v>32</v>
      </c>
      <c r="C17" s="12" t="s">
        <v>33</v>
      </c>
      <c r="D17" s="13">
        <f>SUM(D14:D16)</f>
        <v>3320541734</v>
      </c>
      <c r="E17" s="13">
        <f>SUM(E14:E16)</f>
        <v>3332768183</v>
      </c>
      <c r="F17" s="13">
        <f>SUM(F14:F16)</f>
        <v>3312699040</v>
      </c>
      <c r="G17" s="13">
        <f>E17 - F17</f>
        <v>20069143</v>
      </c>
      <c r="H17" s="14">
        <f>IF(E17&gt;0, F17/E17, 0)</f>
        <v>0.99397823613944414</v>
      </c>
      <c r="I17" s="14">
        <f>SUM(I14:I16)</f>
        <v>0.99999999999999989</v>
      </c>
    </row>
    <row r="19" spans="2:13" x14ac:dyDescent="0.3">
      <c r="B19" s="5" t="s">
        <v>34</v>
      </c>
    </row>
    <row r="21" spans="2:13" x14ac:dyDescent="0.3">
      <c r="B21" s="15" t="s">
        <v>35</v>
      </c>
      <c r="C21" s="15" t="s">
        <v>36</v>
      </c>
      <c r="D21" s="15" t="s">
        <v>37</v>
      </c>
      <c r="E21" s="15" t="s">
        <v>38</v>
      </c>
      <c r="F21" s="15" t="s">
        <v>39</v>
      </c>
      <c r="G21" s="15" t="s">
        <v>40</v>
      </c>
      <c r="H21" s="15" t="s">
        <v>41</v>
      </c>
      <c r="I21" s="15" t="s">
        <v>42</v>
      </c>
      <c r="J21" s="15" t="s">
        <v>43</v>
      </c>
      <c r="K21" s="15" t="s">
        <v>44</v>
      </c>
      <c r="L21" s="15" t="s">
        <v>24</v>
      </c>
      <c r="M21" s="15" t="s">
        <v>45</v>
      </c>
    </row>
    <row r="22" spans="2:13" x14ac:dyDescent="0.3">
      <c r="B22" s="7" t="s">
        <v>46</v>
      </c>
      <c r="C22" s="9">
        <f>INDEX(MINVU_Mes_Corriente!$1:$300, 168, 3 + ($C$4 - 2014)*13 + 12)</f>
        <v>253260952</v>
      </c>
      <c r="D22" s="9">
        <f>INDEX(MINVU_Mes_Corriente!$1:$300, 190, 3 + ($C$4 - 2014)*13 + 12)</f>
        <v>249185192</v>
      </c>
      <c r="E22" s="9">
        <f>INDEX(MINVU_Mes_Corriente!$1:$300, 30, 3 + ($C$4 - 2014)*13 + 12)</f>
        <v>1858597</v>
      </c>
      <c r="F22" s="9">
        <f>INDEX(MINVU_Mes_Corriente!$1:$300, 52, 3 + ($C$4 - 2014)*13 + 12)</f>
        <v>1765056</v>
      </c>
      <c r="G22" s="9">
        <f>INDEX(MINVU_Mes_Corriente!$1:$300, 99, 3 + ($C$4 - 2014)*13 + 12)</f>
        <v>3168714</v>
      </c>
      <c r="H22" s="9">
        <f>INDEX(MINVU_Mes_Corriente!$1:$300, 121, 3 + ($C$4 - 2014)*13 + 12)</f>
        <v>3071041</v>
      </c>
      <c r="I22" s="9">
        <f t="shared" ref="I22:J39" si="0">C22 + E22 + G22</f>
        <v>258288263</v>
      </c>
      <c r="J22" s="9">
        <f t="shared" si="0"/>
        <v>254021289</v>
      </c>
      <c r="K22" s="9">
        <f t="shared" ref="K22:K39" si="1">I22 - J22</f>
        <v>4266974</v>
      </c>
      <c r="L22" s="10">
        <f t="shared" ref="L22:L40" si="2">IF(I22&gt;0, J22/I22, 0)</f>
        <v>0.98347979908014638</v>
      </c>
      <c r="M22" s="10">
        <f t="shared" ref="M22:M39" si="3">IF($I$40&gt;0, I22/$I$40, 0)</f>
        <v>7.7499618580582214E-2</v>
      </c>
    </row>
    <row r="23" spans="2:13" x14ac:dyDescent="0.3">
      <c r="B23" s="16" t="s">
        <v>47</v>
      </c>
      <c r="C23" s="17">
        <f>INDEX(MINVU_Mes_Corriente!$1:$300, 169, 3 + ($C$4 - 2014)*13 + 12)</f>
        <v>0</v>
      </c>
      <c r="D23" s="17">
        <f>INDEX(MINVU_Mes_Corriente!$1:$300, 191, 3 + ($C$4 - 2014)*13 + 12)</f>
        <v>0</v>
      </c>
      <c r="E23" s="17">
        <f>INDEX(MINVU_Mes_Corriente!$1:$300, 31, 3 + ($C$4 - 2014)*13 + 12)</f>
        <v>27933416</v>
      </c>
      <c r="F23" s="17">
        <f>INDEX(MINVU_Mes_Corriente!$1:$300, 53, 3 + ($C$4 - 2014)*13 + 12)</f>
        <v>27847917</v>
      </c>
      <c r="G23" s="17">
        <f>INDEX(MINVU_Mes_Corriente!$1:$300, 100, 3 + ($C$4 - 2014)*13 + 12)</f>
        <v>240920</v>
      </c>
      <c r="H23" s="17">
        <f>INDEX(MINVU_Mes_Corriente!$1:$300, 122, 3 + ($C$4 - 2014)*13 + 12)</f>
        <v>240208</v>
      </c>
      <c r="I23" s="17">
        <f t="shared" si="0"/>
        <v>28174336</v>
      </c>
      <c r="J23" s="17">
        <f t="shared" si="0"/>
        <v>28088125</v>
      </c>
      <c r="K23" s="17">
        <f t="shared" si="1"/>
        <v>86211</v>
      </c>
      <c r="L23" s="18">
        <f t="shared" si="2"/>
        <v>0.99694008760312935</v>
      </c>
      <c r="M23" s="18">
        <f t="shared" si="3"/>
        <v>8.4537340891915249E-3</v>
      </c>
    </row>
    <row r="24" spans="2:13" x14ac:dyDescent="0.3">
      <c r="B24" s="7" t="s">
        <v>48</v>
      </c>
      <c r="C24" s="9">
        <f>INDEX(MINVU_Mes_Corriente!$1:$300, 170, 3 + ($C$4 - 2014)*13 + 12)</f>
        <v>83210671</v>
      </c>
      <c r="D24" s="9">
        <f>INDEX(MINVU_Mes_Corriente!$1:$300, 192, 3 + ($C$4 - 2014)*13 + 12)</f>
        <v>83196155</v>
      </c>
      <c r="E24" s="9">
        <f>INDEX(MINVU_Mes_Corriente!$1:$300, 32, 3 + ($C$4 - 2014)*13 + 12)</f>
        <v>4403210</v>
      </c>
      <c r="F24" s="9">
        <f>INDEX(MINVU_Mes_Corriente!$1:$300, 54, 3 + ($C$4 - 2014)*13 + 12)</f>
        <v>4379123</v>
      </c>
      <c r="G24" s="9">
        <f>INDEX(MINVU_Mes_Corriente!$1:$300, 101, 3 + ($C$4 - 2014)*13 + 12)</f>
        <v>7496</v>
      </c>
      <c r="H24" s="9">
        <f>INDEX(MINVU_Mes_Corriente!$1:$300, 123, 3 + ($C$4 - 2014)*13 + 12)</f>
        <v>7431</v>
      </c>
      <c r="I24" s="9">
        <f t="shared" si="0"/>
        <v>87621377</v>
      </c>
      <c r="J24" s="9">
        <f t="shared" si="0"/>
        <v>87582709</v>
      </c>
      <c r="K24" s="9">
        <f t="shared" si="1"/>
        <v>38668</v>
      </c>
      <c r="L24" s="10">
        <f t="shared" si="2"/>
        <v>0.99955869216709525</v>
      </c>
      <c r="M24" s="10">
        <f t="shared" si="3"/>
        <v>2.6290870588282979E-2</v>
      </c>
    </row>
    <row r="25" spans="2:13" x14ac:dyDescent="0.3">
      <c r="B25" s="16" t="s">
        <v>49</v>
      </c>
      <c r="C25" s="17">
        <f>INDEX(MINVU_Mes_Corriente!$1:$300, 171, 3 + ($C$4 - 2014)*13 + 12)</f>
        <v>81745804</v>
      </c>
      <c r="D25" s="17">
        <f>INDEX(MINVU_Mes_Corriente!$1:$300, 193, 3 + ($C$4 - 2014)*13 + 12)</f>
        <v>81667751</v>
      </c>
      <c r="E25" s="17">
        <f>INDEX(MINVU_Mes_Corriente!$1:$300, 33, 3 + ($C$4 - 2014)*13 + 12)</f>
        <v>8998445</v>
      </c>
      <c r="F25" s="17">
        <f>INDEX(MINVU_Mes_Corriente!$1:$300, 55, 3 + ($C$4 - 2014)*13 + 12)</f>
        <v>8453266</v>
      </c>
      <c r="G25" s="17">
        <f>INDEX(MINVU_Mes_Corriente!$1:$300, 102, 3 + ($C$4 - 2014)*13 + 12)</f>
        <v>3479</v>
      </c>
      <c r="H25" s="17">
        <f>INDEX(MINVU_Mes_Corriente!$1:$300, 124, 3 + ($C$4 - 2014)*13 + 12)</f>
        <v>3340</v>
      </c>
      <c r="I25" s="17">
        <f t="shared" si="0"/>
        <v>90747728</v>
      </c>
      <c r="J25" s="17">
        <f t="shared" si="0"/>
        <v>90124357</v>
      </c>
      <c r="K25" s="17">
        <f t="shared" si="1"/>
        <v>623371</v>
      </c>
      <c r="L25" s="18">
        <f t="shared" si="2"/>
        <v>0.99313072609377062</v>
      </c>
      <c r="M25" s="18">
        <f t="shared" si="3"/>
        <v>2.7228934932496025E-2</v>
      </c>
    </row>
    <row r="26" spans="2:13" x14ac:dyDescent="0.3">
      <c r="B26" s="7" t="s">
        <v>50</v>
      </c>
      <c r="C26" s="9">
        <f>INDEX(MINVU_Mes_Corriente!$1:$300, 172, 3 + ($C$4 - 2014)*13 + 12)</f>
        <v>73119497</v>
      </c>
      <c r="D26" s="9">
        <f>INDEX(MINVU_Mes_Corriente!$1:$300, 194, 3 + ($C$4 - 2014)*13 + 12)</f>
        <v>73069447</v>
      </c>
      <c r="E26" s="9">
        <f>INDEX(MINVU_Mes_Corriente!$1:$300, 34, 3 + ($C$4 - 2014)*13 + 12)</f>
        <v>15465604</v>
      </c>
      <c r="F26" s="9">
        <f>INDEX(MINVU_Mes_Corriente!$1:$300, 56, 3 + ($C$4 - 2014)*13 + 12)</f>
        <v>14221677</v>
      </c>
      <c r="G26" s="9">
        <f>INDEX(MINVU_Mes_Corriente!$1:$300, 103, 3 + ($C$4 - 2014)*13 + 12)</f>
        <v>6270</v>
      </c>
      <c r="H26" s="9">
        <f>INDEX(MINVU_Mes_Corriente!$1:$300, 125, 3 + ($C$4 - 2014)*13 + 12)</f>
        <v>4665</v>
      </c>
      <c r="I26" s="9">
        <f t="shared" si="0"/>
        <v>88591371</v>
      </c>
      <c r="J26" s="9">
        <f t="shared" si="0"/>
        <v>87295789</v>
      </c>
      <c r="K26" s="9">
        <f t="shared" si="1"/>
        <v>1295582</v>
      </c>
      <c r="L26" s="10">
        <f t="shared" si="2"/>
        <v>0.98537575403365185</v>
      </c>
      <c r="M26" s="10">
        <f t="shared" si="3"/>
        <v>2.6581918133968215E-2</v>
      </c>
    </row>
    <row r="27" spans="2:13" x14ac:dyDescent="0.3">
      <c r="B27" s="16" t="s">
        <v>51</v>
      </c>
      <c r="C27" s="17">
        <f>INDEX(MINVU_Mes_Corriente!$1:$300, 173, 3 + ($C$4 - 2014)*13 + 12)</f>
        <v>50339570</v>
      </c>
      <c r="D27" s="17">
        <f>INDEX(MINVU_Mes_Corriente!$1:$300, 195, 3 + ($C$4 - 2014)*13 + 12)</f>
        <v>50275024</v>
      </c>
      <c r="E27" s="17">
        <f>INDEX(MINVU_Mes_Corriente!$1:$300, 35, 3 + ($C$4 - 2014)*13 + 12)</f>
        <v>8570431</v>
      </c>
      <c r="F27" s="17">
        <f>INDEX(MINVU_Mes_Corriente!$1:$300, 57, 3 + ($C$4 - 2014)*13 + 12)</f>
        <v>8070989</v>
      </c>
      <c r="G27" s="17">
        <f>INDEX(MINVU_Mes_Corriente!$1:$300, 104, 3 + ($C$4 - 2014)*13 + 12)</f>
        <v>6646</v>
      </c>
      <c r="H27" s="17">
        <f>INDEX(MINVU_Mes_Corriente!$1:$300, 126, 3 + ($C$4 - 2014)*13 + 12)</f>
        <v>6646</v>
      </c>
      <c r="I27" s="17">
        <f t="shared" si="0"/>
        <v>58916647</v>
      </c>
      <c r="J27" s="17">
        <f t="shared" si="0"/>
        <v>58352659</v>
      </c>
      <c r="K27" s="17">
        <f t="shared" si="1"/>
        <v>563988</v>
      </c>
      <c r="L27" s="18">
        <f t="shared" si="2"/>
        <v>0.99042735748353095</v>
      </c>
      <c r="M27" s="18">
        <f t="shared" si="3"/>
        <v>1.7677991316805607E-2</v>
      </c>
    </row>
    <row r="28" spans="2:13" x14ac:dyDescent="0.3">
      <c r="B28" s="7" t="s">
        <v>52</v>
      </c>
      <c r="C28" s="9">
        <f>INDEX(MINVU_Mes_Corriente!$1:$300, 174, 3 + ($C$4 - 2014)*13 + 12)</f>
        <v>107360177</v>
      </c>
      <c r="D28" s="9">
        <f>INDEX(MINVU_Mes_Corriente!$1:$300, 196, 3 + ($C$4 - 2014)*13 + 12)</f>
        <v>106974951</v>
      </c>
      <c r="E28" s="9">
        <f>INDEX(MINVU_Mes_Corriente!$1:$300, 36, 3 + ($C$4 - 2014)*13 + 12)</f>
        <v>18466482</v>
      </c>
      <c r="F28" s="9">
        <f>INDEX(MINVU_Mes_Corriente!$1:$300, 58, 3 + ($C$4 - 2014)*13 + 12)</f>
        <v>18304746</v>
      </c>
      <c r="G28" s="9">
        <f>INDEX(MINVU_Mes_Corriente!$1:$300, 105, 3 + ($C$4 - 2014)*13 + 12)</f>
        <v>6092813</v>
      </c>
      <c r="H28" s="9">
        <f>INDEX(MINVU_Mes_Corriente!$1:$300, 127, 3 + ($C$4 - 2014)*13 + 12)</f>
        <v>6065343</v>
      </c>
      <c r="I28" s="9">
        <f t="shared" si="0"/>
        <v>131919472</v>
      </c>
      <c r="J28" s="9">
        <f t="shared" si="0"/>
        <v>131345040</v>
      </c>
      <c r="K28" s="9">
        <f t="shared" si="1"/>
        <v>574432</v>
      </c>
      <c r="L28" s="10">
        <f t="shared" si="2"/>
        <v>0.99564558596777886</v>
      </c>
      <c r="M28" s="10">
        <f t="shared" si="3"/>
        <v>3.9582552627843541E-2</v>
      </c>
    </row>
    <row r="29" spans="2:13" x14ac:dyDescent="0.3">
      <c r="B29" s="16" t="s">
        <v>53</v>
      </c>
      <c r="C29" s="17">
        <f>INDEX(MINVU_Mes_Corriente!$1:$300, 175, 3 + ($C$4 - 2014)*13 + 12)</f>
        <v>226125474</v>
      </c>
      <c r="D29" s="17">
        <f>INDEX(MINVU_Mes_Corriente!$1:$300, 197, 3 + ($C$4 - 2014)*13 + 12)</f>
        <v>225998740</v>
      </c>
      <c r="E29" s="17">
        <f>INDEX(MINVU_Mes_Corriente!$1:$300, 37, 3 + ($C$4 - 2014)*13 + 12)</f>
        <v>37750186</v>
      </c>
      <c r="F29" s="17">
        <f>INDEX(MINVU_Mes_Corriente!$1:$300, 59, 3 + ($C$4 - 2014)*13 + 12)</f>
        <v>35664606</v>
      </c>
      <c r="G29" s="17">
        <f>INDEX(MINVU_Mes_Corriente!$1:$300, 106, 3 + ($C$4 - 2014)*13 + 12)</f>
        <v>21887</v>
      </c>
      <c r="H29" s="17">
        <f>INDEX(MINVU_Mes_Corriente!$1:$300, 128, 3 + ($C$4 - 2014)*13 + 12)</f>
        <v>21833</v>
      </c>
      <c r="I29" s="17">
        <f t="shared" si="0"/>
        <v>263897547</v>
      </c>
      <c r="J29" s="17">
        <f t="shared" si="0"/>
        <v>261685179</v>
      </c>
      <c r="K29" s="17">
        <f t="shared" si="1"/>
        <v>2212368</v>
      </c>
      <c r="L29" s="18">
        <f t="shared" si="2"/>
        <v>0.99161656474207394</v>
      </c>
      <c r="M29" s="18">
        <f t="shared" si="3"/>
        <v>7.9182689136947995E-2</v>
      </c>
    </row>
    <row r="30" spans="2:13" x14ac:dyDescent="0.3">
      <c r="B30" s="7" t="s">
        <v>54</v>
      </c>
      <c r="C30" s="9">
        <f>INDEX(MINVU_Mes_Corriente!$1:$300, 176, 3 + ($C$4 - 2014)*13 + 12)</f>
        <v>536507887</v>
      </c>
      <c r="D30" s="9">
        <f>INDEX(MINVU_Mes_Corriente!$1:$300, 198, 3 + ($C$4 - 2014)*13 + 12)</f>
        <v>535781681</v>
      </c>
      <c r="E30" s="9">
        <f>INDEX(MINVU_Mes_Corriente!$1:$300, 38, 3 + ($C$4 - 2014)*13 + 12)</f>
        <v>86087430</v>
      </c>
      <c r="F30" s="9">
        <f>INDEX(MINVU_Mes_Corriente!$1:$300, 60, 3 + ($C$4 - 2014)*13 + 12)</f>
        <v>84329419</v>
      </c>
      <c r="G30" s="9">
        <f>INDEX(MINVU_Mes_Corriente!$1:$300, 107, 3 + ($C$4 - 2014)*13 + 12)</f>
        <v>44560</v>
      </c>
      <c r="H30" s="9">
        <f>INDEX(MINVU_Mes_Corriente!$1:$300, 129, 3 + ($C$4 - 2014)*13 + 12)</f>
        <v>44534</v>
      </c>
      <c r="I30" s="9">
        <f t="shared" si="0"/>
        <v>622639877</v>
      </c>
      <c r="J30" s="9">
        <f t="shared" si="0"/>
        <v>620155634</v>
      </c>
      <c r="K30" s="9">
        <f t="shared" si="1"/>
        <v>2484243</v>
      </c>
      <c r="L30" s="10">
        <f t="shared" si="2"/>
        <v>0.99601014472126392</v>
      </c>
      <c r="M30" s="10">
        <f t="shared" si="3"/>
        <v>0.18682363813240951</v>
      </c>
    </row>
    <row r="31" spans="2:13" x14ac:dyDescent="0.3">
      <c r="B31" s="16" t="s">
        <v>55</v>
      </c>
      <c r="C31" s="17">
        <f>INDEX(MINVU_Mes_Corriente!$1:$300, 177, 3 + ($C$4 - 2014)*13 + 12)</f>
        <v>172944682</v>
      </c>
      <c r="D31" s="17">
        <f>INDEX(MINVU_Mes_Corriente!$1:$300, 199, 3 + ($C$4 - 2014)*13 + 12)</f>
        <v>172843913</v>
      </c>
      <c r="E31" s="17">
        <f>INDEX(MINVU_Mes_Corriente!$1:$300, 39, 3 + ($C$4 - 2014)*13 + 12)</f>
        <v>5515173</v>
      </c>
      <c r="F31" s="17">
        <f>INDEX(MINVU_Mes_Corriente!$1:$300, 61, 3 + ($C$4 - 2014)*13 + 12)</f>
        <v>5186229</v>
      </c>
      <c r="G31" s="17">
        <f>INDEX(MINVU_Mes_Corriente!$1:$300, 108, 3 + ($C$4 - 2014)*13 + 12)</f>
        <v>300457</v>
      </c>
      <c r="H31" s="17">
        <f>INDEX(MINVU_Mes_Corriente!$1:$300, 130, 3 + ($C$4 - 2014)*13 + 12)</f>
        <v>300441</v>
      </c>
      <c r="I31" s="17">
        <f t="shared" si="0"/>
        <v>178760312</v>
      </c>
      <c r="J31" s="17">
        <f t="shared" si="0"/>
        <v>178330583</v>
      </c>
      <c r="K31" s="17">
        <f t="shared" si="1"/>
        <v>429729</v>
      </c>
      <c r="L31" s="18">
        <f t="shared" si="2"/>
        <v>0.9975960603604227</v>
      </c>
      <c r="M31" s="18">
        <f t="shared" si="3"/>
        <v>5.3637187522322188E-2</v>
      </c>
    </row>
    <row r="32" spans="2:13" x14ac:dyDescent="0.3">
      <c r="B32" s="7" t="s">
        <v>56</v>
      </c>
      <c r="C32" s="9">
        <f>INDEX(MINVU_Mes_Corriente!$1:$300, 178, 3 + ($C$4 - 2014)*13 + 12)</f>
        <v>213444748</v>
      </c>
      <c r="D32" s="9">
        <f>INDEX(MINVU_Mes_Corriente!$1:$300, 200, 3 + ($C$4 - 2014)*13 + 12)</f>
        <v>213325058</v>
      </c>
      <c r="E32" s="9">
        <f>INDEX(MINVU_Mes_Corriente!$1:$300, 40, 3 + ($C$4 - 2014)*13 + 12)</f>
        <v>20053849</v>
      </c>
      <c r="F32" s="9">
        <f>INDEX(MINVU_Mes_Corriente!$1:$300, 62, 3 + ($C$4 - 2014)*13 + 12)</f>
        <v>19302172</v>
      </c>
      <c r="G32" s="9">
        <f>INDEX(MINVU_Mes_Corriente!$1:$300, 109, 3 + ($C$4 - 2014)*13 + 12)</f>
        <v>6865</v>
      </c>
      <c r="H32" s="9">
        <f>INDEX(MINVU_Mes_Corriente!$1:$300, 131, 3 + ($C$4 - 2014)*13 + 12)</f>
        <v>6833</v>
      </c>
      <c r="I32" s="9">
        <f t="shared" si="0"/>
        <v>233505462</v>
      </c>
      <c r="J32" s="9">
        <f t="shared" si="0"/>
        <v>232634063</v>
      </c>
      <c r="K32" s="9">
        <f t="shared" si="1"/>
        <v>871399</v>
      </c>
      <c r="L32" s="10">
        <f t="shared" si="2"/>
        <v>0.99626818579515708</v>
      </c>
      <c r="M32" s="10">
        <f t="shared" si="3"/>
        <v>7.0063517526085306E-2</v>
      </c>
    </row>
    <row r="33" spans="2:15" x14ac:dyDescent="0.3">
      <c r="B33" s="16" t="s">
        <v>57</v>
      </c>
      <c r="C33" s="17">
        <f>INDEX(MINVU_Mes_Corriente!$1:$300, 179, 3 + ($C$4 - 2014)*13 + 12)</f>
        <v>154702362</v>
      </c>
      <c r="D33" s="17">
        <f>INDEX(MINVU_Mes_Corriente!$1:$300, 201, 3 + ($C$4 - 2014)*13 + 12)</f>
        <v>154664738</v>
      </c>
      <c r="E33" s="17">
        <f>INDEX(MINVU_Mes_Corriente!$1:$300, 41, 3 + ($C$4 - 2014)*13 + 12)</f>
        <v>19120001</v>
      </c>
      <c r="F33" s="17">
        <f>INDEX(MINVU_Mes_Corriente!$1:$300, 63, 3 + ($C$4 - 2014)*13 + 12)</f>
        <v>17950052</v>
      </c>
      <c r="G33" s="17">
        <f>INDEX(MINVU_Mes_Corriente!$1:$300, 110, 3 + ($C$4 - 2014)*13 + 12)</f>
        <v>6270</v>
      </c>
      <c r="H33" s="17">
        <f>INDEX(MINVU_Mes_Corriente!$1:$300, 132, 3 + ($C$4 - 2014)*13 + 12)</f>
        <v>6042</v>
      </c>
      <c r="I33" s="17">
        <f t="shared" si="0"/>
        <v>173828633</v>
      </c>
      <c r="J33" s="17">
        <f t="shared" si="0"/>
        <v>172620832</v>
      </c>
      <c r="K33" s="17">
        <f t="shared" si="1"/>
        <v>1207801</v>
      </c>
      <c r="L33" s="18">
        <f t="shared" si="2"/>
        <v>0.99305177185625104</v>
      </c>
      <c r="M33" s="18">
        <f t="shared" si="3"/>
        <v>5.2157432937183078E-2</v>
      </c>
    </row>
    <row r="34" spans="2:15" x14ac:dyDescent="0.3">
      <c r="B34" s="7" t="s">
        <v>58</v>
      </c>
      <c r="C34" s="9">
        <f>INDEX(MINVU_Mes_Corriente!$1:$300, 180, 3 + ($C$4 - 2014)*13 + 12)</f>
        <v>303934966</v>
      </c>
      <c r="D34" s="9">
        <f>INDEX(MINVU_Mes_Corriente!$1:$300, 202, 3 + ($C$4 - 2014)*13 + 12)</f>
        <v>303859023</v>
      </c>
      <c r="E34" s="9">
        <f>INDEX(MINVU_Mes_Corriente!$1:$300, 42, 3 + ($C$4 - 2014)*13 + 12)</f>
        <v>52850218</v>
      </c>
      <c r="F34" s="9">
        <f>INDEX(MINVU_Mes_Corriente!$1:$300, 64, 3 + ($C$4 - 2014)*13 + 12)</f>
        <v>52001305</v>
      </c>
      <c r="G34" s="9">
        <f>INDEX(MINVU_Mes_Corriente!$1:$300, 111, 3 + ($C$4 - 2014)*13 + 12)</f>
        <v>12960</v>
      </c>
      <c r="H34" s="9">
        <f>INDEX(MINVU_Mes_Corriente!$1:$300, 133, 3 + ($C$4 - 2014)*13 + 12)</f>
        <v>12190</v>
      </c>
      <c r="I34" s="9">
        <f t="shared" si="0"/>
        <v>356798144</v>
      </c>
      <c r="J34" s="9">
        <f t="shared" si="0"/>
        <v>355872518</v>
      </c>
      <c r="K34" s="9">
        <f t="shared" si="1"/>
        <v>925626</v>
      </c>
      <c r="L34" s="10">
        <f t="shared" si="2"/>
        <v>0.99740574323166886</v>
      </c>
      <c r="M34" s="10">
        <f t="shared" si="3"/>
        <v>0.10705759429052975</v>
      </c>
    </row>
    <row r="35" spans="2:15" x14ac:dyDescent="0.3">
      <c r="B35" s="16" t="s">
        <v>59</v>
      </c>
      <c r="C35" s="17">
        <f>INDEX(MINVU_Mes_Corriente!$1:$300, 181, 3 + ($C$4 - 2014)*13 + 12)</f>
        <v>266347073</v>
      </c>
      <c r="D35" s="17">
        <f>INDEX(MINVU_Mes_Corriente!$1:$300, 203, 3 + ($C$4 - 2014)*13 + 12)</f>
        <v>265754901</v>
      </c>
      <c r="E35" s="17">
        <f>INDEX(MINVU_Mes_Corriente!$1:$300, 43, 3 + ($C$4 - 2014)*13 + 12)</f>
        <v>36728957</v>
      </c>
      <c r="F35" s="17">
        <f>INDEX(MINVU_Mes_Corriente!$1:$300, 65, 3 + ($C$4 - 2014)*13 + 12)</f>
        <v>36426224</v>
      </c>
      <c r="G35" s="17">
        <f>INDEX(MINVU_Mes_Corriente!$1:$300, 112, 3 + ($C$4 - 2014)*13 + 12)</f>
        <v>12161</v>
      </c>
      <c r="H35" s="17">
        <f>INDEX(MINVU_Mes_Corriente!$1:$300, 134, 3 + ($C$4 - 2014)*13 + 12)</f>
        <v>12134</v>
      </c>
      <c r="I35" s="17">
        <f t="shared" si="0"/>
        <v>303088191</v>
      </c>
      <c r="J35" s="17">
        <f t="shared" si="0"/>
        <v>302193259</v>
      </c>
      <c r="K35" s="17">
        <f t="shared" si="1"/>
        <v>894932</v>
      </c>
      <c r="L35" s="18">
        <f t="shared" si="2"/>
        <v>0.99704728845737178</v>
      </c>
      <c r="M35" s="18">
        <f t="shared" si="3"/>
        <v>9.0941876049468989E-2</v>
      </c>
    </row>
    <row r="36" spans="2:15" x14ac:dyDescent="0.3">
      <c r="B36" s="7" t="s">
        <v>60</v>
      </c>
      <c r="C36" s="9">
        <f>INDEX(MINVU_Mes_Corriente!$1:$300, 182, 3 + ($C$4 - 2014)*13 + 12)</f>
        <v>73852164</v>
      </c>
      <c r="D36" s="9">
        <f>INDEX(MINVU_Mes_Corriente!$1:$300, 204, 3 + ($C$4 - 2014)*13 + 12)</f>
        <v>72195760</v>
      </c>
      <c r="E36" s="9">
        <f>INDEX(MINVU_Mes_Corriente!$1:$300, 44, 3 + ($C$4 - 2014)*13 + 12)</f>
        <v>13330524</v>
      </c>
      <c r="F36" s="9">
        <f>INDEX(MINVU_Mes_Corriente!$1:$300, 66, 3 + ($C$4 - 2014)*13 + 12)</f>
        <v>12655537</v>
      </c>
      <c r="G36" s="9">
        <f>INDEX(MINVU_Mes_Corriente!$1:$300, 113, 3 + ($C$4 - 2014)*13 + 12)</f>
        <v>9216</v>
      </c>
      <c r="H36" s="9">
        <f>INDEX(MINVU_Mes_Corriente!$1:$300, 135, 3 + ($C$4 - 2014)*13 + 12)</f>
        <v>9209</v>
      </c>
      <c r="I36" s="9">
        <f t="shared" si="0"/>
        <v>87191904</v>
      </c>
      <c r="J36" s="9">
        <f t="shared" si="0"/>
        <v>84860506</v>
      </c>
      <c r="K36" s="9">
        <f t="shared" si="1"/>
        <v>2331398</v>
      </c>
      <c r="L36" s="10">
        <f t="shared" si="2"/>
        <v>0.97326130187499982</v>
      </c>
      <c r="M36" s="10">
        <f t="shared" si="3"/>
        <v>2.61620068400659E-2</v>
      </c>
    </row>
    <row r="37" spans="2:15" x14ac:dyDescent="0.3">
      <c r="B37" s="16" t="s">
        <v>61</v>
      </c>
      <c r="C37" s="17">
        <f>INDEX(MINVU_Mes_Corriente!$1:$300, 183, 3 + ($C$4 - 2014)*13 + 12)</f>
        <v>209110935</v>
      </c>
      <c r="D37" s="17">
        <f>INDEX(MINVU_Mes_Corriente!$1:$300, 205, 3 + ($C$4 - 2014)*13 + 12)</f>
        <v>209043392</v>
      </c>
      <c r="E37" s="17">
        <f>INDEX(MINVU_Mes_Corriente!$1:$300, 45, 3 + ($C$4 - 2014)*13 + 12)</f>
        <v>17300120</v>
      </c>
      <c r="F37" s="17">
        <f>INDEX(MINVU_Mes_Corriente!$1:$300, 67, 3 + ($C$4 - 2014)*13 + 12)</f>
        <v>16578842</v>
      </c>
      <c r="G37" s="17">
        <f>INDEX(MINVU_Mes_Corriente!$1:$300, 114, 3 + ($C$4 - 2014)*13 + 12)</f>
        <v>9262299</v>
      </c>
      <c r="H37" s="17">
        <f>INDEX(MINVU_Mes_Corriente!$1:$300, 136, 3 + ($C$4 - 2014)*13 + 12)</f>
        <v>9235856</v>
      </c>
      <c r="I37" s="17">
        <f t="shared" si="0"/>
        <v>235673354</v>
      </c>
      <c r="J37" s="17">
        <f t="shared" si="0"/>
        <v>234858090</v>
      </c>
      <c r="K37" s="17">
        <f t="shared" si="1"/>
        <v>815264</v>
      </c>
      <c r="L37" s="18">
        <f t="shared" si="2"/>
        <v>0.9965407035366417</v>
      </c>
      <c r="M37" s="18">
        <f t="shared" si="3"/>
        <v>7.0713995411423425E-2</v>
      </c>
    </row>
    <row r="38" spans="2:15" x14ac:dyDescent="0.3">
      <c r="B38" s="7" t="s">
        <v>62</v>
      </c>
      <c r="C38" s="9">
        <f>INDEX(MINVU_Mes_Corriente!$1:$300, 184, 3 + ($C$4 - 2014)*13 + 12)</f>
        <v>40911462</v>
      </c>
      <c r="D38" s="9">
        <f>INDEX(MINVU_Mes_Corriente!$1:$300, 206, 3 + ($C$4 - 2014)*13 + 12)</f>
        <v>40629172</v>
      </c>
      <c r="E38" s="9">
        <f>INDEX(MINVU_Mes_Corriente!$1:$300, 46, 3 + ($C$4 - 2014)*13 + 12)</f>
        <v>7723948</v>
      </c>
      <c r="F38" s="9">
        <f>INDEX(MINVU_Mes_Corriente!$1:$300, 68, 3 + ($C$4 - 2014)*13 + 12)</f>
        <v>7636879</v>
      </c>
      <c r="G38" s="9">
        <f>INDEX(MINVU_Mes_Corriente!$1:$300, 115, 3 + ($C$4 - 2014)*13 + 12)</f>
        <v>6270</v>
      </c>
      <c r="H38" s="9">
        <f>INDEX(MINVU_Mes_Corriente!$1:$300, 137, 3 + ($C$4 - 2014)*13 + 12)</f>
        <v>6224</v>
      </c>
      <c r="I38" s="9">
        <f t="shared" si="0"/>
        <v>48641680</v>
      </c>
      <c r="J38" s="9">
        <f t="shared" si="0"/>
        <v>48272275</v>
      </c>
      <c r="K38" s="9">
        <f t="shared" si="1"/>
        <v>369405</v>
      </c>
      <c r="L38" s="10">
        <f t="shared" si="2"/>
        <v>0.99240558714254934</v>
      </c>
      <c r="M38" s="10">
        <f t="shared" si="3"/>
        <v>1.4594978507090482E-2</v>
      </c>
    </row>
    <row r="39" spans="2:15" x14ac:dyDescent="0.3">
      <c r="B39" s="16" t="s">
        <v>63</v>
      </c>
      <c r="C39" s="17">
        <f>INDEX(MINVU_Mes_Corriente!$1:$300, 185, 3 + ($C$4 - 2014)*13 + 12)</f>
        <v>66490061</v>
      </c>
      <c r="D39" s="17">
        <f>INDEX(MINVU_Mes_Corriente!$1:$300, 207, 3 + ($C$4 - 2014)*13 + 12)</f>
        <v>66459701</v>
      </c>
      <c r="E39" s="17">
        <f>INDEX(MINVU_Mes_Corriente!$1:$300, 47, 3 + ($C$4 - 2014)*13 + 12)</f>
        <v>17985481</v>
      </c>
      <c r="F39" s="17">
        <f>INDEX(MINVU_Mes_Corriente!$1:$300, 69, 3 + ($C$4 - 2014)*13 + 12)</f>
        <v>17938143</v>
      </c>
      <c r="G39" s="17">
        <f>INDEX(MINVU_Mes_Corriente!$1:$300, 116, 3 + ($C$4 - 2014)*13 + 12)</f>
        <v>8343</v>
      </c>
      <c r="H39" s="17">
        <f>INDEX(MINVU_Mes_Corriente!$1:$300, 138, 3 + ($C$4 - 2014)*13 + 12)</f>
        <v>8289</v>
      </c>
      <c r="I39" s="17">
        <f t="shared" si="0"/>
        <v>84483885</v>
      </c>
      <c r="J39" s="17">
        <f t="shared" si="0"/>
        <v>84406133</v>
      </c>
      <c r="K39" s="17">
        <f t="shared" si="1"/>
        <v>77752</v>
      </c>
      <c r="L39" s="18">
        <f t="shared" si="2"/>
        <v>0.99907968247435586</v>
      </c>
      <c r="M39" s="18">
        <f t="shared" si="3"/>
        <v>2.534946337730325E-2</v>
      </c>
    </row>
    <row r="40" spans="2:15" ht="15" thickBot="1" x14ac:dyDescent="0.35">
      <c r="B40" s="11" t="s">
        <v>64</v>
      </c>
      <c r="C40" s="13">
        <f t="shared" ref="C40:K40" si="4">SUM(C22:C39)</f>
        <v>2913408485</v>
      </c>
      <c r="D40" s="13">
        <f t="shared" si="4"/>
        <v>2904924599</v>
      </c>
      <c r="E40" s="13">
        <f t="shared" si="4"/>
        <v>400142072</v>
      </c>
      <c r="F40" s="13">
        <f t="shared" si="4"/>
        <v>388712182</v>
      </c>
      <c r="G40" s="13">
        <f t="shared" si="4"/>
        <v>19217626</v>
      </c>
      <c r="H40" s="13">
        <f t="shared" si="4"/>
        <v>19062259</v>
      </c>
      <c r="I40" s="13">
        <f t="shared" si="4"/>
        <v>3332768183</v>
      </c>
      <c r="J40" s="13">
        <f t="shared" si="4"/>
        <v>3312699040</v>
      </c>
      <c r="K40" s="13">
        <f t="shared" si="4"/>
        <v>20069143</v>
      </c>
      <c r="L40" s="14">
        <f t="shared" si="2"/>
        <v>0.99397823613944414</v>
      </c>
      <c r="M40" s="14">
        <f>SUM(M22:M39)</f>
        <v>1</v>
      </c>
    </row>
    <row r="42" spans="2:15" x14ac:dyDescent="0.3">
      <c r="B42" s="5" t="s">
        <v>65</v>
      </c>
    </row>
    <row r="44" spans="2:15" x14ac:dyDescent="0.3">
      <c r="B44" s="19" t="s">
        <v>66</v>
      </c>
      <c r="C44" s="19" t="s">
        <v>67</v>
      </c>
      <c r="D44" s="19" t="s">
        <v>68</v>
      </c>
      <c r="E44" s="19" t="s">
        <v>69</v>
      </c>
      <c r="F44" s="19" t="s">
        <v>70</v>
      </c>
      <c r="G44" s="19" t="s">
        <v>71</v>
      </c>
      <c r="H44" s="19" t="s">
        <v>72</v>
      </c>
      <c r="I44" s="19" t="s">
        <v>73</v>
      </c>
      <c r="J44" s="19" t="s">
        <v>74</v>
      </c>
      <c r="K44" s="19" t="s">
        <v>75</v>
      </c>
      <c r="L44" s="19" t="s">
        <v>76</v>
      </c>
      <c r="M44" s="19" t="s">
        <v>77</v>
      </c>
      <c r="N44" s="19" t="s">
        <v>78</v>
      </c>
      <c r="O44" s="19" t="s">
        <v>79</v>
      </c>
    </row>
    <row r="45" spans="2:15" x14ac:dyDescent="0.3">
      <c r="B45" s="7" t="s">
        <v>20</v>
      </c>
      <c r="C45" s="9">
        <f>INDEX(MINVU_Mes_Corriente!$1:$300, 164, 3 + ($C$4 - 2014)*13 + 0) + INDEX(MINVU_Mes_Corriente!$1:$300, 26, 3 + ($C$4 - 2014)*13 + 0) + INDEX(MINVU_Mes_Corriente!$1:$300, 95, 3 + ($C$4 - 2014)*13 + 0)</f>
        <v>3320541734</v>
      </c>
      <c r="D45" s="9">
        <f>INDEX(MINVU_Mes_Corriente!$1:$300, 164, 3 + ($C$4 - 2014)*13 + 1) + INDEX(MINVU_Mes_Corriente!$1:$300, 26, 3 + ($C$4 - 2014)*13 + 1) + INDEX(MINVU_Mes_Corriente!$1:$300, 95, 3 + ($C$4 - 2014)*13 + 1)</f>
        <v>3320541734</v>
      </c>
      <c r="E45" s="9">
        <f>INDEX(MINVU_Mes_Corriente!$1:$300, 164, 3 + ($C$4 - 2014)*13 + 2) + INDEX(MINVU_Mes_Corriente!$1:$300, 26, 3 + ($C$4 - 2014)*13 + 2) + INDEX(MINVU_Mes_Corriente!$1:$300, 95, 3 + ($C$4 - 2014)*13 + 2)</f>
        <v>3320541734</v>
      </c>
      <c r="F45" s="9">
        <f>INDEX(MINVU_Mes_Corriente!$1:$300, 164, 3 + ($C$4 - 2014)*13 + 3) + INDEX(MINVU_Mes_Corriente!$1:$300, 26, 3 + ($C$4 - 2014)*13 + 3) + INDEX(MINVU_Mes_Corriente!$1:$300, 95, 3 + ($C$4 - 2014)*13 + 3)</f>
        <v>3320541734</v>
      </c>
      <c r="G45" s="9">
        <f>INDEX(MINVU_Mes_Corriente!$1:$300, 164, 3 + ($C$4 - 2014)*13 + 4) + INDEX(MINVU_Mes_Corriente!$1:$300, 26, 3 + ($C$4 - 2014)*13 + 4) + INDEX(MINVU_Mes_Corriente!$1:$300, 95, 3 + ($C$4 - 2014)*13 + 4)</f>
        <v>3320541734</v>
      </c>
      <c r="H45" s="9">
        <f>INDEX(MINVU_Mes_Corriente!$1:$300, 164, 3 + ($C$4 - 2014)*13 + 5) + INDEX(MINVU_Mes_Corriente!$1:$300, 26, 3 + ($C$4 - 2014)*13 + 5) + INDEX(MINVU_Mes_Corriente!$1:$300, 95, 3 + ($C$4 - 2014)*13 + 5)</f>
        <v>3320541734</v>
      </c>
      <c r="I45" s="9">
        <f>INDEX(MINVU_Mes_Corriente!$1:$300, 164, 3 + ($C$4 - 2014)*13 + 6) + INDEX(MINVU_Mes_Corriente!$1:$300, 26, 3 + ($C$4 - 2014)*13 + 6) + INDEX(MINVU_Mes_Corriente!$1:$300, 95, 3 + ($C$4 - 2014)*13 + 6)</f>
        <v>3320541734</v>
      </c>
      <c r="J45" s="9">
        <f>INDEX(MINVU_Mes_Corriente!$1:$300, 164, 3 + ($C$4 - 2014)*13 + 7) + INDEX(MINVU_Mes_Corriente!$1:$300, 26, 3 + ($C$4 - 2014)*13 + 7) + INDEX(MINVU_Mes_Corriente!$1:$300, 95, 3 + ($C$4 - 2014)*13 + 7)</f>
        <v>3320541734</v>
      </c>
      <c r="K45" s="9">
        <f>INDEX(MINVU_Mes_Corriente!$1:$300, 164, 3 + ($C$4 - 2014)*13 + 8) + INDEX(MINVU_Mes_Corriente!$1:$300, 26, 3 + ($C$4 - 2014)*13 + 8) + INDEX(MINVU_Mes_Corriente!$1:$300, 95, 3 + ($C$4 - 2014)*13 + 8)</f>
        <v>3320541734</v>
      </c>
      <c r="L45" s="9">
        <f>INDEX(MINVU_Mes_Corriente!$1:$300, 164, 3 + ($C$4 - 2014)*13 + 9) + INDEX(MINVU_Mes_Corriente!$1:$300, 26, 3 + ($C$4 - 2014)*13 + 9) + INDEX(MINVU_Mes_Corriente!$1:$300, 95, 3 + ($C$4 - 2014)*13 + 9)</f>
        <v>3320541734</v>
      </c>
      <c r="M45" s="9">
        <f>INDEX(MINVU_Mes_Corriente!$1:$300, 164, 3 + ($C$4 - 2014)*13 + 10) + INDEX(MINVU_Mes_Corriente!$1:$300, 26, 3 + ($C$4 - 2014)*13 + 10) + INDEX(MINVU_Mes_Corriente!$1:$300, 95, 3 + ($C$4 - 2014)*13 + 10)</f>
        <v>3320541734</v>
      </c>
      <c r="N45" s="9">
        <f>INDEX(MINVU_Mes_Corriente!$1:$300, 164, 3 + ($C$4 - 2014)*13 + 11) + INDEX(MINVU_Mes_Corriente!$1:$300, 26, 3 + ($C$4 - 2014)*13 + 11) + INDEX(MINVU_Mes_Corriente!$1:$300, 95, 3 + ($C$4 - 2014)*13 + 11)</f>
        <v>3320541734</v>
      </c>
      <c r="O45" s="20">
        <f>INDEX(MINVU_Mes_Corriente!$1:$300, 164, 3 + ($C$4 - 2014)*13 + 12) + INDEX(MINVU_Mes_Corriente!$1:$300, 26, 3 + ($C$4 - 2014)*13 + 12) + INDEX(MINVU_Mes_Corriente!$1:$300, 95, 3 + ($C$4 - 2014)*13 + 12)</f>
        <v>3320541734</v>
      </c>
    </row>
    <row r="46" spans="2:15" x14ac:dyDescent="0.3">
      <c r="B46" s="7" t="s">
        <v>21</v>
      </c>
      <c r="C46" s="9">
        <f>INDEX(MINVU_Mes_Corriente!$1:$300, 186, 3 + ($C$4 - 2014)*13 + 0) + INDEX(MINVU_Mes_Corriente!$1:$300, 48, 3 + ($C$4 - 2014)*13 + 0) + INDEX(MINVU_Mes_Corriente!$1:$300, 117, 3 + ($C$4 - 2014)*13 + 0)</f>
        <v>3320541734</v>
      </c>
      <c r="D46" s="9">
        <f>INDEX(MINVU_Mes_Corriente!$1:$300, 186, 3 + ($C$4 - 2014)*13 + 1) + INDEX(MINVU_Mes_Corriente!$1:$300, 48, 3 + ($C$4 - 2014)*13 + 1) + INDEX(MINVU_Mes_Corriente!$1:$300, 117, 3 + ($C$4 - 2014)*13 + 1)</f>
        <v>3320541734</v>
      </c>
      <c r="E46" s="9">
        <f>INDEX(MINVU_Mes_Corriente!$1:$300, 186, 3 + ($C$4 - 2014)*13 + 2) + INDEX(MINVU_Mes_Corriente!$1:$300, 48, 3 + ($C$4 - 2014)*13 + 2) + INDEX(MINVU_Mes_Corriente!$1:$300, 117, 3 + ($C$4 - 2014)*13 + 2)</f>
        <v>3320541734</v>
      </c>
      <c r="F46" s="9">
        <f>INDEX(MINVU_Mes_Corriente!$1:$300, 186, 3 + ($C$4 - 2014)*13 + 3) + INDEX(MINVU_Mes_Corriente!$1:$300, 48, 3 + ($C$4 - 2014)*13 + 3) + INDEX(MINVU_Mes_Corriente!$1:$300, 117, 3 + ($C$4 - 2014)*13 + 3)</f>
        <v>3320541734</v>
      </c>
      <c r="G46" s="9">
        <f>INDEX(MINVU_Mes_Corriente!$1:$300, 186, 3 + ($C$4 - 2014)*13 + 4) + INDEX(MINVU_Mes_Corriente!$1:$300, 48, 3 + ($C$4 - 2014)*13 + 4) + INDEX(MINVU_Mes_Corriente!$1:$300, 117, 3 + ($C$4 - 2014)*13 + 4)</f>
        <v>3320643534</v>
      </c>
      <c r="H46" s="9">
        <f>INDEX(MINVU_Mes_Corriente!$1:$300, 186, 3 + ($C$4 - 2014)*13 + 5) + INDEX(MINVU_Mes_Corriente!$1:$300, 48, 3 + ($C$4 - 2014)*13 + 5) + INDEX(MINVU_Mes_Corriente!$1:$300, 117, 3 + ($C$4 - 2014)*13 + 5)</f>
        <v>3320643534</v>
      </c>
      <c r="I46" s="9">
        <f>INDEX(MINVU_Mes_Corriente!$1:$300, 186, 3 + ($C$4 - 2014)*13 + 6) + INDEX(MINVU_Mes_Corriente!$1:$300, 48, 3 + ($C$4 - 2014)*13 + 6) + INDEX(MINVU_Mes_Corriente!$1:$300, 117, 3 + ($C$4 - 2014)*13 + 6)</f>
        <v>3329424159</v>
      </c>
      <c r="J46" s="9">
        <f>INDEX(MINVU_Mes_Corriente!$1:$300, 186, 3 + ($C$4 - 2014)*13 + 7) + INDEX(MINVU_Mes_Corriente!$1:$300, 48, 3 + ($C$4 - 2014)*13 + 7) + INDEX(MINVU_Mes_Corriente!$1:$300, 117, 3 + ($C$4 - 2014)*13 + 7)</f>
        <v>3376717372</v>
      </c>
      <c r="K46" s="9">
        <f>INDEX(MINVU_Mes_Corriente!$1:$300, 186, 3 + ($C$4 - 2014)*13 + 8) + INDEX(MINVU_Mes_Corriente!$1:$300, 48, 3 + ($C$4 - 2014)*13 + 8) + INDEX(MINVU_Mes_Corriente!$1:$300, 117, 3 + ($C$4 - 2014)*13 + 8)</f>
        <v>3421717372</v>
      </c>
      <c r="L46" s="9">
        <f>INDEX(MINVU_Mes_Corriente!$1:$300, 186, 3 + ($C$4 - 2014)*13 + 9) + INDEX(MINVU_Mes_Corriente!$1:$300, 48, 3 + ($C$4 - 2014)*13 + 9) + INDEX(MINVU_Mes_Corriente!$1:$300, 117, 3 + ($C$4 - 2014)*13 + 9)</f>
        <v>3491232791</v>
      </c>
      <c r="M46" s="9">
        <f>INDEX(MINVU_Mes_Corriente!$1:$300, 186, 3 + ($C$4 - 2014)*13 + 10) + INDEX(MINVU_Mes_Corriente!$1:$300, 48, 3 + ($C$4 - 2014)*13 + 10) + INDEX(MINVU_Mes_Corriente!$1:$300, 117, 3 + ($C$4 - 2014)*13 + 10)</f>
        <v>3488688633</v>
      </c>
      <c r="N46" s="9">
        <f>INDEX(MINVU_Mes_Corriente!$1:$300, 186, 3 + ($C$4 - 2014)*13 + 11) + INDEX(MINVU_Mes_Corriente!$1:$300, 48, 3 + ($C$4 - 2014)*13 + 11) + INDEX(MINVU_Mes_Corriente!$1:$300, 117, 3 + ($C$4 - 2014)*13 + 11)</f>
        <v>3332768183</v>
      </c>
      <c r="O46" s="20">
        <f>INDEX(MINVU_Mes_Corriente!$1:$300, 186, 3 + ($C$4 - 2014)*13 + 12) + INDEX(MINVU_Mes_Corriente!$1:$300, 48, 3 + ($C$4 - 2014)*13 + 12) + INDEX(MINVU_Mes_Corriente!$1:$300, 117, 3 + ($C$4 - 2014)*13 + 12)</f>
        <v>3332768183</v>
      </c>
    </row>
    <row r="47" spans="2:15" x14ac:dyDescent="0.3">
      <c r="B47" s="21" t="s">
        <v>22</v>
      </c>
      <c r="C47" s="22">
        <f>INDEX(MINVU_Mes_Corriente!$1:$300, 208, 3 + ($C$4 - 2014)*13 + 0) + INDEX(MINVU_Mes_Corriente!$1:$300, 70, 3 + ($C$4 - 2014)*13 + 0) + INDEX(MINVU_Mes_Corriente!$1:$300, 139, 3 + ($C$4 - 2014)*13 + 0)</f>
        <v>144905537</v>
      </c>
      <c r="D47" s="22">
        <f>INDEX(MINVU_Mes_Corriente!$1:$300, 208, 3 + ($C$4 - 2014)*13 + 1) + INDEX(MINVU_Mes_Corriente!$1:$300, 70, 3 + ($C$4 - 2014)*13 + 1) + INDEX(MINVU_Mes_Corriente!$1:$300, 139, 3 + ($C$4 - 2014)*13 + 1)</f>
        <v>392112901</v>
      </c>
      <c r="E47" s="22">
        <f>INDEX(MINVU_Mes_Corriente!$1:$300, 208, 3 + ($C$4 - 2014)*13 + 2) + INDEX(MINVU_Mes_Corriente!$1:$300, 70, 3 + ($C$4 - 2014)*13 + 2) + INDEX(MINVU_Mes_Corriente!$1:$300, 139, 3 + ($C$4 - 2014)*13 + 2)</f>
        <v>734004289</v>
      </c>
      <c r="F47" s="22">
        <f>INDEX(MINVU_Mes_Corriente!$1:$300, 208, 3 + ($C$4 - 2014)*13 + 3) + INDEX(MINVU_Mes_Corriente!$1:$300, 70, 3 + ($C$4 - 2014)*13 + 3) + INDEX(MINVU_Mes_Corriente!$1:$300, 139, 3 + ($C$4 - 2014)*13 + 3)</f>
        <v>1004471755</v>
      </c>
      <c r="G47" s="22">
        <f>INDEX(MINVU_Mes_Corriente!$1:$300, 208, 3 + ($C$4 - 2014)*13 + 4) + INDEX(MINVU_Mes_Corriente!$1:$300, 70, 3 + ($C$4 - 2014)*13 + 4) + INDEX(MINVU_Mes_Corriente!$1:$300, 139, 3 + ($C$4 - 2014)*13 + 4)</f>
        <v>1303821878</v>
      </c>
      <c r="H47" s="22">
        <f>INDEX(MINVU_Mes_Corriente!$1:$300, 208, 3 + ($C$4 - 2014)*13 + 5) + INDEX(MINVU_Mes_Corriente!$1:$300, 70, 3 + ($C$4 - 2014)*13 + 5) + INDEX(MINVU_Mes_Corriente!$1:$300, 139, 3 + ($C$4 - 2014)*13 + 5)</f>
        <v>1551877586</v>
      </c>
      <c r="I47" s="22">
        <f>INDEX(MINVU_Mes_Corriente!$1:$300, 208, 3 + ($C$4 - 2014)*13 + 6) + INDEX(MINVU_Mes_Corriente!$1:$300, 70, 3 + ($C$4 - 2014)*13 + 6) + INDEX(MINVU_Mes_Corriente!$1:$300, 139, 3 + ($C$4 - 2014)*13 + 6)</f>
        <v>1800513314</v>
      </c>
      <c r="J47" s="22">
        <f>INDEX(MINVU_Mes_Corriente!$1:$300, 208, 3 + ($C$4 - 2014)*13 + 7) + INDEX(MINVU_Mes_Corriente!$1:$300, 70, 3 + ($C$4 - 2014)*13 + 7) + INDEX(MINVU_Mes_Corriente!$1:$300, 139, 3 + ($C$4 - 2014)*13 + 7)</f>
        <v>2056646958</v>
      </c>
      <c r="K47" s="22">
        <f>INDEX(MINVU_Mes_Corriente!$1:$300, 208, 3 + ($C$4 - 2014)*13 + 8) + INDEX(MINVU_Mes_Corriente!$1:$300, 70, 3 + ($C$4 - 2014)*13 + 8) + INDEX(MINVU_Mes_Corriente!$1:$300, 139, 3 + ($C$4 - 2014)*13 + 8)</f>
        <v>2287303377</v>
      </c>
      <c r="L47" s="22">
        <f>INDEX(MINVU_Mes_Corriente!$1:$300, 208, 3 + ($C$4 - 2014)*13 + 9) + INDEX(MINVU_Mes_Corriente!$1:$300, 70, 3 + ($C$4 - 2014)*13 + 9) + INDEX(MINVU_Mes_Corriente!$1:$300, 139, 3 + ($C$4 - 2014)*13 + 9)</f>
        <v>2541084845</v>
      </c>
      <c r="M47" s="22">
        <f>INDEX(MINVU_Mes_Corriente!$1:$300, 208, 3 + ($C$4 - 2014)*13 + 10) + INDEX(MINVU_Mes_Corriente!$1:$300, 70, 3 + ($C$4 - 2014)*13 + 10) + INDEX(MINVU_Mes_Corriente!$1:$300, 139, 3 + ($C$4 - 2014)*13 + 10)</f>
        <v>2810519043</v>
      </c>
      <c r="N47" s="22">
        <f>INDEX(MINVU_Mes_Corriente!$1:$300, 208, 3 + ($C$4 - 2014)*13 + 11) + INDEX(MINVU_Mes_Corriente!$1:$300, 70, 3 + ($C$4 - 2014)*13 + 11) + INDEX(MINVU_Mes_Corriente!$1:$300, 139, 3 + ($C$4 - 2014)*13 + 11)</f>
        <v>3312699040</v>
      </c>
      <c r="O47" s="23">
        <f>INDEX(MINVU_Mes_Corriente!$1:$300, 208, 3 + ($C$4 - 2014)*13 + 12) + INDEX(MINVU_Mes_Corriente!$1:$300, 70, 3 + ($C$4 - 2014)*13 + 12) + INDEX(MINVU_Mes_Corriente!$1:$300, 139, 3 + ($C$4 - 2014)*13 + 12)</f>
        <v>3312699040</v>
      </c>
    </row>
    <row r="48" spans="2:15" ht="15" thickBot="1" x14ac:dyDescent="0.35">
      <c r="B48" s="24" t="s">
        <v>80</v>
      </c>
      <c r="C48" s="25">
        <f t="shared" ref="C48:O48" si="5">IF(C46&gt;0, C47/C46, 0)</f>
        <v>4.36391253620666E-2</v>
      </c>
      <c r="D48" s="25">
        <f t="shared" si="5"/>
        <v>0.1180870268802952</v>
      </c>
      <c r="E48" s="25">
        <f t="shared" si="5"/>
        <v>0.2210495599209957</v>
      </c>
      <c r="F48" s="25">
        <f t="shared" si="5"/>
        <v>0.30250237324678658</v>
      </c>
      <c r="G48" s="25">
        <f t="shared" si="5"/>
        <v>0.39264132528836504</v>
      </c>
      <c r="H48" s="25">
        <f t="shared" si="5"/>
        <v>0.46734242025991579</v>
      </c>
      <c r="I48" s="25">
        <f t="shared" si="5"/>
        <v>0.54078820481100498</v>
      </c>
      <c r="J48" s="25">
        <f t="shared" si="5"/>
        <v>0.60906695213933948</v>
      </c>
      <c r="K48" s="25">
        <f t="shared" si="5"/>
        <v>0.6684664828594733</v>
      </c>
      <c r="L48" s="25">
        <f t="shared" si="5"/>
        <v>0.72784743874731783</v>
      </c>
      <c r="M48" s="25">
        <f t="shared" si="5"/>
        <v>0.80560902352101649</v>
      </c>
      <c r="N48" s="25">
        <f t="shared" si="5"/>
        <v>0.99397823613944414</v>
      </c>
      <c r="O48" s="14">
        <f t="shared" si="5"/>
        <v>0.99397823613944414</v>
      </c>
    </row>
    <row r="50" spans="2:9" x14ac:dyDescent="0.3">
      <c r="B50" s="5" t="s">
        <v>81</v>
      </c>
    </row>
    <row r="52" spans="2:9" ht="27.6" x14ac:dyDescent="0.3">
      <c r="B52" s="6" t="s">
        <v>82</v>
      </c>
      <c r="C52" s="6" t="s">
        <v>20</v>
      </c>
      <c r="D52" s="6" t="s">
        <v>21</v>
      </c>
      <c r="E52" s="6" t="s">
        <v>22</v>
      </c>
      <c r="F52" s="6" t="s">
        <v>23</v>
      </c>
      <c r="G52" s="6" t="s">
        <v>24</v>
      </c>
      <c r="H52" s="6" t="s">
        <v>83</v>
      </c>
      <c r="I52" s="6" t="s">
        <v>84</v>
      </c>
    </row>
    <row r="53" spans="2:9" x14ac:dyDescent="0.3">
      <c r="B53" s="26">
        <v>2014</v>
      </c>
      <c r="C53" s="17">
        <f>MINVU_Mes_Corriente!O164 + MINVU_Mes_Corriente!O26 + MINVU_Mes_Corriente!O95</f>
        <v>1280389722</v>
      </c>
      <c r="D53" s="17">
        <f>MINVU_Mes_Corriente!O186 + MINVU_Mes_Corriente!O48 + MINVU_Mes_Corriente!O117</f>
        <v>1468688961</v>
      </c>
      <c r="E53" s="17">
        <f>MINVU_Mes_Corriente!O208 + MINVU_Mes_Corriente!O70 + MINVU_Mes_Corriente!O139</f>
        <v>1460922722</v>
      </c>
      <c r="F53" s="17">
        <f t="shared" ref="F53:F65" si="6">D53 - E53</f>
        <v>7766239</v>
      </c>
      <c r="G53" s="18">
        <f t="shared" ref="G53:G65" si="7">IF(D53&gt;0, E53/D53, 0)</f>
        <v>0.99471212815904053</v>
      </c>
      <c r="H53" s="27" t="s">
        <v>85</v>
      </c>
      <c r="I53" s="27" t="s">
        <v>85</v>
      </c>
    </row>
    <row r="54" spans="2:9" x14ac:dyDescent="0.3">
      <c r="B54" s="28">
        <v>2015</v>
      </c>
      <c r="C54" s="9">
        <f>MINVU_Mes_Corriente!AB164 + MINVU_Mes_Corriente!AB26 + MINVU_Mes_Corriente!AB95</f>
        <v>1563189422</v>
      </c>
      <c r="D54" s="9">
        <f>MINVU_Mes_Corriente!AB186 + MINVU_Mes_Corriente!AB48 + MINVU_Mes_Corriente!AB117</f>
        <v>1585977798</v>
      </c>
      <c r="E54" s="9">
        <f>MINVU_Mes_Corriente!AB208 + MINVU_Mes_Corriente!AB70 + MINVU_Mes_Corriente!AB139</f>
        <v>1578590760</v>
      </c>
      <c r="F54" s="9">
        <f t="shared" si="6"/>
        <v>7387038</v>
      </c>
      <c r="G54" s="10">
        <f t="shared" si="7"/>
        <v>0.99534228158217886</v>
      </c>
      <c r="H54" s="10">
        <f t="shared" ref="H54:I65" si="8">IF(D53&gt;0, (D54-D53)/D53, 0)</f>
        <v>7.9859548287297299E-2</v>
      </c>
      <c r="I54" s="10">
        <f t="shared" si="8"/>
        <v>8.0543642882706837E-2</v>
      </c>
    </row>
    <row r="55" spans="2:9" x14ac:dyDescent="0.3">
      <c r="B55" s="26">
        <v>2016</v>
      </c>
      <c r="C55" s="17">
        <f>MINVU_Mes_Corriente!AO164 + MINVU_Mes_Corriente!AO26 + MINVU_Mes_Corriente!AO95</f>
        <v>1713772055</v>
      </c>
      <c r="D55" s="17">
        <f>MINVU_Mes_Corriente!AO186 + MINVU_Mes_Corriente!AO48 + MINVU_Mes_Corriente!AO117</f>
        <v>1727475521</v>
      </c>
      <c r="E55" s="17">
        <f>MINVU_Mes_Corriente!AO208 + MINVU_Mes_Corriente!AO70 + MINVU_Mes_Corriente!AO139</f>
        <v>1719476578</v>
      </c>
      <c r="F55" s="17">
        <f t="shared" si="6"/>
        <v>7998943</v>
      </c>
      <c r="G55" s="18">
        <f t="shared" si="7"/>
        <v>0.99536957664362757</v>
      </c>
      <c r="H55" s="18">
        <f t="shared" si="8"/>
        <v>8.9217972142129565E-2</v>
      </c>
      <c r="I55" s="18">
        <f t="shared" si="8"/>
        <v>8.9247841536840108E-2</v>
      </c>
    </row>
    <row r="56" spans="2:9" x14ac:dyDescent="0.3">
      <c r="B56" s="28">
        <v>2017</v>
      </c>
      <c r="C56" s="9">
        <f>MINVU_Mes_Corriente!BB164 + MINVU_Mes_Corriente!BB26 + MINVU_Mes_Corriente!BB95</f>
        <v>1738839198</v>
      </c>
      <c r="D56" s="9">
        <f>MINVU_Mes_Corriente!BB186 + MINVU_Mes_Corriente!BB48 + MINVU_Mes_Corriente!BB117</f>
        <v>1758673597</v>
      </c>
      <c r="E56" s="9">
        <f>MINVU_Mes_Corriente!BB208 + MINVU_Mes_Corriente!BB70 + MINVU_Mes_Corriente!BB139</f>
        <v>1750915720</v>
      </c>
      <c r="F56" s="9">
        <f t="shared" si="6"/>
        <v>7757877</v>
      </c>
      <c r="G56" s="10">
        <f t="shared" si="7"/>
        <v>0.99558879088579388</v>
      </c>
      <c r="H56" s="10">
        <f t="shared" si="8"/>
        <v>1.8059923640446191E-2</v>
      </c>
      <c r="I56" s="10">
        <f t="shared" si="8"/>
        <v>1.8284135068922118E-2</v>
      </c>
    </row>
    <row r="57" spans="2:9" x14ac:dyDescent="0.3">
      <c r="B57" s="26">
        <v>2018</v>
      </c>
      <c r="C57" s="17">
        <f>MINVU_Mes_Corriente!BO164 + MINVU_Mes_Corriente!BO26 + MINVU_Mes_Corriente!BO95</f>
        <v>1745380579</v>
      </c>
      <c r="D57" s="17">
        <f>MINVU_Mes_Corriente!BO186 + MINVU_Mes_Corriente!BO48 + MINVU_Mes_Corriente!BO117</f>
        <v>1702433466</v>
      </c>
      <c r="E57" s="17">
        <f>MINVU_Mes_Corriente!BO208 + MINVU_Mes_Corriente!BO70 + MINVU_Mes_Corriente!BO139</f>
        <v>1695561038</v>
      </c>
      <c r="F57" s="17">
        <f t="shared" si="6"/>
        <v>6872428</v>
      </c>
      <c r="G57" s="18">
        <f t="shared" si="7"/>
        <v>0.99596317381134003</v>
      </c>
      <c r="H57" s="18">
        <f t="shared" si="8"/>
        <v>-3.1978720267328835E-2</v>
      </c>
      <c r="I57" s="18">
        <f t="shared" si="8"/>
        <v>-3.1614703876209418E-2</v>
      </c>
    </row>
    <row r="58" spans="2:9" x14ac:dyDescent="0.3">
      <c r="B58" s="28">
        <v>2019</v>
      </c>
      <c r="C58" s="9">
        <f>MINVU_Mes_Corriente!CB164 + MINVU_Mes_Corriente!CB26 + MINVU_Mes_Corriente!CB95</f>
        <v>1889599270</v>
      </c>
      <c r="D58" s="9">
        <f>MINVU_Mes_Corriente!CB186 + MINVU_Mes_Corriente!CB48 + MINVU_Mes_Corriente!CB117</f>
        <v>2048075399</v>
      </c>
      <c r="E58" s="9">
        <f>MINVU_Mes_Corriente!CB208 + MINVU_Mes_Corriente!CB70 + MINVU_Mes_Corriente!CB139</f>
        <v>2034276707</v>
      </c>
      <c r="F58" s="9">
        <f t="shared" si="6"/>
        <v>13798692</v>
      </c>
      <c r="G58" s="10">
        <f t="shared" si="7"/>
        <v>0.99326260546523948</v>
      </c>
      <c r="H58" s="10">
        <f t="shared" si="8"/>
        <v>0.20302815933953217</v>
      </c>
      <c r="I58" s="10">
        <f t="shared" si="8"/>
        <v>0.19976613133286683</v>
      </c>
    </row>
    <row r="59" spans="2:9" x14ac:dyDescent="0.3">
      <c r="B59" s="26">
        <v>2020</v>
      </c>
      <c r="C59" s="17">
        <f>MINVU_Mes_Corriente!CO164 + MINVU_Mes_Corriente!CO26 + MINVU_Mes_Corriente!CO95</f>
        <v>2009243466</v>
      </c>
      <c r="D59" s="17">
        <f>MINVU_Mes_Corriente!CO186 + MINVU_Mes_Corriente!CO48 + MINVU_Mes_Corriente!CO117</f>
        <v>2068983787</v>
      </c>
      <c r="E59" s="17">
        <f>MINVU_Mes_Corriente!CO208 + MINVU_Mes_Corriente!CO70 + MINVU_Mes_Corriente!CO139</f>
        <v>2048851634</v>
      </c>
      <c r="F59" s="17">
        <f t="shared" si="6"/>
        <v>20132153</v>
      </c>
      <c r="G59" s="18">
        <f t="shared" si="7"/>
        <v>0.9902695453069783</v>
      </c>
      <c r="H59" s="18">
        <f t="shared" si="8"/>
        <v>1.0208797981855941E-2</v>
      </c>
      <c r="I59" s="18">
        <f t="shared" si="8"/>
        <v>7.1646728047601834E-3</v>
      </c>
    </row>
    <row r="60" spans="2:9" x14ac:dyDescent="0.3">
      <c r="B60" s="28">
        <v>2021</v>
      </c>
      <c r="C60" s="9">
        <f>MINVU_Mes_Corriente!DB164 + MINVU_Mes_Corriente!DB26 + MINVU_Mes_Corriente!DB95</f>
        <v>2165166433</v>
      </c>
      <c r="D60" s="9">
        <f>MINVU_Mes_Corriente!DB186 + MINVU_Mes_Corriente!DB48 + MINVU_Mes_Corriente!DB117</f>
        <v>2390342927</v>
      </c>
      <c r="E60" s="9">
        <f>MINVU_Mes_Corriente!DB208 + MINVU_Mes_Corriente!DB70 + MINVU_Mes_Corriente!DB139</f>
        <v>2353204514</v>
      </c>
      <c r="F60" s="9">
        <f t="shared" si="6"/>
        <v>37138413</v>
      </c>
      <c r="G60" s="10">
        <f t="shared" si="7"/>
        <v>0.98446314435451709</v>
      </c>
      <c r="H60" s="10">
        <f t="shared" si="8"/>
        <v>0.15532221277865432</v>
      </c>
      <c r="I60" s="10">
        <f t="shared" si="8"/>
        <v>0.14854803293189556</v>
      </c>
    </row>
    <row r="61" spans="2:9" x14ac:dyDescent="0.3">
      <c r="B61" s="26">
        <v>2022</v>
      </c>
      <c r="C61" s="17">
        <f>MINVU_Mes_Corriente!DO164 + MINVU_Mes_Corriente!DO26 + MINVU_Mes_Corriente!DO95</f>
        <v>2517555200</v>
      </c>
      <c r="D61" s="17">
        <f>MINVU_Mes_Corriente!DO186 + MINVU_Mes_Corriente!DO48 + MINVU_Mes_Corriente!DO117</f>
        <v>2807365504</v>
      </c>
      <c r="E61" s="17">
        <f>MINVU_Mes_Corriente!DO208 + MINVU_Mes_Corriente!DO70 + MINVU_Mes_Corriente!DO139</f>
        <v>2782762948</v>
      </c>
      <c r="F61" s="17">
        <f t="shared" si="6"/>
        <v>24602556</v>
      </c>
      <c r="G61" s="18">
        <f t="shared" si="7"/>
        <v>0.99123642576467308</v>
      </c>
      <c r="H61" s="18">
        <f t="shared" si="8"/>
        <v>0.17446140145396802</v>
      </c>
      <c r="I61" s="18">
        <f t="shared" si="8"/>
        <v>0.18254190464297232</v>
      </c>
    </row>
    <row r="62" spans="2:9" x14ac:dyDescent="0.3">
      <c r="B62" s="28">
        <v>2023</v>
      </c>
      <c r="C62" s="9">
        <f>MINVU_Mes_Corriente!EB164 + MINVU_Mes_Corriente!EB26 + MINVU_Mes_Corriente!EB95</f>
        <v>2940348026</v>
      </c>
      <c r="D62" s="9">
        <f>MINVU_Mes_Corriente!EB186 + MINVU_Mes_Corriente!EB48 + MINVU_Mes_Corriente!EB117</f>
        <v>2931817014</v>
      </c>
      <c r="E62" s="9">
        <f>MINVU_Mes_Corriente!EB208 + MINVU_Mes_Corriente!EB70 + MINVU_Mes_Corriente!EB139</f>
        <v>2900163375</v>
      </c>
      <c r="F62" s="9">
        <f t="shared" si="6"/>
        <v>31653639</v>
      </c>
      <c r="G62" s="10">
        <f t="shared" si="7"/>
        <v>0.98920340565292864</v>
      </c>
      <c r="H62" s="10">
        <f t="shared" si="8"/>
        <v>4.4330355211203737E-2</v>
      </c>
      <c r="I62" s="10">
        <f t="shared" si="8"/>
        <v>4.218843976069786E-2</v>
      </c>
    </row>
    <row r="63" spans="2:9" x14ac:dyDescent="0.3">
      <c r="B63" s="26">
        <v>2024</v>
      </c>
      <c r="C63" s="17">
        <f>MINVU_Mes_Corriente!EO164 + MINVU_Mes_Corriente!EO26 + MINVU_Mes_Corriente!EO95</f>
        <v>3320541734</v>
      </c>
      <c r="D63" s="17">
        <f>MINVU_Mes_Corriente!EO186 + MINVU_Mes_Corriente!EO48 + MINVU_Mes_Corriente!EO117</f>
        <v>3332768183</v>
      </c>
      <c r="E63" s="17">
        <f>MINVU_Mes_Corriente!EO208 + MINVU_Mes_Corriente!EO70 + MINVU_Mes_Corriente!EO139</f>
        <v>3312699040</v>
      </c>
      <c r="F63" s="17">
        <f t="shared" si="6"/>
        <v>20069143</v>
      </c>
      <c r="G63" s="18">
        <f t="shared" si="7"/>
        <v>0.99397823613944414</v>
      </c>
      <c r="H63" s="18">
        <f t="shared" si="8"/>
        <v>0.13675859273801186</v>
      </c>
      <c r="I63" s="18">
        <f t="shared" si="8"/>
        <v>0.14224566400504937</v>
      </c>
    </row>
    <row r="64" spans="2:9" x14ac:dyDescent="0.3">
      <c r="B64" s="28">
        <v>2025</v>
      </c>
      <c r="C64" s="9">
        <f>MINVU_Mes_Corriente!FB164 + MINVU_Mes_Corriente!FB26 + MINVU_Mes_Corriente!FB95</f>
        <v>3720328808</v>
      </c>
      <c r="D64" s="9">
        <f>MINVU_Mes_Corriente!FB186 + MINVU_Mes_Corriente!FB48 + MINVU_Mes_Corriente!FB117</f>
        <v>3742940536</v>
      </c>
      <c r="E64" s="9">
        <f>MINVU_Mes_Corriente!FB208 + MINVU_Mes_Corriente!FB70 + MINVU_Mes_Corriente!FB139</f>
        <v>3692492363</v>
      </c>
      <c r="F64" s="9">
        <f t="shared" si="6"/>
        <v>50448173</v>
      </c>
      <c r="G64" s="10">
        <f t="shared" si="7"/>
        <v>0.98652178079913799</v>
      </c>
      <c r="H64" s="10">
        <f t="shared" si="8"/>
        <v>0.12307257225156965</v>
      </c>
      <c r="I64" s="10">
        <f t="shared" si="8"/>
        <v>0.11464769917643952</v>
      </c>
    </row>
    <row r="65" spans="2:9" x14ac:dyDescent="0.3">
      <c r="B65" s="26">
        <v>2026</v>
      </c>
      <c r="C65" s="17">
        <f>MINVU_Mes_Corriente!FO164 + MINVU_Mes_Corriente!FO26 + MINVU_Mes_Corriente!FO95</f>
        <v>4149679420</v>
      </c>
      <c r="D65" s="17">
        <f>MINVU_Mes_Corriente!FO186 + MINVU_Mes_Corriente!FO48 + MINVU_Mes_Corriente!FO117</f>
        <v>4153039902</v>
      </c>
      <c r="E65" s="17">
        <f>MINVU_Mes_Corriente!FO208 + MINVU_Mes_Corriente!FO70 + MINVU_Mes_Corriente!FO139</f>
        <v>2142379287</v>
      </c>
      <c r="F65" s="17">
        <f t="shared" si="6"/>
        <v>2010660615</v>
      </c>
      <c r="G65" s="18">
        <f t="shared" si="7"/>
        <v>0.51585810335419213</v>
      </c>
      <c r="H65" s="18">
        <f t="shared" si="8"/>
        <v>0.10956609170132967</v>
      </c>
      <c r="I65" s="18">
        <f t="shared" si="8"/>
        <v>-0.41980129506363995</v>
      </c>
    </row>
  </sheetData>
  <mergeCells count="19">
    <mergeCell ref="B7:C8"/>
    <mergeCell ref="D7:E8"/>
    <mergeCell ref="F7:G8"/>
    <mergeCell ref="H7:I8"/>
    <mergeCell ref="J7:L8"/>
    <mergeCell ref="B9:C9"/>
    <mergeCell ref="D9:E9"/>
    <mergeCell ref="F9:G9"/>
    <mergeCell ref="H9:I9"/>
    <mergeCell ref="J9:L9"/>
    <mergeCell ref="D4:E4"/>
    <mergeCell ref="F4:G4"/>
    <mergeCell ref="H4:I4"/>
    <mergeCell ref="J4:L4"/>
    <mergeCell ref="B6:C6"/>
    <mergeCell ref="D6:E6"/>
    <mergeCell ref="F6:G6"/>
    <mergeCell ref="H6:I6"/>
    <mergeCell ref="J6:L6"/>
  </mergeCells>
  <dataValidations count="1">
    <dataValidation type="list" sqref="C4" xr:uid="{F537006B-489F-43FA-9591-4DB0BCED6A83}">
      <formula1>"2014,2015,2016,2017,2018,2019,2020,2021,2022,2023,2024,2025,2026"</formula1>
    </dataValidation>
  </dataValidation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C3E50"/>
  </sheetPr>
  <dimension ref="B1:FO208"/>
  <sheetViews>
    <sheetView workbookViewId="0"/>
  </sheetViews>
  <sheetFormatPr baseColWidth="10" defaultColWidth="8.88671875" defaultRowHeight="14.4" x14ac:dyDescent="0.3"/>
  <cols>
    <col min="1" max="1" width="3" customWidth="1"/>
    <col min="2" max="2" width="38" customWidth="1"/>
    <col min="3" max="171" width="15" customWidth="1"/>
  </cols>
  <sheetData>
    <row r="1" spans="2:171" ht="21" x14ac:dyDescent="0.4">
      <c r="B1" s="1" t="s">
        <v>86</v>
      </c>
    </row>
    <row r="2" spans="2:171" x14ac:dyDescent="0.3">
      <c r="B2" s="2" t="s">
        <v>87</v>
      </c>
    </row>
    <row r="4" spans="2:171" ht="17.399999999999999" x14ac:dyDescent="0.35">
      <c r="B4" s="29" t="s">
        <v>88</v>
      </c>
    </row>
    <row r="5" spans="2:171" x14ac:dyDescent="0.3">
      <c r="B5" s="5" t="s">
        <v>89</v>
      </c>
    </row>
    <row r="6" spans="2:171" x14ac:dyDescent="0.3">
      <c r="C6" s="49" t="s">
        <v>90</v>
      </c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49" t="s">
        <v>91</v>
      </c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49" t="s">
        <v>92</v>
      </c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49" t="s">
        <v>93</v>
      </c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49" t="s">
        <v>94</v>
      </c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0"/>
      <c r="BO6" s="50"/>
      <c r="BP6" s="49" t="s">
        <v>95</v>
      </c>
      <c r="BQ6" s="50"/>
      <c r="BR6" s="50"/>
      <c r="BS6" s="50"/>
      <c r="BT6" s="50"/>
      <c r="BU6" s="50"/>
      <c r="BV6" s="50"/>
      <c r="BW6" s="50"/>
      <c r="BX6" s="50"/>
      <c r="BY6" s="50"/>
      <c r="BZ6" s="50"/>
      <c r="CA6" s="50"/>
      <c r="CB6" s="50"/>
      <c r="CC6" s="49" t="s">
        <v>96</v>
      </c>
      <c r="CD6" s="50"/>
      <c r="CE6" s="50"/>
      <c r="CF6" s="50"/>
      <c r="CG6" s="50"/>
      <c r="CH6" s="50"/>
      <c r="CI6" s="50"/>
      <c r="CJ6" s="50"/>
      <c r="CK6" s="50"/>
      <c r="CL6" s="50"/>
      <c r="CM6" s="50"/>
      <c r="CN6" s="50"/>
      <c r="CO6" s="50"/>
      <c r="CP6" s="49" t="s">
        <v>97</v>
      </c>
      <c r="CQ6" s="50"/>
      <c r="CR6" s="50"/>
      <c r="CS6" s="50"/>
      <c r="CT6" s="50"/>
      <c r="CU6" s="50"/>
      <c r="CV6" s="50"/>
      <c r="CW6" s="50"/>
      <c r="CX6" s="50"/>
      <c r="CY6" s="50"/>
      <c r="CZ6" s="50"/>
      <c r="DA6" s="50"/>
      <c r="DB6" s="50"/>
      <c r="DC6" s="49" t="s">
        <v>98</v>
      </c>
      <c r="DD6" s="50"/>
      <c r="DE6" s="50"/>
      <c r="DF6" s="50"/>
      <c r="DG6" s="50"/>
      <c r="DH6" s="50"/>
      <c r="DI6" s="50"/>
      <c r="DJ6" s="50"/>
      <c r="DK6" s="50"/>
      <c r="DL6" s="50"/>
      <c r="DM6" s="50"/>
      <c r="DN6" s="50"/>
      <c r="DO6" s="50"/>
      <c r="DP6" s="49" t="s">
        <v>99</v>
      </c>
      <c r="DQ6" s="50"/>
      <c r="DR6" s="50"/>
      <c r="DS6" s="50"/>
      <c r="DT6" s="50"/>
      <c r="DU6" s="50"/>
      <c r="DV6" s="50"/>
      <c r="DW6" s="50"/>
      <c r="DX6" s="50"/>
      <c r="DY6" s="50"/>
      <c r="DZ6" s="50"/>
      <c r="EA6" s="50"/>
      <c r="EB6" s="50"/>
      <c r="EC6" s="49" t="s">
        <v>100</v>
      </c>
      <c r="ED6" s="50"/>
      <c r="EE6" s="50"/>
      <c r="EF6" s="50"/>
      <c r="EG6" s="50"/>
      <c r="EH6" s="50"/>
      <c r="EI6" s="50"/>
      <c r="EJ6" s="50"/>
      <c r="EK6" s="50"/>
      <c r="EL6" s="50"/>
      <c r="EM6" s="50"/>
      <c r="EN6" s="50"/>
      <c r="EO6" s="50"/>
      <c r="EP6" s="49" t="s">
        <v>101</v>
      </c>
      <c r="EQ6" s="50"/>
      <c r="ER6" s="50"/>
      <c r="ES6" s="50"/>
      <c r="ET6" s="50"/>
      <c r="EU6" s="50"/>
      <c r="EV6" s="50"/>
      <c r="EW6" s="50"/>
      <c r="EX6" s="50"/>
      <c r="EY6" s="50"/>
      <c r="EZ6" s="50"/>
      <c r="FA6" s="50"/>
      <c r="FB6" s="50"/>
      <c r="FC6" s="49" t="s">
        <v>102</v>
      </c>
      <c r="FD6" s="50"/>
      <c r="FE6" s="50"/>
      <c r="FF6" s="50"/>
      <c r="FG6" s="50"/>
      <c r="FH6" s="50"/>
      <c r="FI6" s="50"/>
      <c r="FJ6" s="50"/>
      <c r="FK6" s="50"/>
      <c r="FL6" s="50"/>
      <c r="FM6" s="50"/>
      <c r="FN6" s="50"/>
      <c r="FO6" s="50"/>
    </row>
    <row r="7" spans="2:171" x14ac:dyDescent="0.3">
      <c r="B7" s="19" t="s">
        <v>103</v>
      </c>
      <c r="C7" s="30" t="s">
        <v>67</v>
      </c>
      <c r="D7" s="30" t="s">
        <v>68</v>
      </c>
      <c r="E7" s="30" t="s">
        <v>69</v>
      </c>
      <c r="F7" s="30" t="s">
        <v>70</v>
      </c>
      <c r="G7" s="30" t="s">
        <v>71</v>
      </c>
      <c r="H7" s="30" t="s">
        <v>72</v>
      </c>
      <c r="I7" s="30" t="s">
        <v>73</v>
      </c>
      <c r="J7" s="30" t="s">
        <v>74</v>
      </c>
      <c r="K7" s="30" t="s">
        <v>75</v>
      </c>
      <c r="L7" s="30" t="s">
        <v>76</v>
      </c>
      <c r="M7" s="30" t="s">
        <v>77</v>
      </c>
      <c r="N7" s="30" t="s">
        <v>78</v>
      </c>
      <c r="O7" s="30" t="s">
        <v>104</v>
      </c>
      <c r="P7" s="30" t="s">
        <v>67</v>
      </c>
      <c r="Q7" s="30" t="s">
        <v>68</v>
      </c>
      <c r="R7" s="30" t="s">
        <v>69</v>
      </c>
      <c r="S7" s="30" t="s">
        <v>70</v>
      </c>
      <c r="T7" s="30" t="s">
        <v>71</v>
      </c>
      <c r="U7" s="30" t="s">
        <v>72</v>
      </c>
      <c r="V7" s="30" t="s">
        <v>73</v>
      </c>
      <c r="W7" s="30" t="s">
        <v>74</v>
      </c>
      <c r="X7" s="30" t="s">
        <v>75</v>
      </c>
      <c r="Y7" s="30" t="s">
        <v>76</v>
      </c>
      <c r="Z7" s="30" t="s">
        <v>77</v>
      </c>
      <c r="AA7" s="30" t="s">
        <v>78</v>
      </c>
      <c r="AB7" s="30" t="s">
        <v>105</v>
      </c>
      <c r="AC7" s="30" t="s">
        <v>67</v>
      </c>
      <c r="AD7" s="30" t="s">
        <v>68</v>
      </c>
      <c r="AE7" s="30" t="s">
        <v>69</v>
      </c>
      <c r="AF7" s="30" t="s">
        <v>70</v>
      </c>
      <c r="AG7" s="30" t="s">
        <v>71</v>
      </c>
      <c r="AH7" s="30" t="s">
        <v>72</v>
      </c>
      <c r="AI7" s="30" t="s">
        <v>73</v>
      </c>
      <c r="AJ7" s="30" t="s">
        <v>74</v>
      </c>
      <c r="AK7" s="30" t="s">
        <v>75</v>
      </c>
      <c r="AL7" s="30" t="s">
        <v>76</v>
      </c>
      <c r="AM7" s="30" t="s">
        <v>77</v>
      </c>
      <c r="AN7" s="30" t="s">
        <v>78</v>
      </c>
      <c r="AO7" s="30" t="s">
        <v>106</v>
      </c>
      <c r="AP7" s="30" t="s">
        <v>67</v>
      </c>
      <c r="AQ7" s="30" t="s">
        <v>68</v>
      </c>
      <c r="AR7" s="30" t="s">
        <v>69</v>
      </c>
      <c r="AS7" s="30" t="s">
        <v>70</v>
      </c>
      <c r="AT7" s="30" t="s">
        <v>71</v>
      </c>
      <c r="AU7" s="30" t="s">
        <v>72</v>
      </c>
      <c r="AV7" s="30" t="s">
        <v>73</v>
      </c>
      <c r="AW7" s="30" t="s">
        <v>74</v>
      </c>
      <c r="AX7" s="30" t="s">
        <v>75</v>
      </c>
      <c r="AY7" s="30" t="s">
        <v>76</v>
      </c>
      <c r="AZ7" s="30" t="s">
        <v>77</v>
      </c>
      <c r="BA7" s="30" t="s">
        <v>78</v>
      </c>
      <c r="BB7" s="30" t="s">
        <v>107</v>
      </c>
      <c r="BC7" s="30" t="s">
        <v>67</v>
      </c>
      <c r="BD7" s="30" t="s">
        <v>68</v>
      </c>
      <c r="BE7" s="30" t="s">
        <v>69</v>
      </c>
      <c r="BF7" s="30" t="s">
        <v>70</v>
      </c>
      <c r="BG7" s="30" t="s">
        <v>71</v>
      </c>
      <c r="BH7" s="30" t="s">
        <v>72</v>
      </c>
      <c r="BI7" s="30" t="s">
        <v>73</v>
      </c>
      <c r="BJ7" s="30" t="s">
        <v>74</v>
      </c>
      <c r="BK7" s="30" t="s">
        <v>75</v>
      </c>
      <c r="BL7" s="30" t="s">
        <v>76</v>
      </c>
      <c r="BM7" s="30" t="s">
        <v>77</v>
      </c>
      <c r="BN7" s="30" t="s">
        <v>78</v>
      </c>
      <c r="BO7" s="30" t="s">
        <v>108</v>
      </c>
      <c r="BP7" s="30" t="s">
        <v>67</v>
      </c>
      <c r="BQ7" s="30" t="s">
        <v>68</v>
      </c>
      <c r="BR7" s="30" t="s">
        <v>69</v>
      </c>
      <c r="BS7" s="30" t="s">
        <v>70</v>
      </c>
      <c r="BT7" s="30" t="s">
        <v>71</v>
      </c>
      <c r="BU7" s="30" t="s">
        <v>72</v>
      </c>
      <c r="BV7" s="30" t="s">
        <v>73</v>
      </c>
      <c r="BW7" s="30" t="s">
        <v>74</v>
      </c>
      <c r="BX7" s="30" t="s">
        <v>75</v>
      </c>
      <c r="BY7" s="30" t="s">
        <v>76</v>
      </c>
      <c r="BZ7" s="30" t="s">
        <v>77</v>
      </c>
      <c r="CA7" s="30" t="s">
        <v>78</v>
      </c>
      <c r="CB7" s="30" t="s">
        <v>109</v>
      </c>
      <c r="CC7" s="30" t="s">
        <v>67</v>
      </c>
      <c r="CD7" s="30" t="s">
        <v>68</v>
      </c>
      <c r="CE7" s="30" t="s">
        <v>69</v>
      </c>
      <c r="CF7" s="30" t="s">
        <v>70</v>
      </c>
      <c r="CG7" s="30" t="s">
        <v>71</v>
      </c>
      <c r="CH7" s="30" t="s">
        <v>72</v>
      </c>
      <c r="CI7" s="30" t="s">
        <v>73</v>
      </c>
      <c r="CJ7" s="30" t="s">
        <v>74</v>
      </c>
      <c r="CK7" s="30" t="s">
        <v>75</v>
      </c>
      <c r="CL7" s="30" t="s">
        <v>76</v>
      </c>
      <c r="CM7" s="30" t="s">
        <v>77</v>
      </c>
      <c r="CN7" s="30" t="s">
        <v>78</v>
      </c>
      <c r="CO7" s="30" t="s">
        <v>110</v>
      </c>
      <c r="CP7" s="30" t="s">
        <v>67</v>
      </c>
      <c r="CQ7" s="30" t="s">
        <v>68</v>
      </c>
      <c r="CR7" s="30" t="s">
        <v>69</v>
      </c>
      <c r="CS7" s="30" t="s">
        <v>70</v>
      </c>
      <c r="CT7" s="30" t="s">
        <v>71</v>
      </c>
      <c r="CU7" s="30" t="s">
        <v>72</v>
      </c>
      <c r="CV7" s="30" t="s">
        <v>73</v>
      </c>
      <c r="CW7" s="30" t="s">
        <v>74</v>
      </c>
      <c r="CX7" s="30" t="s">
        <v>75</v>
      </c>
      <c r="CY7" s="30" t="s">
        <v>76</v>
      </c>
      <c r="CZ7" s="30" t="s">
        <v>77</v>
      </c>
      <c r="DA7" s="30" t="s">
        <v>78</v>
      </c>
      <c r="DB7" s="30" t="s">
        <v>111</v>
      </c>
      <c r="DC7" s="30" t="s">
        <v>67</v>
      </c>
      <c r="DD7" s="30" t="s">
        <v>68</v>
      </c>
      <c r="DE7" s="30" t="s">
        <v>69</v>
      </c>
      <c r="DF7" s="30" t="s">
        <v>70</v>
      </c>
      <c r="DG7" s="30" t="s">
        <v>71</v>
      </c>
      <c r="DH7" s="30" t="s">
        <v>72</v>
      </c>
      <c r="DI7" s="30" t="s">
        <v>73</v>
      </c>
      <c r="DJ7" s="30" t="s">
        <v>74</v>
      </c>
      <c r="DK7" s="30" t="s">
        <v>75</v>
      </c>
      <c r="DL7" s="30" t="s">
        <v>76</v>
      </c>
      <c r="DM7" s="30" t="s">
        <v>77</v>
      </c>
      <c r="DN7" s="30" t="s">
        <v>78</v>
      </c>
      <c r="DO7" s="30" t="s">
        <v>112</v>
      </c>
      <c r="DP7" s="30" t="s">
        <v>67</v>
      </c>
      <c r="DQ7" s="30" t="s">
        <v>68</v>
      </c>
      <c r="DR7" s="30" t="s">
        <v>69</v>
      </c>
      <c r="DS7" s="30" t="s">
        <v>70</v>
      </c>
      <c r="DT7" s="30" t="s">
        <v>71</v>
      </c>
      <c r="DU7" s="30" t="s">
        <v>72</v>
      </c>
      <c r="DV7" s="30" t="s">
        <v>73</v>
      </c>
      <c r="DW7" s="30" t="s">
        <v>74</v>
      </c>
      <c r="DX7" s="30" t="s">
        <v>75</v>
      </c>
      <c r="DY7" s="30" t="s">
        <v>76</v>
      </c>
      <c r="DZ7" s="30" t="s">
        <v>77</v>
      </c>
      <c r="EA7" s="30" t="s">
        <v>78</v>
      </c>
      <c r="EB7" s="30" t="s">
        <v>113</v>
      </c>
      <c r="EC7" s="30" t="s">
        <v>67</v>
      </c>
      <c r="ED7" s="30" t="s">
        <v>68</v>
      </c>
      <c r="EE7" s="30" t="s">
        <v>69</v>
      </c>
      <c r="EF7" s="30" t="s">
        <v>70</v>
      </c>
      <c r="EG7" s="30" t="s">
        <v>71</v>
      </c>
      <c r="EH7" s="30" t="s">
        <v>72</v>
      </c>
      <c r="EI7" s="30" t="s">
        <v>73</v>
      </c>
      <c r="EJ7" s="30" t="s">
        <v>74</v>
      </c>
      <c r="EK7" s="30" t="s">
        <v>75</v>
      </c>
      <c r="EL7" s="30" t="s">
        <v>76</v>
      </c>
      <c r="EM7" s="30" t="s">
        <v>77</v>
      </c>
      <c r="EN7" s="30" t="s">
        <v>78</v>
      </c>
      <c r="EO7" s="30" t="s">
        <v>114</v>
      </c>
      <c r="EP7" s="30" t="s">
        <v>67</v>
      </c>
      <c r="EQ7" s="30" t="s">
        <v>68</v>
      </c>
      <c r="ER7" s="30" t="s">
        <v>69</v>
      </c>
      <c r="ES7" s="30" t="s">
        <v>70</v>
      </c>
      <c r="ET7" s="30" t="s">
        <v>71</v>
      </c>
      <c r="EU7" s="30" t="s">
        <v>72</v>
      </c>
      <c r="EV7" s="30" t="s">
        <v>73</v>
      </c>
      <c r="EW7" s="30" t="s">
        <v>74</v>
      </c>
      <c r="EX7" s="30" t="s">
        <v>75</v>
      </c>
      <c r="EY7" s="30" t="s">
        <v>76</v>
      </c>
      <c r="EZ7" s="30" t="s">
        <v>77</v>
      </c>
      <c r="FA7" s="30" t="s">
        <v>78</v>
      </c>
      <c r="FB7" s="30" t="s">
        <v>115</v>
      </c>
      <c r="FC7" s="30" t="s">
        <v>67</v>
      </c>
      <c r="FD7" s="30" t="s">
        <v>68</v>
      </c>
      <c r="FE7" s="30" t="s">
        <v>69</v>
      </c>
      <c r="FF7" s="30" t="s">
        <v>70</v>
      </c>
      <c r="FG7" s="30" t="s">
        <v>71</v>
      </c>
      <c r="FH7" s="30" t="s">
        <v>72</v>
      </c>
      <c r="FI7" s="30" t="s">
        <v>73</v>
      </c>
      <c r="FJ7" s="30" t="s">
        <v>74</v>
      </c>
      <c r="FK7" s="30" t="s">
        <v>75</v>
      </c>
      <c r="FL7" s="30" t="s">
        <v>76</v>
      </c>
      <c r="FM7" s="30" t="s">
        <v>77</v>
      </c>
      <c r="FN7" s="30" t="s">
        <v>78</v>
      </c>
      <c r="FO7" s="30" t="s">
        <v>116</v>
      </c>
    </row>
    <row r="8" spans="2:171" x14ac:dyDescent="0.3">
      <c r="B8" s="7" t="s">
        <v>46</v>
      </c>
      <c r="C8" s="9">
        <v>46689781</v>
      </c>
      <c r="D8" s="9">
        <v>46689781</v>
      </c>
      <c r="E8" s="9">
        <v>47980703</v>
      </c>
      <c r="F8" s="9">
        <v>47980703</v>
      </c>
      <c r="G8" s="9">
        <v>47980703</v>
      </c>
      <c r="H8" s="9">
        <v>47980703</v>
      </c>
      <c r="I8" s="9">
        <v>47980703</v>
      </c>
      <c r="J8" s="9">
        <v>47980703</v>
      </c>
      <c r="K8" s="9">
        <v>47980703</v>
      </c>
      <c r="L8" s="9">
        <v>47980703</v>
      </c>
      <c r="M8" s="9">
        <v>47980703</v>
      </c>
      <c r="N8" s="9">
        <v>47980703</v>
      </c>
      <c r="O8" s="31">
        <v>47980703</v>
      </c>
      <c r="P8" s="9">
        <v>52447510</v>
      </c>
      <c r="Q8" s="9">
        <v>52447510</v>
      </c>
      <c r="R8" s="9">
        <v>52447510</v>
      </c>
      <c r="S8" s="9">
        <v>52447510</v>
      </c>
      <c r="T8" s="9">
        <v>52447510</v>
      </c>
      <c r="U8" s="9">
        <v>52447510</v>
      </c>
      <c r="V8" s="9">
        <v>52447510</v>
      </c>
      <c r="W8" s="9">
        <v>52447510</v>
      </c>
      <c r="X8" s="9">
        <v>52447510</v>
      </c>
      <c r="Y8" s="9">
        <v>52447510</v>
      </c>
      <c r="Z8" s="9">
        <v>52447510</v>
      </c>
      <c r="AA8" s="9">
        <v>52447510</v>
      </c>
      <c r="AB8" s="31">
        <v>52447510</v>
      </c>
      <c r="AC8" s="9">
        <v>49700606</v>
      </c>
      <c r="AD8" s="9">
        <v>49700606</v>
      </c>
      <c r="AE8" s="9">
        <v>49700606</v>
      </c>
      <c r="AF8" s="9">
        <v>49700606</v>
      </c>
      <c r="AG8" s="9">
        <v>49700606</v>
      </c>
      <c r="AH8" s="9">
        <v>49700606</v>
      </c>
      <c r="AI8" s="9">
        <v>49700606</v>
      </c>
      <c r="AJ8" s="9">
        <v>49700606</v>
      </c>
      <c r="AK8" s="9">
        <v>49700606</v>
      </c>
      <c r="AL8" s="9">
        <v>49700606</v>
      </c>
      <c r="AM8" s="9">
        <v>49700606</v>
      </c>
      <c r="AN8" s="9">
        <v>49700606</v>
      </c>
      <c r="AO8" s="31">
        <v>49700606</v>
      </c>
      <c r="AP8" s="9">
        <v>45980831</v>
      </c>
      <c r="AQ8" s="9">
        <v>45980831</v>
      </c>
      <c r="AR8" s="9">
        <v>45980831</v>
      </c>
      <c r="AS8" s="9">
        <v>45980831</v>
      </c>
      <c r="AT8" s="9">
        <v>45980831</v>
      </c>
      <c r="AU8" s="9">
        <v>45980831</v>
      </c>
      <c r="AV8" s="9">
        <v>45980831</v>
      </c>
      <c r="AW8" s="9">
        <v>45980831</v>
      </c>
      <c r="AX8" s="9">
        <v>45980831</v>
      </c>
      <c r="AY8" s="9">
        <v>45980831</v>
      </c>
      <c r="AZ8" s="9">
        <v>45980831</v>
      </c>
      <c r="BA8" s="9">
        <v>45980831</v>
      </c>
      <c r="BB8" s="31">
        <v>45980831</v>
      </c>
      <c r="BC8" s="9">
        <v>45443730</v>
      </c>
      <c r="BD8" s="9">
        <v>45443730</v>
      </c>
      <c r="BE8" s="9">
        <v>45443730</v>
      </c>
      <c r="BF8" s="9">
        <v>45443730</v>
      </c>
      <c r="BG8" s="9">
        <v>45443730</v>
      </c>
      <c r="BH8" s="9">
        <v>45443730</v>
      </c>
      <c r="BI8" s="9">
        <v>45443730</v>
      </c>
      <c r="BJ8" s="9">
        <v>45443730</v>
      </c>
      <c r="BK8" s="9">
        <v>45443730</v>
      </c>
      <c r="BL8" s="9">
        <v>45443730</v>
      </c>
      <c r="BM8" s="9">
        <v>45443730</v>
      </c>
      <c r="BN8" s="9">
        <v>45443730</v>
      </c>
      <c r="BO8" s="31">
        <v>45443730</v>
      </c>
      <c r="BP8" s="9">
        <v>51220903</v>
      </c>
      <c r="BQ8" s="9">
        <v>51220903</v>
      </c>
      <c r="BR8" s="9">
        <v>51220903</v>
      </c>
      <c r="BS8" s="9">
        <v>51220903</v>
      </c>
      <c r="BT8" s="9">
        <v>51220903</v>
      </c>
      <c r="BU8" s="9">
        <v>51220903</v>
      </c>
      <c r="BV8" s="9">
        <v>51220903</v>
      </c>
      <c r="BW8" s="9">
        <v>51220903</v>
      </c>
      <c r="BX8" s="9">
        <v>51220903</v>
      </c>
      <c r="BY8" s="9">
        <v>51220903</v>
      </c>
      <c r="BZ8" s="9">
        <v>51220903</v>
      </c>
      <c r="CA8" s="9">
        <v>51220903</v>
      </c>
      <c r="CB8" s="31">
        <v>51220903</v>
      </c>
      <c r="CC8" s="9">
        <v>51587816</v>
      </c>
      <c r="CD8" s="9">
        <v>51587816</v>
      </c>
      <c r="CE8" s="9">
        <v>51587816</v>
      </c>
      <c r="CF8" s="9">
        <v>51587816</v>
      </c>
      <c r="CG8" s="9">
        <v>51587816</v>
      </c>
      <c r="CH8" s="9">
        <v>51587816</v>
      </c>
      <c r="CI8" s="9">
        <v>51587816</v>
      </c>
      <c r="CJ8" s="9">
        <v>51587816</v>
      </c>
      <c r="CK8" s="9">
        <v>51587816</v>
      </c>
      <c r="CL8" s="9">
        <v>51587816</v>
      </c>
      <c r="CM8" s="9">
        <v>51587816</v>
      </c>
      <c r="CN8" s="9">
        <v>51587816</v>
      </c>
      <c r="CO8" s="31">
        <v>51587816</v>
      </c>
      <c r="CP8" s="9">
        <v>35339308</v>
      </c>
      <c r="CQ8" s="9">
        <v>35339308</v>
      </c>
      <c r="CR8" s="9">
        <v>35339308</v>
      </c>
      <c r="CS8" s="9">
        <v>35339308</v>
      </c>
      <c r="CT8" s="9">
        <v>35339308</v>
      </c>
      <c r="CU8" s="9">
        <v>35339308</v>
      </c>
      <c r="CV8" s="9">
        <v>35339308</v>
      </c>
      <c r="CW8" s="9">
        <v>35339308</v>
      </c>
      <c r="CX8" s="9">
        <v>35339308</v>
      </c>
      <c r="CY8" s="9">
        <v>35339308</v>
      </c>
      <c r="CZ8" s="9">
        <v>35339308</v>
      </c>
      <c r="DA8" s="9">
        <v>35339308</v>
      </c>
      <c r="DB8" s="31">
        <v>35339308</v>
      </c>
      <c r="DC8" s="9">
        <v>22751821</v>
      </c>
      <c r="DD8" s="9">
        <v>22751821</v>
      </c>
      <c r="DE8" s="9">
        <v>22751821</v>
      </c>
      <c r="DF8" s="9">
        <v>22751821</v>
      </c>
      <c r="DG8" s="9">
        <v>22751821</v>
      </c>
      <c r="DH8" s="9">
        <v>22751821</v>
      </c>
      <c r="DI8" s="9">
        <v>22751821</v>
      </c>
      <c r="DJ8" s="9">
        <v>22751821</v>
      </c>
      <c r="DK8" s="9">
        <v>22751821</v>
      </c>
      <c r="DL8" s="9">
        <v>22751821</v>
      </c>
      <c r="DM8" s="9">
        <v>22751821</v>
      </c>
      <c r="DN8" s="9">
        <v>22751821</v>
      </c>
      <c r="DO8" s="31">
        <v>22751821</v>
      </c>
      <c r="DP8" s="9">
        <v>22326757</v>
      </c>
      <c r="DQ8" s="9">
        <v>22326757</v>
      </c>
      <c r="DR8" s="9">
        <v>22326757</v>
      </c>
      <c r="DS8" s="9">
        <v>22326757</v>
      </c>
      <c r="DT8" s="9">
        <v>22326757</v>
      </c>
      <c r="DU8" s="9">
        <v>22326757</v>
      </c>
      <c r="DV8" s="9">
        <v>22326757</v>
      </c>
      <c r="DW8" s="9">
        <v>22326757</v>
      </c>
      <c r="DX8" s="9">
        <v>22326757</v>
      </c>
      <c r="DY8" s="9">
        <v>22326757</v>
      </c>
      <c r="DZ8" s="9">
        <v>22326757</v>
      </c>
      <c r="EA8" s="9">
        <v>22326757</v>
      </c>
      <c r="EB8" s="31">
        <v>22326757</v>
      </c>
      <c r="EC8" s="9">
        <v>65885700</v>
      </c>
      <c r="ED8" s="9">
        <v>65885700</v>
      </c>
      <c r="EE8" s="9">
        <v>65885700</v>
      </c>
      <c r="EF8" s="9">
        <v>65885700</v>
      </c>
      <c r="EG8" s="9">
        <v>65885700</v>
      </c>
      <c r="EH8" s="9">
        <v>65885700</v>
      </c>
      <c r="EI8" s="9">
        <v>65885700</v>
      </c>
      <c r="EJ8" s="9">
        <v>65885700</v>
      </c>
      <c r="EK8" s="9">
        <v>65885700</v>
      </c>
      <c r="EL8" s="9">
        <v>65885700</v>
      </c>
      <c r="EM8" s="9">
        <v>65885700</v>
      </c>
      <c r="EN8" s="9">
        <v>65885700</v>
      </c>
      <c r="EO8" s="31">
        <v>65885700</v>
      </c>
      <c r="EP8" s="9">
        <v>31496963</v>
      </c>
      <c r="EQ8" s="9">
        <v>31496963</v>
      </c>
      <c r="ER8" s="9">
        <v>31496963</v>
      </c>
      <c r="ES8" s="9">
        <v>31496963</v>
      </c>
      <c r="ET8" s="9">
        <v>31496963</v>
      </c>
      <c r="EU8" s="9">
        <v>31496963</v>
      </c>
      <c r="EV8" s="9">
        <v>31496963</v>
      </c>
      <c r="EW8" s="9">
        <v>31496963</v>
      </c>
      <c r="EX8" s="9">
        <v>31496963</v>
      </c>
      <c r="EY8" s="9">
        <v>31496963</v>
      </c>
      <c r="EZ8" s="9">
        <v>31496963</v>
      </c>
      <c r="FA8" s="9">
        <v>31496963</v>
      </c>
      <c r="FB8" s="31">
        <v>31496963</v>
      </c>
      <c r="FC8" s="9">
        <v>15772873</v>
      </c>
      <c r="FD8" s="9">
        <v>15772873</v>
      </c>
      <c r="FE8" s="9">
        <v>15772873</v>
      </c>
      <c r="FF8" s="9">
        <v>15772873</v>
      </c>
      <c r="FG8" s="9">
        <v>15772873</v>
      </c>
      <c r="FH8" s="9">
        <v>15772873</v>
      </c>
      <c r="FI8" s="9">
        <v>15772873</v>
      </c>
      <c r="FJ8" s="9">
        <v>15772873</v>
      </c>
      <c r="FK8" s="9">
        <v>15772873</v>
      </c>
      <c r="FL8" s="9">
        <v>15772873</v>
      </c>
      <c r="FM8" s="9">
        <v>15772873</v>
      </c>
      <c r="FN8" s="9">
        <v>15772873</v>
      </c>
      <c r="FO8" s="31">
        <v>15772873</v>
      </c>
    </row>
    <row r="9" spans="2:171" x14ac:dyDescent="0.3">
      <c r="B9" s="7" t="s">
        <v>47</v>
      </c>
      <c r="C9" s="9">
        <v>11852830</v>
      </c>
      <c r="D9" s="9">
        <v>11852830</v>
      </c>
      <c r="E9" s="9">
        <v>11852830</v>
      </c>
      <c r="F9" s="9">
        <v>11852830</v>
      </c>
      <c r="G9" s="9">
        <v>11852830</v>
      </c>
      <c r="H9" s="9">
        <v>11852830</v>
      </c>
      <c r="I9" s="9">
        <v>11852830</v>
      </c>
      <c r="J9" s="9">
        <v>11852830</v>
      </c>
      <c r="K9" s="9">
        <v>11852830</v>
      </c>
      <c r="L9" s="9">
        <v>11852830</v>
      </c>
      <c r="M9" s="9">
        <v>11852830</v>
      </c>
      <c r="N9" s="9">
        <v>11852830</v>
      </c>
      <c r="O9" s="31">
        <v>11852830</v>
      </c>
      <c r="P9" s="9">
        <v>12432312</v>
      </c>
      <c r="Q9" s="9">
        <v>12432312</v>
      </c>
      <c r="R9" s="9">
        <v>12432312</v>
      </c>
      <c r="S9" s="9">
        <v>12432312</v>
      </c>
      <c r="T9" s="9">
        <v>12432312</v>
      </c>
      <c r="U9" s="9">
        <v>12432312</v>
      </c>
      <c r="V9" s="9">
        <v>12432312</v>
      </c>
      <c r="W9" s="9">
        <v>12432312</v>
      </c>
      <c r="X9" s="9">
        <v>12432312</v>
      </c>
      <c r="Y9" s="9">
        <v>12432312</v>
      </c>
      <c r="Z9" s="9">
        <v>12432312</v>
      </c>
      <c r="AA9" s="9">
        <v>12432312</v>
      </c>
      <c r="AB9" s="31">
        <v>12432312</v>
      </c>
      <c r="AC9" s="9">
        <v>15376817</v>
      </c>
      <c r="AD9" s="9">
        <v>15376817</v>
      </c>
      <c r="AE9" s="9">
        <v>15376817</v>
      </c>
      <c r="AF9" s="9">
        <v>15376817</v>
      </c>
      <c r="AG9" s="9">
        <v>15376817</v>
      </c>
      <c r="AH9" s="9">
        <v>15376817</v>
      </c>
      <c r="AI9" s="9">
        <v>15376817</v>
      </c>
      <c r="AJ9" s="9">
        <v>15376817</v>
      </c>
      <c r="AK9" s="9">
        <v>15376817</v>
      </c>
      <c r="AL9" s="9">
        <v>15376817</v>
      </c>
      <c r="AM9" s="9">
        <v>15376817</v>
      </c>
      <c r="AN9" s="9">
        <v>15376817</v>
      </c>
      <c r="AO9" s="31">
        <v>15376817</v>
      </c>
      <c r="AP9" s="9">
        <v>19125128</v>
      </c>
      <c r="AQ9" s="9">
        <v>19125128</v>
      </c>
      <c r="AR9" s="9">
        <v>19125128</v>
      </c>
      <c r="AS9" s="9">
        <v>19125128</v>
      </c>
      <c r="AT9" s="9">
        <v>19125128</v>
      </c>
      <c r="AU9" s="9">
        <v>19125128</v>
      </c>
      <c r="AV9" s="9">
        <v>19125128</v>
      </c>
      <c r="AW9" s="9">
        <v>19125128</v>
      </c>
      <c r="AX9" s="9">
        <v>19125128</v>
      </c>
      <c r="AY9" s="9">
        <v>19125128</v>
      </c>
      <c r="AZ9" s="9">
        <v>19125128</v>
      </c>
      <c r="BA9" s="9">
        <v>19125128</v>
      </c>
      <c r="BB9" s="31">
        <v>19125128</v>
      </c>
      <c r="BC9" s="9">
        <v>22875150</v>
      </c>
      <c r="BD9" s="9">
        <v>22875150</v>
      </c>
      <c r="BE9" s="9">
        <v>22875150</v>
      </c>
      <c r="BF9" s="9">
        <v>22875150</v>
      </c>
      <c r="BG9" s="9">
        <v>22875150</v>
      </c>
      <c r="BH9" s="9">
        <v>22875150</v>
      </c>
      <c r="BI9" s="9">
        <v>22875150</v>
      </c>
      <c r="BJ9" s="9">
        <v>22875150</v>
      </c>
      <c r="BK9" s="9">
        <v>22875150</v>
      </c>
      <c r="BL9" s="9">
        <v>22875150</v>
      </c>
      <c r="BM9" s="9">
        <v>22875150</v>
      </c>
      <c r="BN9" s="9">
        <v>22875150</v>
      </c>
      <c r="BO9" s="31">
        <v>22875150</v>
      </c>
      <c r="BP9" s="9">
        <v>23805335</v>
      </c>
      <c r="BQ9" s="9">
        <v>23805335</v>
      </c>
      <c r="BR9" s="9">
        <v>23805335</v>
      </c>
      <c r="BS9" s="9">
        <v>23805335</v>
      </c>
      <c r="BT9" s="9">
        <v>23805335</v>
      </c>
      <c r="BU9" s="9">
        <v>23805335</v>
      </c>
      <c r="BV9" s="9">
        <v>23805335</v>
      </c>
      <c r="BW9" s="9">
        <v>23805335</v>
      </c>
      <c r="BX9" s="9">
        <v>23805335</v>
      </c>
      <c r="BY9" s="9">
        <v>23805335</v>
      </c>
      <c r="BZ9" s="9">
        <v>23805335</v>
      </c>
      <c r="CA9" s="9">
        <v>23805335</v>
      </c>
      <c r="CB9" s="31">
        <v>23805335</v>
      </c>
      <c r="CC9" s="9">
        <v>30005711</v>
      </c>
      <c r="CD9" s="9">
        <v>30005711</v>
      </c>
      <c r="CE9" s="9">
        <v>30005711</v>
      </c>
      <c r="CF9" s="9">
        <v>30005711</v>
      </c>
      <c r="CG9" s="9">
        <v>30005711</v>
      </c>
      <c r="CH9" s="9">
        <v>30005711</v>
      </c>
      <c r="CI9" s="9">
        <v>30005711</v>
      </c>
      <c r="CJ9" s="9">
        <v>30005711</v>
      </c>
      <c r="CK9" s="9">
        <v>30005711</v>
      </c>
      <c r="CL9" s="9">
        <v>30005711</v>
      </c>
      <c r="CM9" s="9">
        <v>30005711</v>
      </c>
      <c r="CN9" s="9">
        <v>30005711</v>
      </c>
      <c r="CO9" s="31">
        <v>30005711</v>
      </c>
      <c r="CP9" s="9">
        <v>28313204</v>
      </c>
      <c r="CQ9" s="9">
        <v>28313204</v>
      </c>
      <c r="CR9" s="9">
        <v>28313204</v>
      </c>
      <c r="CS9" s="9">
        <v>28313204</v>
      </c>
      <c r="CT9" s="9">
        <v>28313204</v>
      </c>
      <c r="CU9" s="9">
        <v>28313204</v>
      </c>
      <c r="CV9" s="9">
        <v>28313204</v>
      </c>
      <c r="CW9" s="9">
        <v>28313204</v>
      </c>
      <c r="CX9" s="9">
        <v>28313204</v>
      </c>
      <c r="CY9" s="9">
        <v>28313204</v>
      </c>
      <c r="CZ9" s="9">
        <v>28313204</v>
      </c>
      <c r="DA9" s="9">
        <v>28313204</v>
      </c>
      <c r="DB9" s="31">
        <v>28313204</v>
      </c>
      <c r="DC9" s="9">
        <v>26279513</v>
      </c>
      <c r="DD9" s="9">
        <v>26279513</v>
      </c>
      <c r="DE9" s="9">
        <v>26279513</v>
      </c>
      <c r="DF9" s="9">
        <v>26279513</v>
      </c>
      <c r="DG9" s="9">
        <v>26279513</v>
      </c>
      <c r="DH9" s="9">
        <v>26279513</v>
      </c>
      <c r="DI9" s="9">
        <v>26279513</v>
      </c>
      <c r="DJ9" s="9">
        <v>26279513</v>
      </c>
      <c r="DK9" s="9">
        <v>26279513</v>
      </c>
      <c r="DL9" s="9">
        <v>26279513</v>
      </c>
      <c r="DM9" s="9">
        <v>26279513</v>
      </c>
      <c r="DN9" s="9">
        <v>26279513</v>
      </c>
      <c r="DO9" s="31">
        <v>26279513</v>
      </c>
      <c r="DP9" s="9">
        <v>23921092</v>
      </c>
      <c r="DQ9" s="9">
        <v>23921092</v>
      </c>
      <c r="DR9" s="9">
        <v>23921092</v>
      </c>
      <c r="DS9" s="9">
        <v>23921092</v>
      </c>
      <c r="DT9" s="9">
        <v>23921092</v>
      </c>
      <c r="DU9" s="9">
        <v>23921092</v>
      </c>
      <c r="DV9" s="9">
        <v>23921092</v>
      </c>
      <c r="DW9" s="9">
        <v>23921092</v>
      </c>
      <c r="DX9" s="9">
        <v>23921092</v>
      </c>
      <c r="DY9" s="9">
        <v>23921092</v>
      </c>
      <c r="DZ9" s="9">
        <v>23921092</v>
      </c>
      <c r="EA9" s="9">
        <v>23921092</v>
      </c>
      <c r="EB9" s="31">
        <v>23921092</v>
      </c>
      <c r="EC9" s="9">
        <v>32623118</v>
      </c>
      <c r="ED9" s="9">
        <v>32623118</v>
      </c>
      <c r="EE9" s="9">
        <v>32623118</v>
      </c>
      <c r="EF9" s="9">
        <v>32623118</v>
      </c>
      <c r="EG9" s="9">
        <v>32623118</v>
      </c>
      <c r="EH9" s="9">
        <v>32623118</v>
      </c>
      <c r="EI9" s="9">
        <v>32623118</v>
      </c>
      <c r="EJ9" s="9">
        <v>32623118</v>
      </c>
      <c r="EK9" s="9">
        <v>32623118</v>
      </c>
      <c r="EL9" s="9">
        <v>32623118</v>
      </c>
      <c r="EM9" s="9">
        <v>32623118</v>
      </c>
      <c r="EN9" s="9">
        <v>32623118</v>
      </c>
      <c r="EO9" s="31">
        <v>32623118</v>
      </c>
      <c r="EP9" s="9">
        <v>31388552</v>
      </c>
      <c r="EQ9" s="9">
        <v>31388552</v>
      </c>
      <c r="ER9" s="9">
        <v>31388552</v>
      </c>
      <c r="ES9" s="9">
        <v>31388552</v>
      </c>
      <c r="ET9" s="9">
        <v>31388552</v>
      </c>
      <c r="EU9" s="9">
        <v>31388552</v>
      </c>
      <c r="EV9" s="9">
        <v>31388552</v>
      </c>
      <c r="EW9" s="9">
        <v>31388552</v>
      </c>
      <c r="EX9" s="9">
        <v>31388552</v>
      </c>
      <c r="EY9" s="9">
        <v>31388552</v>
      </c>
      <c r="EZ9" s="9">
        <v>31388552</v>
      </c>
      <c r="FA9" s="9">
        <v>31388552</v>
      </c>
      <c r="FB9" s="31">
        <v>31388552</v>
      </c>
      <c r="FC9" s="9">
        <v>32099544</v>
      </c>
      <c r="FD9" s="9">
        <v>32099544</v>
      </c>
      <c r="FE9" s="9">
        <v>32099544</v>
      </c>
      <c r="FF9" s="9">
        <v>32099544</v>
      </c>
      <c r="FG9" s="9">
        <v>32099544</v>
      </c>
      <c r="FH9" s="9">
        <v>32099544</v>
      </c>
      <c r="FI9" s="9">
        <v>32099544</v>
      </c>
      <c r="FJ9" s="9">
        <v>32099544</v>
      </c>
      <c r="FK9" s="9">
        <v>32099544</v>
      </c>
      <c r="FL9" s="9">
        <v>32099544</v>
      </c>
      <c r="FM9" s="9">
        <v>32099544</v>
      </c>
      <c r="FN9" s="9">
        <v>32099544</v>
      </c>
      <c r="FO9" s="31">
        <v>32099544</v>
      </c>
    </row>
    <row r="10" spans="2:171" x14ac:dyDescent="0.3">
      <c r="B10" s="7" t="s">
        <v>48</v>
      </c>
      <c r="C10" s="9">
        <v>5502314</v>
      </c>
      <c r="D10" s="9">
        <v>5502314</v>
      </c>
      <c r="E10" s="9">
        <v>5502314</v>
      </c>
      <c r="F10" s="9">
        <v>5502314</v>
      </c>
      <c r="G10" s="9">
        <v>5502314</v>
      </c>
      <c r="H10" s="9">
        <v>5502314</v>
      </c>
      <c r="I10" s="9">
        <v>5502314</v>
      </c>
      <c r="J10" s="9">
        <v>5502314</v>
      </c>
      <c r="K10" s="9">
        <v>5502314</v>
      </c>
      <c r="L10" s="9">
        <v>5502314</v>
      </c>
      <c r="M10" s="9">
        <v>5502314</v>
      </c>
      <c r="N10" s="9">
        <v>5502314</v>
      </c>
      <c r="O10" s="31">
        <v>5502314</v>
      </c>
      <c r="P10" s="9">
        <v>7116496</v>
      </c>
      <c r="Q10" s="9">
        <v>7116496</v>
      </c>
      <c r="R10" s="9">
        <v>7116496</v>
      </c>
      <c r="S10" s="9">
        <v>7116496</v>
      </c>
      <c r="T10" s="9">
        <v>7116496</v>
      </c>
      <c r="U10" s="9">
        <v>7116496</v>
      </c>
      <c r="V10" s="9">
        <v>7116496</v>
      </c>
      <c r="W10" s="9">
        <v>7116496</v>
      </c>
      <c r="X10" s="9">
        <v>7116496</v>
      </c>
      <c r="Y10" s="9">
        <v>7116496</v>
      </c>
      <c r="Z10" s="9">
        <v>7116496</v>
      </c>
      <c r="AA10" s="9">
        <v>7116496</v>
      </c>
      <c r="AB10" s="31">
        <v>7116496</v>
      </c>
      <c r="AC10" s="9">
        <v>7118243</v>
      </c>
      <c r="AD10" s="9">
        <v>7118243</v>
      </c>
      <c r="AE10" s="9">
        <v>7118243</v>
      </c>
      <c r="AF10" s="9">
        <v>7118243</v>
      </c>
      <c r="AG10" s="9">
        <v>7118243</v>
      </c>
      <c r="AH10" s="9">
        <v>7118243</v>
      </c>
      <c r="AI10" s="9">
        <v>7118243</v>
      </c>
      <c r="AJ10" s="9">
        <v>7118243</v>
      </c>
      <c r="AK10" s="9">
        <v>7118243</v>
      </c>
      <c r="AL10" s="9">
        <v>7118243</v>
      </c>
      <c r="AM10" s="9">
        <v>7118243</v>
      </c>
      <c r="AN10" s="9">
        <v>7118243</v>
      </c>
      <c r="AO10" s="31">
        <v>7118243</v>
      </c>
      <c r="AP10" s="9">
        <v>6360483</v>
      </c>
      <c r="AQ10" s="9">
        <v>6360483</v>
      </c>
      <c r="AR10" s="9">
        <v>6360483</v>
      </c>
      <c r="AS10" s="9">
        <v>6360483</v>
      </c>
      <c r="AT10" s="9">
        <v>6360483</v>
      </c>
      <c r="AU10" s="9">
        <v>6360483</v>
      </c>
      <c r="AV10" s="9">
        <v>6360483</v>
      </c>
      <c r="AW10" s="9">
        <v>6360483</v>
      </c>
      <c r="AX10" s="9">
        <v>6360483</v>
      </c>
      <c r="AY10" s="9">
        <v>6360483</v>
      </c>
      <c r="AZ10" s="9">
        <v>6360483</v>
      </c>
      <c r="BA10" s="9">
        <v>6360483</v>
      </c>
      <c r="BB10" s="31">
        <v>6360483</v>
      </c>
      <c r="BC10" s="9">
        <v>8905218</v>
      </c>
      <c r="BD10" s="9">
        <v>8905218</v>
      </c>
      <c r="BE10" s="9">
        <v>8905218</v>
      </c>
      <c r="BF10" s="9">
        <v>8905218</v>
      </c>
      <c r="BG10" s="9">
        <v>8905218</v>
      </c>
      <c r="BH10" s="9">
        <v>8905218</v>
      </c>
      <c r="BI10" s="9">
        <v>8905218</v>
      </c>
      <c r="BJ10" s="9">
        <v>8905218</v>
      </c>
      <c r="BK10" s="9">
        <v>8905218</v>
      </c>
      <c r="BL10" s="9">
        <v>8905218</v>
      </c>
      <c r="BM10" s="9">
        <v>8905218</v>
      </c>
      <c r="BN10" s="9">
        <v>8905218</v>
      </c>
      <c r="BO10" s="31">
        <v>8905218</v>
      </c>
      <c r="BP10" s="9">
        <v>5657692</v>
      </c>
      <c r="BQ10" s="9">
        <v>5657692</v>
      </c>
      <c r="BR10" s="9">
        <v>5657692</v>
      </c>
      <c r="BS10" s="9">
        <v>5657692</v>
      </c>
      <c r="BT10" s="9">
        <v>5657692</v>
      </c>
      <c r="BU10" s="9">
        <v>5657692</v>
      </c>
      <c r="BV10" s="9">
        <v>5657692</v>
      </c>
      <c r="BW10" s="9">
        <v>5657692</v>
      </c>
      <c r="BX10" s="9">
        <v>5657692</v>
      </c>
      <c r="BY10" s="9">
        <v>5657692</v>
      </c>
      <c r="BZ10" s="9">
        <v>5657692</v>
      </c>
      <c r="CA10" s="9">
        <v>5657692</v>
      </c>
      <c r="CB10" s="31">
        <v>5657692</v>
      </c>
      <c r="CC10" s="9">
        <v>8447722</v>
      </c>
      <c r="CD10" s="9">
        <v>8447722</v>
      </c>
      <c r="CE10" s="9">
        <v>8447722</v>
      </c>
      <c r="CF10" s="9">
        <v>8447722</v>
      </c>
      <c r="CG10" s="9">
        <v>8447722</v>
      </c>
      <c r="CH10" s="9">
        <v>8447722</v>
      </c>
      <c r="CI10" s="9">
        <v>8447722</v>
      </c>
      <c r="CJ10" s="9">
        <v>8447722</v>
      </c>
      <c r="CK10" s="9">
        <v>8447722</v>
      </c>
      <c r="CL10" s="9">
        <v>8447722</v>
      </c>
      <c r="CM10" s="9">
        <v>8447722</v>
      </c>
      <c r="CN10" s="9">
        <v>8447722</v>
      </c>
      <c r="CO10" s="31">
        <v>8447722</v>
      </c>
      <c r="CP10" s="9">
        <v>9734344</v>
      </c>
      <c r="CQ10" s="9">
        <v>9734344</v>
      </c>
      <c r="CR10" s="9">
        <v>9734344</v>
      </c>
      <c r="CS10" s="9">
        <v>9734344</v>
      </c>
      <c r="CT10" s="9">
        <v>9734344</v>
      </c>
      <c r="CU10" s="9">
        <v>9734344</v>
      </c>
      <c r="CV10" s="9">
        <v>9734344</v>
      </c>
      <c r="CW10" s="9">
        <v>9734344</v>
      </c>
      <c r="CX10" s="9">
        <v>9734344</v>
      </c>
      <c r="CY10" s="9">
        <v>9734344</v>
      </c>
      <c r="CZ10" s="9">
        <v>9734344</v>
      </c>
      <c r="DA10" s="9">
        <v>9734344</v>
      </c>
      <c r="DB10" s="31">
        <v>9734344</v>
      </c>
      <c r="DC10" s="9">
        <v>8027524</v>
      </c>
      <c r="DD10" s="9">
        <v>8027524</v>
      </c>
      <c r="DE10" s="9">
        <v>8027524</v>
      </c>
      <c r="DF10" s="9">
        <v>8027524</v>
      </c>
      <c r="DG10" s="9">
        <v>8027524</v>
      </c>
      <c r="DH10" s="9">
        <v>8027524</v>
      </c>
      <c r="DI10" s="9">
        <v>8027524</v>
      </c>
      <c r="DJ10" s="9">
        <v>8027524</v>
      </c>
      <c r="DK10" s="9">
        <v>8027524</v>
      </c>
      <c r="DL10" s="9">
        <v>8027524</v>
      </c>
      <c r="DM10" s="9">
        <v>8027524</v>
      </c>
      <c r="DN10" s="9">
        <v>8027524</v>
      </c>
      <c r="DO10" s="31">
        <v>8027524</v>
      </c>
      <c r="DP10" s="9">
        <v>9623696</v>
      </c>
      <c r="DQ10" s="9">
        <v>9623696</v>
      </c>
      <c r="DR10" s="9">
        <v>9623696</v>
      </c>
      <c r="DS10" s="9">
        <v>9623696</v>
      </c>
      <c r="DT10" s="9">
        <v>9623696</v>
      </c>
      <c r="DU10" s="9">
        <v>9623696</v>
      </c>
      <c r="DV10" s="9">
        <v>9623696</v>
      </c>
      <c r="DW10" s="9">
        <v>9623696</v>
      </c>
      <c r="DX10" s="9">
        <v>9623696</v>
      </c>
      <c r="DY10" s="9">
        <v>9623696</v>
      </c>
      <c r="DZ10" s="9">
        <v>9623696</v>
      </c>
      <c r="EA10" s="9">
        <v>9623696</v>
      </c>
      <c r="EB10" s="31">
        <v>9623696</v>
      </c>
      <c r="EC10" s="9">
        <v>7002032</v>
      </c>
      <c r="ED10" s="9">
        <v>7002032</v>
      </c>
      <c r="EE10" s="9">
        <v>7002032</v>
      </c>
      <c r="EF10" s="9">
        <v>7002032</v>
      </c>
      <c r="EG10" s="9">
        <v>7002032</v>
      </c>
      <c r="EH10" s="9">
        <v>7002032</v>
      </c>
      <c r="EI10" s="9">
        <v>7002032</v>
      </c>
      <c r="EJ10" s="9">
        <v>7002032</v>
      </c>
      <c r="EK10" s="9">
        <v>7002032</v>
      </c>
      <c r="EL10" s="9">
        <v>7002032</v>
      </c>
      <c r="EM10" s="9">
        <v>7002032</v>
      </c>
      <c r="EN10" s="9">
        <v>7002032</v>
      </c>
      <c r="EO10" s="31">
        <v>7002032</v>
      </c>
      <c r="EP10" s="9">
        <v>7819491</v>
      </c>
      <c r="EQ10" s="9">
        <v>7819491</v>
      </c>
      <c r="ER10" s="9">
        <v>7819491</v>
      </c>
      <c r="ES10" s="9">
        <v>7819491</v>
      </c>
      <c r="ET10" s="9">
        <v>7819491</v>
      </c>
      <c r="EU10" s="9">
        <v>7819491</v>
      </c>
      <c r="EV10" s="9">
        <v>7819491</v>
      </c>
      <c r="EW10" s="9">
        <v>7819491</v>
      </c>
      <c r="EX10" s="9">
        <v>7819491</v>
      </c>
      <c r="EY10" s="9">
        <v>7819491</v>
      </c>
      <c r="EZ10" s="9">
        <v>7819491</v>
      </c>
      <c r="FA10" s="9">
        <v>7819491</v>
      </c>
      <c r="FB10" s="31">
        <v>7819491</v>
      </c>
      <c r="FC10" s="9">
        <v>2323330</v>
      </c>
      <c r="FD10" s="9">
        <v>2323330</v>
      </c>
      <c r="FE10" s="9">
        <v>2323330</v>
      </c>
      <c r="FF10" s="9">
        <v>2323330</v>
      </c>
      <c r="FG10" s="9">
        <v>2323330</v>
      </c>
      <c r="FH10" s="9">
        <v>2323330</v>
      </c>
      <c r="FI10" s="9">
        <v>2323330</v>
      </c>
      <c r="FJ10" s="9">
        <v>2323330</v>
      </c>
      <c r="FK10" s="9">
        <v>2323330</v>
      </c>
      <c r="FL10" s="9">
        <v>2323330</v>
      </c>
      <c r="FM10" s="9">
        <v>2323330</v>
      </c>
      <c r="FN10" s="9">
        <v>2323330</v>
      </c>
      <c r="FO10" s="31">
        <v>2323330</v>
      </c>
    </row>
    <row r="11" spans="2:171" x14ac:dyDescent="0.3">
      <c r="B11" s="7" t="s">
        <v>49</v>
      </c>
      <c r="C11" s="9">
        <v>17762256</v>
      </c>
      <c r="D11" s="9">
        <v>17762256</v>
      </c>
      <c r="E11" s="9">
        <v>17762256</v>
      </c>
      <c r="F11" s="9">
        <v>17762256</v>
      </c>
      <c r="G11" s="9">
        <v>17762256</v>
      </c>
      <c r="H11" s="9">
        <v>17762256</v>
      </c>
      <c r="I11" s="9">
        <v>17762256</v>
      </c>
      <c r="J11" s="9">
        <v>17762256</v>
      </c>
      <c r="K11" s="9">
        <v>17762256</v>
      </c>
      <c r="L11" s="9">
        <v>17762256</v>
      </c>
      <c r="M11" s="9">
        <v>17762256</v>
      </c>
      <c r="N11" s="9">
        <v>17762256</v>
      </c>
      <c r="O11" s="31">
        <v>17762256</v>
      </c>
      <c r="P11" s="9">
        <v>21803885</v>
      </c>
      <c r="Q11" s="9">
        <v>21803885</v>
      </c>
      <c r="R11" s="9">
        <v>21803885</v>
      </c>
      <c r="S11" s="9">
        <v>21803885</v>
      </c>
      <c r="T11" s="9">
        <v>21803885</v>
      </c>
      <c r="U11" s="9">
        <v>21803885</v>
      </c>
      <c r="V11" s="9">
        <v>21803885</v>
      </c>
      <c r="W11" s="9">
        <v>21803885</v>
      </c>
      <c r="X11" s="9">
        <v>21803885</v>
      </c>
      <c r="Y11" s="9">
        <v>21803885</v>
      </c>
      <c r="Z11" s="9">
        <v>21803885</v>
      </c>
      <c r="AA11" s="9">
        <v>21803885</v>
      </c>
      <c r="AB11" s="31">
        <v>21803885</v>
      </c>
      <c r="AC11" s="9">
        <v>20753826</v>
      </c>
      <c r="AD11" s="9">
        <v>20753826</v>
      </c>
      <c r="AE11" s="9">
        <v>20753826</v>
      </c>
      <c r="AF11" s="9">
        <v>20753826</v>
      </c>
      <c r="AG11" s="9">
        <v>20753826</v>
      </c>
      <c r="AH11" s="9">
        <v>20753826</v>
      </c>
      <c r="AI11" s="9">
        <v>20753826</v>
      </c>
      <c r="AJ11" s="9">
        <v>20753826</v>
      </c>
      <c r="AK11" s="9">
        <v>20753826</v>
      </c>
      <c r="AL11" s="9">
        <v>20753826</v>
      </c>
      <c r="AM11" s="9">
        <v>20753826</v>
      </c>
      <c r="AN11" s="9">
        <v>20753826</v>
      </c>
      <c r="AO11" s="31">
        <v>20753826</v>
      </c>
      <c r="AP11" s="9">
        <v>19705469</v>
      </c>
      <c r="AQ11" s="9">
        <v>19705469</v>
      </c>
      <c r="AR11" s="9">
        <v>19705469</v>
      </c>
      <c r="AS11" s="9">
        <v>19705469</v>
      </c>
      <c r="AT11" s="9">
        <v>19705469</v>
      </c>
      <c r="AU11" s="9">
        <v>19705469</v>
      </c>
      <c r="AV11" s="9">
        <v>19705469</v>
      </c>
      <c r="AW11" s="9">
        <v>19705469</v>
      </c>
      <c r="AX11" s="9">
        <v>19705469</v>
      </c>
      <c r="AY11" s="9">
        <v>19705469</v>
      </c>
      <c r="AZ11" s="9">
        <v>19705469</v>
      </c>
      <c r="BA11" s="9">
        <v>19705469</v>
      </c>
      <c r="BB11" s="31">
        <v>19705469</v>
      </c>
      <c r="BC11" s="9">
        <v>20697782</v>
      </c>
      <c r="BD11" s="9">
        <v>20697782</v>
      </c>
      <c r="BE11" s="9">
        <v>20697782</v>
      </c>
      <c r="BF11" s="9">
        <v>20697782</v>
      </c>
      <c r="BG11" s="9">
        <v>20697782</v>
      </c>
      <c r="BH11" s="9">
        <v>20697782</v>
      </c>
      <c r="BI11" s="9">
        <v>20697782</v>
      </c>
      <c r="BJ11" s="9">
        <v>20697782</v>
      </c>
      <c r="BK11" s="9">
        <v>20697782</v>
      </c>
      <c r="BL11" s="9">
        <v>20697782</v>
      </c>
      <c r="BM11" s="9">
        <v>20697782</v>
      </c>
      <c r="BN11" s="9">
        <v>20697782</v>
      </c>
      <c r="BO11" s="31">
        <v>20697782</v>
      </c>
      <c r="BP11" s="9">
        <v>12609240</v>
      </c>
      <c r="BQ11" s="9">
        <v>12609240</v>
      </c>
      <c r="BR11" s="9">
        <v>12609240</v>
      </c>
      <c r="BS11" s="9">
        <v>12609240</v>
      </c>
      <c r="BT11" s="9">
        <v>12609240</v>
      </c>
      <c r="BU11" s="9">
        <v>12609240</v>
      </c>
      <c r="BV11" s="9">
        <v>12609240</v>
      </c>
      <c r="BW11" s="9">
        <v>12609240</v>
      </c>
      <c r="BX11" s="9">
        <v>12609240</v>
      </c>
      <c r="BY11" s="9">
        <v>12609240</v>
      </c>
      <c r="BZ11" s="9">
        <v>12609240</v>
      </c>
      <c r="CA11" s="9">
        <v>12609240</v>
      </c>
      <c r="CB11" s="31">
        <v>12609240</v>
      </c>
      <c r="CC11" s="9">
        <v>8704861</v>
      </c>
      <c r="CD11" s="9">
        <v>8704861</v>
      </c>
      <c r="CE11" s="9">
        <v>8704861</v>
      </c>
      <c r="CF11" s="9">
        <v>8704861</v>
      </c>
      <c r="CG11" s="9">
        <v>8704861</v>
      </c>
      <c r="CH11" s="9">
        <v>8704861</v>
      </c>
      <c r="CI11" s="9">
        <v>8704861</v>
      </c>
      <c r="CJ11" s="9">
        <v>8704861</v>
      </c>
      <c r="CK11" s="9">
        <v>8704861</v>
      </c>
      <c r="CL11" s="9">
        <v>8704861</v>
      </c>
      <c r="CM11" s="9">
        <v>8704861</v>
      </c>
      <c r="CN11" s="9">
        <v>8704861</v>
      </c>
      <c r="CO11" s="31">
        <v>8704861</v>
      </c>
      <c r="CP11" s="9">
        <v>7005376</v>
      </c>
      <c r="CQ11" s="9">
        <v>7005376</v>
      </c>
      <c r="CR11" s="9">
        <v>7005376</v>
      </c>
      <c r="CS11" s="9">
        <v>7005376</v>
      </c>
      <c r="CT11" s="9">
        <v>7005376</v>
      </c>
      <c r="CU11" s="9">
        <v>7005376</v>
      </c>
      <c r="CV11" s="9">
        <v>7005376</v>
      </c>
      <c r="CW11" s="9">
        <v>7005376</v>
      </c>
      <c r="CX11" s="9">
        <v>7005376</v>
      </c>
      <c r="CY11" s="9">
        <v>7005376</v>
      </c>
      <c r="CZ11" s="9">
        <v>7005376</v>
      </c>
      <c r="DA11" s="9">
        <v>7005376</v>
      </c>
      <c r="DB11" s="31">
        <v>7005376</v>
      </c>
      <c r="DC11" s="9">
        <v>4659283</v>
      </c>
      <c r="DD11" s="9">
        <v>4659283</v>
      </c>
      <c r="DE11" s="9">
        <v>4659283</v>
      </c>
      <c r="DF11" s="9">
        <v>4659283</v>
      </c>
      <c r="DG11" s="9">
        <v>4659283</v>
      </c>
      <c r="DH11" s="9">
        <v>4659283</v>
      </c>
      <c r="DI11" s="9">
        <v>4659283</v>
      </c>
      <c r="DJ11" s="9">
        <v>4659283</v>
      </c>
      <c r="DK11" s="9">
        <v>4659283</v>
      </c>
      <c r="DL11" s="9">
        <v>4659283</v>
      </c>
      <c r="DM11" s="9">
        <v>4659283</v>
      </c>
      <c r="DN11" s="9">
        <v>4659283</v>
      </c>
      <c r="DO11" s="31">
        <v>4659283</v>
      </c>
      <c r="DP11" s="9">
        <v>9013306</v>
      </c>
      <c r="DQ11" s="9">
        <v>9013306</v>
      </c>
      <c r="DR11" s="9">
        <v>9013306</v>
      </c>
      <c r="DS11" s="9">
        <v>9013306</v>
      </c>
      <c r="DT11" s="9">
        <v>9013306</v>
      </c>
      <c r="DU11" s="9">
        <v>9013306</v>
      </c>
      <c r="DV11" s="9">
        <v>9013306</v>
      </c>
      <c r="DW11" s="9">
        <v>9013306</v>
      </c>
      <c r="DX11" s="9">
        <v>9013306</v>
      </c>
      <c r="DY11" s="9">
        <v>9013306</v>
      </c>
      <c r="DZ11" s="9">
        <v>9013306</v>
      </c>
      <c r="EA11" s="9">
        <v>9013306</v>
      </c>
      <c r="EB11" s="31">
        <v>9013306</v>
      </c>
      <c r="EC11" s="9">
        <v>11846836</v>
      </c>
      <c r="ED11" s="9">
        <v>11846836</v>
      </c>
      <c r="EE11" s="9">
        <v>11846836</v>
      </c>
      <c r="EF11" s="9">
        <v>11846836</v>
      </c>
      <c r="EG11" s="9">
        <v>11846836</v>
      </c>
      <c r="EH11" s="9">
        <v>11846836</v>
      </c>
      <c r="EI11" s="9">
        <v>11846836</v>
      </c>
      <c r="EJ11" s="9">
        <v>11846836</v>
      </c>
      <c r="EK11" s="9">
        <v>11846836</v>
      </c>
      <c r="EL11" s="9">
        <v>11846836</v>
      </c>
      <c r="EM11" s="9">
        <v>11846836</v>
      </c>
      <c r="EN11" s="9">
        <v>11846836</v>
      </c>
      <c r="EO11" s="31">
        <v>11846836</v>
      </c>
      <c r="EP11" s="9">
        <v>9956278</v>
      </c>
      <c r="EQ11" s="9">
        <v>9956278</v>
      </c>
      <c r="ER11" s="9">
        <v>9956278</v>
      </c>
      <c r="ES11" s="9">
        <v>9956278</v>
      </c>
      <c r="ET11" s="9">
        <v>9956278</v>
      </c>
      <c r="EU11" s="9">
        <v>9956278</v>
      </c>
      <c r="EV11" s="9">
        <v>9956278</v>
      </c>
      <c r="EW11" s="9">
        <v>9956278</v>
      </c>
      <c r="EX11" s="9">
        <v>9956278</v>
      </c>
      <c r="EY11" s="9">
        <v>9956278</v>
      </c>
      <c r="EZ11" s="9">
        <v>9956278</v>
      </c>
      <c r="FA11" s="9">
        <v>9956278</v>
      </c>
      <c r="FB11" s="31">
        <v>9956278</v>
      </c>
      <c r="FC11" s="9">
        <v>8706346</v>
      </c>
      <c r="FD11" s="9">
        <v>8706346</v>
      </c>
      <c r="FE11" s="9">
        <v>8706346</v>
      </c>
      <c r="FF11" s="9">
        <v>8706346</v>
      </c>
      <c r="FG11" s="9">
        <v>8706346</v>
      </c>
      <c r="FH11" s="9">
        <v>8706346</v>
      </c>
      <c r="FI11" s="9">
        <v>8706346</v>
      </c>
      <c r="FJ11" s="9">
        <v>8706346</v>
      </c>
      <c r="FK11" s="9">
        <v>8706346</v>
      </c>
      <c r="FL11" s="9">
        <v>8706346</v>
      </c>
      <c r="FM11" s="9">
        <v>8706346</v>
      </c>
      <c r="FN11" s="9">
        <v>8706346</v>
      </c>
      <c r="FO11" s="31">
        <v>8706346</v>
      </c>
    </row>
    <row r="12" spans="2:171" x14ac:dyDescent="0.3">
      <c r="B12" s="7" t="s">
        <v>50</v>
      </c>
      <c r="C12" s="9">
        <v>8823051</v>
      </c>
      <c r="D12" s="9">
        <v>8823051</v>
      </c>
      <c r="E12" s="9">
        <v>8823051</v>
      </c>
      <c r="F12" s="9">
        <v>8823051</v>
      </c>
      <c r="G12" s="9">
        <v>8823051</v>
      </c>
      <c r="H12" s="9">
        <v>8823051</v>
      </c>
      <c r="I12" s="9">
        <v>8823051</v>
      </c>
      <c r="J12" s="9">
        <v>8823051</v>
      </c>
      <c r="K12" s="9">
        <v>8823051</v>
      </c>
      <c r="L12" s="9">
        <v>8823051</v>
      </c>
      <c r="M12" s="9">
        <v>8823051</v>
      </c>
      <c r="N12" s="9">
        <v>8823051</v>
      </c>
      <c r="O12" s="31">
        <v>8823051</v>
      </c>
      <c r="P12" s="9">
        <v>9265514</v>
      </c>
      <c r="Q12" s="9">
        <v>9265514</v>
      </c>
      <c r="R12" s="9">
        <v>9265514</v>
      </c>
      <c r="S12" s="9">
        <v>9265514</v>
      </c>
      <c r="T12" s="9">
        <v>9265514</v>
      </c>
      <c r="U12" s="9">
        <v>9265514</v>
      </c>
      <c r="V12" s="9">
        <v>9265514</v>
      </c>
      <c r="W12" s="9">
        <v>9265514</v>
      </c>
      <c r="X12" s="9">
        <v>9265514</v>
      </c>
      <c r="Y12" s="9">
        <v>9265514</v>
      </c>
      <c r="Z12" s="9">
        <v>9265514</v>
      </c>
      <c r="AA12" s="9">
        <v>9265514</v>
      </c>
      <c r="AB12" s="31">
        <v>9265514</v>
      </c>
      <c r="AC12" s="9">
        <v>17751422</v>
      </c>
      <c r="AD12" s="9">
        <v>17751422</v>
      </c>
      <c r="AE12" s="9">
        <v>17751422</v>
      </c>
      <c r="AF12" s="9">
        <v>17751422</v>
      </c>
      <c r="AG12" s="9">
        <v>17751422</v>
      </c>
      <c r="AH12" s="9">
        <v>17751422</v>
      </c>
      <c r="AI12" s="9">
        <v>17751422</v>
      </c>
      <c r="AJ12" s="9">
        <v>17751422</v>
      </c>
      <c r="AK12" s="9">
        <v>17751422</v>
      </c>
      <c r="AL12" s="9">
        <v>17751422</v>
      </c>
      <c r="AM12" s="9">
        <v>17751422</v>
      </c>
      <c r="AN12" s="9">
        <v>17751422</v>
      </c>
      <c r="AO12" s="31">
        <v>17751422</v>
      </c>
      <c r="AP12" s="9">
        <v>23414402</v>
      </c>
      <c r="AQ12" s="9">
        <v>23414402</v>
      </c>
      <c r="AR12" s="9">
        <v>23414402</v>
      </c>
      <c r="AS12" s="9">
        <v>23414402</v>
      </c>
      <c r="AT12" s="9">
        <v>23414402</v>
      </c>
      <c r="AU12" s="9">
        <v>23414402</v>
      </c>
      <c r="AV12" s="9">
        <v>23414402</v>
      </c>
      <c r="AW12" s="9">
        <v>23414402</v>
      </c>
      <c r="AX12" s="9">
        <v>23414402</v>
      </c>
      <c r="AY12" s="9">
        <v>23414402</v>
      </c>
      <c r="AZ12" s="9">
        <v>23414402</v>
      </c>
      <c r="BA12" s="9">
        <v>23414402</v>
      </c>
      <c r="BB12" s="31">
        <v>23414402</v>
      </c>
      <c r="BC12" s="9">
        <v>16518133</v>
      </c>
      <c r="BD12" s="9">
        <v>16518133</v>
      </c>
      <c r="BE12" s="9">
        <v>16518133</v>
      </c>
      <c r="BF12" s="9">
        <v>16518133</v>
      </c>
      <c r="BG12" s="9">
        <v>16518133</v>
      </c>
      <c r="BH12" s="9">
        <v>16518133</v>
      </c>
      <c r="BI12" s="9">
        <v>16518133</v>
      </c>
      <c r="BJ12" s="9">
        <v>16518133</v>
      </c>
      <c r="BK12" s="9">
        <v>16518133</v>
      </c>
      <c r="BL12" s="9">
        <v>16518133</v>
      </c>
      <c r="BM12" s="9">
        <v>16518133</v>
      </c>
      <c r="BN12" s="9">
        <v>16518133</v>
      </c>
      <c r="BO12" s="31">
        <v>16518133</v>
      </c>
      <c r="BP12" s="9">
        <v>9624594</v>
      </c>
      <c r="BQ12" s="9">
        <v>9624594</v>
      </c>
      <c r="BR12" s="9">
        <v>9624594</v>
      </c>
      <c r="BS12" s="9">
        <v>9624594</v>
      </c>
      <c r="BT12" s="9">
        <v>9624594</v>
      </c>
      <c r="BU12" s="9">
        <v>9624594</v>
      </c>
      <c r="BV12" s="9">
        <v>9624594</v>
      </c>
      <c r="BW12" s="9">
        <v>9624594</v>
      </c>
      <c r="BX12" s="9">
        <v>9624594</v>
      </c>
      <c r="BY12" s="9">
        <v>9624594</v>
      </c>
      <c r="BZ12" s="9">
        <v>9624594</v>
      </c>
      <c r="CA12" s="9">
        <v>9624594</v>
      </c>
      <c r="CB12" s="31">
        <v>9624594</v>
      </c>
      <c r="CC12" s="9">
        <v>25370209</v>
      </c>
      <c r="CD12" s="9">
        <v>25370209</v>
      </c>
      <c r="CE12" s="9">
        <v>25370209</v>
      </c>
      <c r="CF12" s="9">
        <v>25370209</v>
      </c>
      <c r="CG12" s="9">
        <v>25370209</v>
      </c>
      <c r="CH12" s="9">
        <v>25370209</v>
      </c>
      <c r="CI12" s="9">
        <v>25370209</v>
      </c>
      <c r="CJ12" s="9">
        <v>25370209</v>
      </c>
      <c r="CK12" s="9">
        <v>25370209</v>
      </c>
      <c r="CL12" s="9">
        <v>25370209</v>
      </c>
      <c r="CM12" s="9">
        <v>25370209</v>
      </c>
      <c r="CN12" s="9">
        <v>25370209</v>
      </c>
      <c r="CO12" s="31">
        <v>25370209</v>
      </c>
      <c r="CP12" s="9">
        <v>35181732</v>
      </c>
      <c r="CQ12" s="9">
        <v>35181732</v>
      </c>
      <c r="CR12" s="9">
        <v>35181732</v>
      </c>
      <c r="CS12" s="9">
        <v>35181732</v>
      </c>
      <c r="CT12" s="9">
        <v>35181732</v>
      </c>
      <c r="CU12" s="9">
        <v>35181732</v>
      </c>
      <c r="CV12" s="9">
        <v>35181732</v>
      </c>
      <c r="CW12" s="9">
        <v>35181732</v>
      </c>
      <c r="CX12" s="9">
        <v>35181732</v>
      </c>
      <c r="CY12" s="9">
        <v>35181732</v>
      </c>
      <c r="CZ12" s="9">
        <v>35181732</v>
      </c>
      <c r="DA12" s="9">
        <v>35181732</v>
      </c>
      <c r="DB12" s="31">
        <v>35181732</v>
      </c>
      <c r="DC12" s="9">
        <v>35548395</v>
      </c>
      <c r="DD12" s="9">
        <v>35548395</v>
      </c>
      <c r="DE12" s="9">
        <v>35548395</v>
      </c>
      <c r="DF12" s="9">
        <v>35548395</v>
      </c>
      <c r="DG12" s="9">
        <v>35548395</v>
      </c>
      <c r="DH12" s="9">
        <v>35548395</v>
      </c>
      <c r="DI12" s="9">
        <v>35548395</v>
      </c>
      <c r="DJ12" s="9">
        <v>35548395</v>
      </c>
      <c r="DK12" s="9">
        <v>35548395</v>
      </c>
      <c r="DL12" s="9">
        <v>35548395</v>
      </c>
      <c r="DM12" s="9">
        <v>35548395</v>
      </c>
      <c r="DN12" s="9">
        <v>35548395</v>
      </c>
      <c r="DO12" s="31">
        <v>35548395</v>
      </c>
      <c r="DP12" s="9">
        <v>30263070</v>
      </c>
      <c r="DQ12" s="9">
        <v>30263070</v>
      </c>
      <c r="DR12" s="9">
        <v>30263070</v>
      </c>
      <c r="DS12" s="9">
        <v>30263070</v>
      </c>
      <c r="DT12" s="9">
        <v>30263070</v>
      </c>
      <c r="DU12" s="9">
        <v>30263070</v>
      </c>
      <c r="DV12" s="9">
        <v>30263070</v>
      </c>
      <c r="DW12" s="9">
        <v>30263070</v>
      </c>
      <c r="DX12" s="9">
        <v>30263070</v>
      </c>
      <c r="DY12" s="9">
        <v>30263070</v>
      </c>
      <c r="DZ12" s="9">
        <v>30263070</v>
      </c>
      <c r="EA12" s="9">
        <v>30263070</v>
      </c>
      <c r="EB12" s="31">
        <v>30263070</v>
      </c>
      <c r="EC12" s="9">
        <v>10878804</v>
      </c>
      <c r="ED12" s="9">
        <v>10878804</v>
      </c>
      <c r="EE12" s="9">
        <v>10878804</v>
      </c>
      <c r="EF12" s="9">
        <v>10878804</v>
      </c>
      <c r="EG12" s="9">
        <v>10878804</v>
      </c>
      <c r="EH12" s="9">
        <v>10878804</v>
      </c>
      <c r="EI12" s="9">
        <v>10878804</v>
      </c>
      <c r="EJ12" s="9">
        <v>10878804</v>
      </c>
      <c r="EK12" s="9">
        <v>10878804</v>
      </c>
      <c r="EL12" s="9">
        <v>10878804</v>
      </c>
      <c r="EM12" s="9">
        <v>10878804</v>
      </c>
      <c r="EN12" s="9">
        <v>10878804</v>
      </c>
      <c r="EO12" s="31">
        <v>10878804</v>
      </c>
      <c r="EP12" s="9">
        <v>13585888</v>
      </c>
      <c r="EQ12" s="9">
        <v>13585888</v>
      </c>
      <c r="ER12" s="9">
        <v>13585888</v>
      </c>
      <c r="ES12" s="9">
        <v>13585888</v>
      </c>
      <c r="ET12" s="9">
        <v>13585888</v>
      </c>
      <c r="EU12" s="9">
        <v>13585888</v>
      </c>
      <c r="EV12" s="9">
        <v>13585888</v>
      </c>
      <c r="EW12" s="9">
        <v>13585888</v>
      </c>
      <c r="EX12" s="9">
        <v>13585888</v>
      </c>
      <c r="EY12" s="9">
        <v>13585888</v>
      </c>
      <c r="EZ12" s="9">
        <v>13585888</v>
      </c>
      <c r="FA12" s="9">
        <v>13585888</v>
      </c>
      <c r="FB12" s="31">
        <v>13585888</v>
      </c>
      <c r="FC12" s="9">
        <v>13197867</v>
      </c>
      <c r="FD12" s="9">
        <v>13197867</v>
      </c>
      <c r="FE12" s="9">
        <v>13197867</v>
      </c>
      <c r="FF12" s="9">
        <v>13197867</v>
      </c>
      <c r="FG12" s="9">
        <v>13197867</v>
      </c>
      <c r="FH12" s="9">
        <v>13197867</v>
      </c>
      <c r="FI12" s="9">
        <v>13197867</v>
      </c>
      <c r="FJ12" s="9">
        <v>13197867</v>
      </c>
      <c r="FK12" s="9">
        <v>13197867</v>
      </c>
      <c r="FL12" s="9">
        <v>13197867</v>
      </c>
      <c r="FM12" s="9">
        <v>13197867</v>
      </c>
      <c r="FN12" s="9">
        <v>13197867</v>
      </c>
      <c r="FO12" s="31">
        <v>13197867</v>
      </c>
    </row>
    <row r="13" spans="2:171" x14ac:dyDescent="0.3">
      <c r="B13" s="7" t="s">
        <v>51</v>
      </c>
      <c r="C13" s="9">
        <v>5303372</v>
      </c>
      <c r="D13" s="9">
        <v>5303372</v>
      </c>
      <c r="E13" s="9">
        <v>5303372</v>
      </c>
      <c r="F13" s="9">
        <v>5303372</v>
      </c>
      <c r="G13" s="9">
        <v>5303372</v>
      </c>
      <c r="H13" s="9">
        <v>5303372</v>
      </c>
      <c r="I13" s="9">
        <v>5303372</v>
      </c>
      <c r="J13" s="9">
        <v>5303372</v>
      </c>
      <c r="K13" s="9">
        <v>5303372</v>
      </c>
      <c r="L13" s="9">
        <v>5303372</v>
      </c>
      <c r="M13" s="9">
        <v>5303372</v>
      </c>
      <c r="N13" s="9">
        <v>5303372</v>
      </c>
      <c r="O13" s="31">
        <v>5303372</v>
      </c>
      <c r="P13" s="9">
        <v>10483676</v>
      </c>
      <c r="Q13" s="9">
        <v>10483676</v>
      </c>
      <c r="R13" s="9">
        <v>10483676</v>
      </c>
      <c r="S13" s="9">
        <v>10483676</v>
      </c>
      <c r="T13" s="9">
        <v>10483676</v>
      </c>
      <c r="U13" s="9">
        <v>10483676</v>
      </c>
      <c r="V13" s="9">
        <v>10483676</v>
      </c>
      <c r="W13" s="9">
        <v>10483676</v>
      </c>
      <c r="X13" s="9">
        <v>10483676</v>
      </c>
      <c r="Y13" s="9">
        <v>10483676</v>
      </c>
      <c r="Z13" s="9">
        <v>10483676</v>
      </c>
      <c r="AA13" s="9">
        <v>10483676</v>
      </c>
      <c r="AB13" s="31">
        <v>10483676</v>
      </c>
      <c r="AC13" s="9">
        <v>7956960</v>
      </c>
      <c r="AD13" s="9">
        <v>7956960</v>
      </c>
      <c r="AE13" s="9">
        <v>7956960</v>
      </c>
      <c r="AF13" s="9">
        <v>7956960</v>
      </c>
      <c r="AG13" s="9">
        <v>7956960</v>
      </c>
      <c r="AH13" s="9">
        <v>7956960</v>
      </c>
      <c r="AI13" s="9">
        <v>7956960</v>
      </c>
      <c r="AJ13" s="9">
        <v>7956960</v>
      </c>
      <c r="AK13" s="9">
        <v>7956960</v>
      </c>
      <c r="AL13" s="9">
        <v>7956960</v>
      </c>
      <c r="AM13" s="9">
        <v>7956960</v>
      </c>
      <c r="AN13" s="9">
        <v>7956960</v>
      </c>
      <c r="AO13" s="31">
        <v>7956960</v>
      </c>
      <c r="AP13" s="9">
        <v>22558714</v>
      </c>
      <c r="AQ13" s="9">
        <v>22558714</v>
      </c>
      <c r="AR13" s="9">
        <v>22558714</v>
      </c>
      <c r="AS13" s="9">
        <v>22558714</v>
      </c>
      <c r="AT13" s="9">
        <v>22558714</v>
      </c>
      <c r="AU13" s="9">
        <v>22558714</v>
      </c>
      <c r="AV13" s="9">
        <v>22558714</v>
      </c>
      <c r="AW13" s="9">
        <v>22558714</v>
      </c>
      <c r="AX13" s="9">
        <v>22558714</v>
      </c>
      <c r="AY13" s="9">
        <v>22558714</v>
      </c>
      <c r="AZ13" s="9">
        <v>22558714</v>
      </c>
      <c r="BA13" s="9">
        <v>22558714</v>
      </c>
      <c r="BB13" s="31">
        <v>22558714</v>
      </c>
      <c r="BC13" s="9">
        <v>26064643</v>
      </c>
      <c r="BD13" s="9">
        <v>26064643</v>
      </c>
      <c r="BE13" s="9">
        <v>26064643</v>
      </c>
      <c r="BF13" s="9">
        <v>26064643</v>
      </c>
      <c r="BG13" s="9">
        <v>26064643</v>
      </c>
      <c r="BH13" s="9">
        <v>26064643</v>
      </c>
      <c r="BI13" s="9">
        <v>26064643</v>
      </c>
      <c r="BJ13" s="9">
        <v>26064643</v>
      </c>
      <c r="BK13" s="9">
        <v>26064643</v>
      </c>
      <c r="BL13" s="9">
        <v>26064643</v>
      </c>
      <c r="BM13" s="9">
        <v>26064643</v>
      </c>
      <c r="BN13" s="9">
        <v>26064643</v>
      </c>
      <c r="BO13" s="31">
        <v>26064643</v>
      </c>
      <c r="BP13" s="9">
        <v>16889432</v>
      </c>
      <c r="BQ13" s="9">
        <v>16889432</v>
      </c>
      <c r="BR13" s="9">
        <v>16889432</v>
      </c>
      <c r="BS13" s="9">
        <v>16889432</v>
      </c>
      <c r="BT13" s="9">
        <v>16889432</v>
      </c>
      <c r="BU13" s="9">
        <v>16889432</v>
      </c>
      <c r="BV13" s="9">
        <v>16889432</v>
      </c>
      <c r="BW13" s="9">
        <v>16889432</v>
      </c>
      <c r="BX13" s="9">
        <v>16889432</v>
      </c>
      <c r="BY13" s="9">
        <v>16889432</v>
      </c>
      <c r="BZ13" s="9">
        <v>16889432</v>
      </c>
      <c r="CA13" s="9">
        <v>16889432</v>
      </c>
      <c r="CB13" s="31">
        <v>16889432</v>
      </c>
      <c r="CC13" s="9">
        <v>17341145</v>
      </c>
      <c r="CD13" s="9">
        <v>17341145</v>
      </c>
      <c r="CE13" s="9">
        <v>17341145</v>
      </c>
      <c r="CF13" s="9">
        <v>17341145</v>
      </c>
      <c r="CG13" s="9">
        <v>17341145</v>
      </c>
      <c r="CH13" s="9">
        <v>17341145</v>
      </c>
      <c r="CI13" s="9">
        <v>17341145</v>
      </c>
      <c r="CJ13" s="9">
        <v>17341145</v>
      </c>
      <c r="CK13" s="9">
        <v>17341145</v>
      </c>
      <c r="CL13" s="9">
        <v>17341145</v>
      </c>
      <c r="CM13" s="9">
        <v>17341145</v>
      </c>
      <c r="CN13" s="9">
        <v>17341145</v>
      </c>
      <c r="CO13" s="31">
        <v>17341145</v>
      </c>
      <c r="CP13" s="9">
        <v>18709251</v>
      </c>
      <c r="CQ13" s="9">
        <v>18709251</v>
      </c>
      <c r="CR13" s="9">
        <v>18709251</v>
      </c>
      <c r="CS13" s="9">
        <v>18709251</v>
      </c>
      <c r="CT13" s="9">
        <v>18709251</v>
      </c>
      <c r="CU13" s="9">
        <v>18709251</v>
      </c>
      <c r="CV13" s="9">
        <v>18709251</v>
      </c>
      <c r="CW13" s="9">
        <v>18709251</v>
      </c>
      <c r="CX13" s="9">
        <v>18709251</v>
      </c>
      <c r="CY13" s="9">
        <v>18709251</v>
      </c>
      <c r="CZ13" s="9">
        <v>18709251</v>
      </c>
      <c r="DA13" s="9">
        <v>18709251</v>
      </c>
      <c r="DB13" s="31">
        <v>18709251</v>
      </c>
      <c r="DC13" s="9">
        <v>24875325</v>
      </c>
      <c r="DD13" s="9">
        <v>24875325</v>
      </c>
      <c r="DE13" s="9">
        <v>24875325</v>
      </c>
      <c r="DF13" s="9">
        <v>24875325</v>
      </c>
      <c r="DG13" s="9">
        <v>24875325</v>
      </c>
      <c r="DH13" s="9">
        <v>24875325</v>
      </c>
      <c r="DI13" s="9">
        <v>24875325</v>
      </c>
      <c r="DJ13" s="9">
        <v>24875325</v>
      </c>
      <c r="DK13" s="9">
        <v>24875325</v>
      </c>
      <c r="DL13" s="9">
        <v>24875325</v>
      </c>
      <c r="DM13" s="9">
        <v>24875325</v>
      </c>
      <c r="DN13" s="9">
        <v>24875325</v>
      </c>
      <c r="DO13" s="31">
        <v>24875325</v>
      </c>
      <c r="DP13" s="9">
        <v>21315123</v>
      </c>
      <c r="DQ13" s="9">
        <v>21315123</v>
      </c>
      <c r="DR13" s="9">
        <v>21315123</v>
      </c>
      <c r="DS13" s="9">
        <v>21315123</v>
      </c>
      <c r="DT13" s="9">
        <v>21315123</v>
      </c>
      <c r="DU13" s="9">
        <v>21315123</v>
      </c>
      <c r="DV13" s="9">
        <v>21315123</v>
      </c>
      <c r="DW13" s="9">
        <v>21315123</v>
      </c>
      <c r="DX13" s="9">
        <v>21315123</v>
      </c>
      <c r="DY13" s="9">
        <v>21315123</v>
      </c>
      <c r="DZ13" s="9">
        <v>21315123</v>
      </c>
      <c r="EA13" s="9">
        <v>21315123</v>
      </c>
      <c r="EB13" s="31">
        <v>21315123</v>
      </c>
      <c r="EC13" s="9">
        <v>21518444</v>
      </c>
      <c r="ED13" s="9">
        <v>21518444</v>
      </c>
      <c r="EE13" s="9">
        <v>21518444</v>
      </c>
      <c r="EF13" s="9">
        <v>21518444</v>
      </c>
      <c r="EG13" s="9">
        <v>21518444</v>
      </c>
      <c r="EH13" s="9">
        <v>21518444</v>
      </c>
      <c r="EI13" s="9">
        <v>21518444</v>
      </c>
      <c r="EJ13" s="9">
        <v>21518444</v>
      </c>
      <c r="EK13" s="9">
        <v>21518444</v>
      </c>
      <c r="EL13" s="9">
        <v>21518444</v>
      </c>
      <c r="EM13" s="9">
        <v>21518444</v>
      </c>
      <c r="EN13" s="9">
        <v>21518444</v>
      </c>
      <c r="EO13" s="31">
        <v>21518444</v>
      </c>
      <c r="EP13" s="9">
        <v>24183340</v>
      </c>
      <c r="EQ13" s="9">
        <v>24183340</v>
      </c>
      <c r="ER13" s="9">
        <v>24183340</v>
      </c>
      <c r="ES13" s="9">
        <v>24183340</v>
      </c>
      <c r="ET13" s="9">
        <v>24183340</v>
      </c>
      <c r="EU13" s="9">
        <v>24183340</v>
      </c>
      <c r="EV13" s="9">
        <v>24183340</v>
      </c>
      <c r="EW13" s="9">
        <v>24183340</v>
      </c>
      <c r="EX13" s="9">
        <v>24183340</v>
      </c>
      <c r="EY13" s="9">
        <v>24183340</v>
      </c>
      <c r="EZ13" s="9">
        <v>24183340</v>
      </c>
      <c r="FA13" s="9">
        <v>24183340</v>
      </c>
      <c r="FB13" s="31">
        <v>24183340</v>
      </c>
      <c r="FC13" s="9">
        <v>9416801</v>
      </c>
      <c r="FD13" s="9">
        <v>9416801</v>
      </c>
      <c r="FE13" s="9">
        <v>9416801</v>
      </c>
      <c r="FF13" s="9">
        <v>9416801</v>
      </c>
      <c r="FG13" s="9">
        <v>9416801</v>
      </c>
      <c r="FH13" s="9">
        <v>9416801</v>
      </c>
      <c r="FI13" s="9">
        <v>9416801</v>
      </c>
      <c r="FJ13" s="9">
        <v>9416801</v>
      </c>
      <c r="FK13" s="9">
        <v>9416801</v>
      </c>
      <c r="FL13" s="9">
        <v>9416801</v>
      </c>
      <c r="FM13" s="9">
        <v>9416801</v>
      </c>
      <c r="FN13" s="9">
        <v>9416801</v>
      </c>
      <c r="FO13" s="31">
        <v>9416801</v>
      </c>
    </row>
    <row r="14" spans="2:171" x14ac:dyDescent="0.3">
      <c r="B14" s="7" t="s">
        <v>52</v>
      </c>
      <c r="C14" s="9">
        <v>16064354</v>
      </c>
      <c r="D14" s="9">
        <v>16064354</v>
      </c>
      <c r="E14" s="9">
        <v>16064354</v>
      </c>
      <c r="F14" s="9">
        <v>16064354</v>
      </c>
      <c r="G14" s="9">
        <v>16064354</v>
      </c>
      <c r="H14" s="9">
        <v>16064354</v>
      </c>
      <c r="I14" s="9">
        <v>16064354</v>
      </c>
      <c r="J14" s="9">
        <v>16064354</v>
      </c>
      <c r="K14" s="9">
        <v>16064354</v>
      </c>
      <c r="L14" s="9">
        <v>16064354</v>
      </c>
      <c r="M14" s="9">
        <v>16064354</v>
      </c>
      <c r="N14" s="9">
        <v>16064354</v>
      </c>
      <c r="O14" s="31">
        <v>16064354</v>
      </c>
      <c r="P14" s="9">
        <v>19283793</v>
      </c>
      <c r="Q14" s="9">
        <v>19283793</v>
      </c>
      <c r="R14" s="9">
        <v>19283793</v>
      </c>
      <c r="S14" s="9">
        <v>19283793</v>
      </c>
      <c r="T14" s="9">
        <v>19283793</v>
      </c>
      <c r="U14" s="9">
        <v>19283793</v>
      </c>
      <c r="V14" s="9">
        <v>19283793</v>
      </c>
      <c r="W14" s="9">
        <v>19283793</v>
      </c>
      <c r="X14" s="9">
        <v>19283793</v>
      </c>
      <c r="Y14" s="9">
        <v>19283793</v>
      </c>
      <c r="Z14" s="9">
        <v>19283793</v>
      </c>
      <c r="AA14" s="9">
        <v>19283793</v>
      </c>
      <c r="AB14" s="31">
        <v>19283793</v>
      </c>
      <c r="AC14" s="9">
        <v>18570059</v>
      </c>
      <c r="AD14" s="9">
        <v>18570059</v>
      </c>
      <c r="AE14" s="9">
        <v>18570059</v>
      </c>
      <c r="AF14" s="9">
        <v>18570059</v>
      </c>
      <c r="AG14" s="9">
        <v>18570059</v>
      </c>
      <c r="AH14" s="9">
        <v>18570059</v>
      </c>
      <c r="AI14" s="9">
        <v>18570059</v>
      </c>
      <c r="AJ14" s="9">
        <v>18570059</v>
      </c>
      <c r="AK14" s="9">
        <v>18570059</v>
      </c>
      <c r="AL14" s="9">
        <v>18570059</v>
      </c>
      <c r="AM14" s="9">
        <v>18570059</v>
      </c>
      <c r="AN14" s="9">
        <v>18570059</v>
      </c>
      <c r="AO14" s="31">
        <v>18570059</v>
      </c>
      <c r="AP14" s="9">
        <v>27391856</v>
      </c>
      <c r="AQ14" s="9">
        <v>27391856</v>
      </c>
      <c r="AR14" s="9">
        <v>27391856</v>
      </c>
      <c r="AS14" s="9">
        <v>27391856</v>
      </c>
      <c r="AT14" s="9">
        <v>27391856</v>
      </c>
      <c r="AU14" s="9">
        <v>27391856</v>
      </c>
      <c r="AV14" s="9">
        <v>27391856</v>
      </c>
      <c r="AW14" s="9">
        <v>27391856</v>
      </c>
      <c r="AX14" s="9">
        <v>27391856</v>
      </c>
      <c r="AY14" s="9">
        <v>27391856</v>
      </c>
      <c r="AZ14" s="9">
        <v>27391856</v>
      </c>
      <c r="BA14" s="9">
        <v>27391856</v>
      </c>
      <c r="BB14" s="31">
        <v>27391856</v>
      </c>
      <c r="BC14" s="9">
        <v>16967208</v>
      </c>
      <c r="BD14" s="9">
        <v>16967208</v>
      </c>
      <c r="BE14" s="9">
        <v>16967208</v>
      </c>
      <c r="BF14" s="9">
        <v>16967208</v>
      </c>
      <c r="BG14" s="9">
        <v>16967208</v>
      </c>
      <c r="BH14" s="9">
        <v>16967208</v>
      </c>
      <c r="BI14" s="9">
        <v>16967208</v>
      </c>
      <c r="BJ14" s="9">
        <v>16967208</v>
      </c>
      <c r="BK14" s="9">
        <v>16967208</v>
      </c>
      <c r="BL14" s="9">
        <v>16967208</v>
      </c>
      <c r="BM14" s="9">
        <v>16967208</v>
      </c>
      <c r="BN14" s="9">
        <v>16967208</v>
      </c>
      <c r="BO14" s="31">
        <v>16967208</v>
      </c>
      <c r="BP14" s="9">
        <v>14997280</v>
      </c>
      <c r="BQ14" s="9">
        <v>14997280</v>
      </c>
      <c r="BR14" s="9">
        <v>14997280</v>
      </c>
      <c r="BS14" s="9">
        <v>14997280</v>
      </c>
      <c r="BT14" s="9">
        <v>14997280</v>
      </c>
      <c r="BU14" s="9">
        <v>14997280</v>
      </c>
      <c r="BV14" s="9">
        <v>14997280</v>
      </c>
      <c r="BW14" s="9">
        <v>14997280</v>
      </c>
      <c r="BX14" s="9">
        <v>14997280</v>
      </c>
      <c r="BY14" s="9">
        <v>14997280</v>
      </c>
      <c r="BZ14" s="9">
        <v>14997280</v>
      </c>
      <c r="CA14" s="9">
        <v>14997280</v>
      </c>
      <c r="CB14" s="31">
        <v>14997280</v>
      </c>
      <c r="CC14" s="9">
        <v>15408322</v>
      </c>
      <c r="CD14" s="9">
        <v>15408322</v>
      </c>
      <c r="CE14" s="9">
        <v>15408322</v>
      </c>
      <c r="CF14" s="9">
        <v>15408322</v>
      </c>
      <c r="CG14" s="9">
        <v>15408322</v>
      </c>
      <c r="CH14" s="9">
        <v>15408322</v>
      </c>
      <c r="CI14" s="9">
        <v>15408322</v>
      </c>
      <c r="CJ14" s="9">
        <v>15408322</v>
      </c>
      <c r="CK14" s="9">
        <v>15408322</v>
      </c>
      <c r="CL14" s="9">
        <v>15408322</v>
      </c>
      <c r="CM14" s="9">
        <v>15408322</v>
      </c>
      <c r="CN14" s="9">
        <v>15408322</v>
      </c>
      <c r="CO14" s="31">
        <v>15408322</v>
      </c>
      <c r="CP14" s="9">
        <v>16689514</v>
      </c>
      <c r="CQ14" s="9">
        <v>16689514</v>
      </c>
      <c r="CR14" s="9">
        <v>16689514</v>
      </c>
      <c r="CS14" s="9">
        <v>16689514</v>
      </c>
      <c r="CT14" s="9">
        <v>16689514</v>
      </c>
      <c r="CU14" s="9">
        <v>16689514</v>
      </c>
      <c r="CV14" s="9">
        <v>16689514</v>
      </c>
      <c r="CW14" s="9">
        <v>16689514</v>
      </c>
      <c r="CX14" s="9">
        <v>16689514</v>
      </c>
      <c r="CY14" s="9">
        <v>16689514</v>
      </c>
      <c r="CZ14" s="9">
        <v>16689514</v>
      </c>
      <c r="DA14" s="9">
        <v>16689514</v>
      </c>
      <c r="DB14" s="31">
        <v>16689514</v>
      </c>
      <c r="DC14" s="9">
        <v>29291800</v>
      </c>
      <c r="DD14" s="9">
        <v>29291800</v>
      </c>
      <c r="DE14" s="9">
        <v>29291800</v>
      </c>
      <c r="DF14" s="9">
        <v>29291800</v>
      </c>
      <c r="DG14" s="9">
        <v>29291800</v>
      </c>
      <c r="DH14" s="9">
        <v>29291800</v>
      </c>
      <c r="DI14" s="9">
        <v>29291800</v>
      </c>
      <c r="DJ14" s="9">
        <v>29291800</v>
      </c>
      <c r="DK14" s="9">
        <v>29291800</v>
      </c>
      <c r="DL14" s="9">
        <v>29291800</v>
      </c>
      <c r="DM14" s="9">
        <v>29291800</v>
      </c>
      <c r="DN14" s="9">
        <v>29291800</v>
      </c>
      <c r="DO14" s="31">
        <v>29291800</v>
      </c>
      <c r="DP14" s="9">
        <v>36352142</v>
      </c>
      <c r="DQ14" s="9">
        <v>36352142</v>
      </c>
      <c r="DR14" s="9">
        <v>36352142</v>
      </c>
      <c r="DS14" s="9">
        <v>36352142</v>
      </c>
      <c r="DT14" s="9">
        <v>36352142</v>
      </c>
      <c r="DU14" s="9">
        <v>36352142</v>
      </c>
      <c r="DV14" s="9">
        <v>36352142</v>
      </c>
      <c r="DW14" s="9">
        <v>36352142</v>
      </c>
      <c r="DX14" s="9">
        <v>36352142</v>
      </c>
      <c r="DY14" s="9">
        <v>36352142</v>
      </c>
      <c r="DZ14" s="9">
        <v>36352142</v>
      </c>
      <c r="EA14" s="9">
        <v>36352142</v>
      </c>
      <c r="EB14" s="31">
        <v>36352142</v>
      </c>
      <c r="EC14" s="9">
        <v>38254690</v>
      </c>
      <c r="ED14" s="9">
        <v>38254690</v>
      </c>
      <c r="EE14" s="9">
        <v>38254690</v>
      </c>
      <c r="EF14" s="9">
        <v>38254690</v>
      </c>
      <c r="EG14" s="9">
        <v>38254690</v>
      </c>
      <c r="EH14" s="9">
        <v>38254690</v>
      </c>
      <c r="EI14" s="9">
        <v>38254690</v>
      </c>
      <c r="EJ14" s="9">
        <v>38254690</v>
      </c>
      <c r="EK14" s="9">
        <v>38254690</v>
      </c>
      <c r="EL14" s="9">
        <v>38254690</v>
      </c>
      <c r="EM14" s="9">
        <v>38254690</v>
      </c>
      <c r="EN14" s="9">
        <v>38254690</v>
      </c>
      <c r="EO14" s="31">
        <v>38254690</v>
      </c>
      <c r="EP14" s="9">
        <v>27966487</v>
      </c>
      <c r="EQ14" s="9">
        <v>27966487</v>
      </c>
      <c r="ER14" s="9">
        <v>27966487</v>
      </c>
      <c r="ES14" s="9">
        <v>27966487</v>
      </c>
      <c r="ET14" s="9">
        <v>27966487</v>
      </c>
      <c r="EU14" s="9">
        <v>27966487</v>
      </c>
      <c r="EV14" s="9">
        <v>27966487</v>
      </c>
      <c r="EW14" s="9">
        <v>27966487</v>
      </c>
      <c r="EX14" s="9">
        <v>27966487</v>
      </c>
      <c r="EY14" s="9">
        <v>27966487</v>
      </c>
      <c r="EZ14" s="9">
        <v>27966487</v>
      </c>
      <c r="FA14" s="9">
        <v>27966487</v>
      </c>
      <c r="FB14" s="31">
        <v>27966487</v>
      </c>
      <c r="FC14" s="9">
        <v>30615904</v>
      </c>
      <c r="FD14" s="9">
        <v>30615904</v>
      </c>
      <c r="FE14" s="9">
        <v>30615904</v>
      </c>
      <c r="FF14" s="9">
        <v>30615904</v>
      </c>
      <c r="FG14" s="9">
        <v>30615904</v>
      </c>
      <c r="FH14" s="9">
        <v>30615904</v>
      </c>
      <c r="FI14" s="9">
        <v>30615904</v>
      </c>
      <c r="FJ14" s="9">
        <v>30615904</v>
      </c>
      <c r="FK14" s="9">
        <v>30615904</v>
      </c>
      <c r="FL14" s="9">
        <v>30615904</v>
      </c>
      <c r="FM14" s="9">
        <v>30615904</v>
      </c>
      <c r="FN14" s="9">
        <v>30615904</v>
      </c>
      <c r="FO14" s="31">
        <v>30615904</v>
      </c>
    </row>
    <row r="15" spans="2:171" x14ac:dyDescent="0.3">
      <c r="B15" s="7" t="s">
        <v>53</v>
      </c>
      <c r="C15" s="9">
        <v>18833256</v>
      </c>
      <c r="D15" s="9">
        <v>18833256</v>
      </c>
      <c r="E15" s="9">
        <v>18833256</v>
      </c>
      <c r="F15" s="9">
        <v>18833256</v>
      </c>
      <c r="G15" s="9">
        <v>18833256</v>
      </c>
      <c r="H15" s="9">
        <v>18833256</v>
      </c>
      <c r="I15" s="9">
        <v>18833256</v>
      </c>
      <c r="J15" s="9">
        <v>18833256</v>
      </c>
      <c r="K15" s="9">
        <v>18833256</v>
      </c>
      <c r="L15" s="9">
        <v>18833256</v>
      </c>
      <c r="M15" s="9">
        <v>18833256</v>
      </c>
      <c r="N15" s="9">
        <v>18833256</v>
      </c>
      <c r="O15" s="31">
        <v>18833256</v>
      </c>
      <c r="P15" s="9">
        <v>34473321</v>
      </c>
      <c r="Q15" s="9">
        <v>34473321</v>
      </c>
      <c r="R15" s="9">
        <v>34473321</v>
      </c>
      <c r="S15" s="9">
        <v>34473321</v>
      </c>
      <c r="T15" s="9">
        <v>34473321</v>
      </c>
      <c r="U15" s="9">
        <v>34473321</v>
      </c>
      <c r="V15" s="9">
        <v>34473321</v>
      </c>
      <c r="W15" s="9">
        <v>34473321</v>
      </c>
      <c r="X15" s="9">
        <v>34473321</v>
      </c>
      <c r="Y15" s="9">
        <v>34473321</v>
      </c>
      <c r="Z15" s="9">
        <v>34473321</v>
      </c>
      <c r="AA15" s="9">
        <v>34473321</v>
      </c>
      <c r="AB15" s="31">
        <v>34473321</v>
      </c>
      <c r="AC15" s="9">
        <v>32958542</v>
      </c>
      <c r="AD15" s="9">
        <v>32958542</v>
      </c>
      <c r="AE15" s="9">
        <v>32958542</v>
      </c>
      <c r="AF15" s="9">
        <v>32958542</v>
      </c>
      <c r="AG15" s="9">
        <v>32958542</v>
      </c>
      <c r="AH15" s="9">
        <v>32958542</v>
      </c>
      <c r="AI15" s="9">
        <v>32958542</v>
      </c>
      <c r="AJ15" s="9">
        <v>32958542</v>
      </c>
      <c r="AK15" s="9">
        <v>32958542</v>
      </c>
      <c r="AL15" s="9">
        <v>32958542</v>
      </c>
      <c r="AM15" s="9">
        <v>32958542</v>
      </c>
      <c r="AN15" s="9">
        <v>32958542</v>
      </c>
      <c r="AO15" s="31">
        <v>32958542</v>
      </c>
      <c r="AP15" s="9">
        <v>41283218</v>
      </c>
      <c r="AQ15" s="9">
        <v>41283218</v>
      </c>
      <c r="AR15" s="9">
        <v>41283218</v>
      </c>
      <c r="AS15" s="9">
        <v>41283218</v>
      </c>
      <c r="AT15" s="9">
        <v>41283218</v>
      </c>
      <c r="AU15" s="9">
        <v>41283218</v>
      </c>
      <c r="AV15" s="9">
        <v>41283218</v>
      </c>
      <c r="AW15" s="9">
        <v>41283218</v>
      </c>
      <c r="AX15" s="9">
        <v>41283218</v>
      </c>
      <c r="AY15" s="9">
        <v>41283218</v>
      </c>
      <c r="AZ15" s="9">
        <v>41283218</v>
      </c>
      <c r="BA15" s="9">
        <v>41283218</v>
      </c>
      <c r="BB15" s="31">
        <v>41283218</v>
      </c>
      <c r="BC15" s="9">
        <v>30569054</v>
      </c>
      <c r="BD15" s="9">
        <v>30569054</v>
      </c>
      <c r="BE15" s="9">
        <v>30569054</v>
      </c>
      <c r="BF15" s="9">
        <v>30569054</v>
      </c>
      <c r="BG15" s="9">
        <v>30569054</v>
      </c>
      <c r="BH15" s="9">
        <v>30569054</v>
      </c>
      <c r="BI15" s="9">
        <v>30569054</v>
      </c>
      <c r="BJ15" s="9">
        <v>30569054</v>
      </c>
      <c r="BK15" s="9">
        <v>30569054</v>
      </c>
      <c r="BL15" s="9">
        <v>30569054</v>
      </c>
      <c r="BM15" s="9">
        <v>30569054</v>
      </c>
      <c r="BN15" s="9">
        <v>30569054</v>
      </c>
      <c r="BO15" s="31">
        <v>30569054</v>
      </c>
      <c r="BP15" s="9">
        <v>28738435</v>
      </c>
      <c r="BQ15" s="9">
        <v>28738435</v>
      </c>
      <c r="BR15" s="9">
        <v>28738435</v>
      </c>
      <c r="BS15" s="9">
        <v>28738435</v>
      </c>
      <c r="BT15" s="9">
        <v>28738435</v>
      </c>
      <c r="BU15" s="9">
        <v>28738435</v>
      </c>
      <c r="BV15" s="9">
        <v>28738435</v>
      </c>
      <c r="BW15" s="9">
        <v>28738435</v>
      </c>
      <c r="BX15" s="9">
        <v>28738435</v>
      </c>
      <c r="BY15" s="9">
        <v>28738435</v>
      </c>
      <c r="BZ15" s="9">
        <v>28738435</v>
      </c>
      <c r="CA15" s="9">
        <v>28738435</v>
      </c>
      <c r="CB15" s="31">
        <v>28738435</v>
      </c>
      <c r="CC15" s="9">
        <v>33362165</v>
      </c>
      <c r="CD15" s="9">
        <v>33362165</v>
      </c>
      <c r="CE15" s="9">
        <v>33362165</v>
      </c>
      <c r="CF15" s="9">
        <v>33362165</v>
      </c>
      <c r="CG15" s="9">
        <v>33362165</v>
      </c>
      <c r="CH15" s="9">
        <v>33362165</v>
      </c>
      <c r="CI15" s="9">
        <v>33362165</v>
      </c>
      <c r="CJ15" s="9">
        <v>33362165</v>
      </c>
      <c r="CK15" s="9">
        <v>33362165</v>
      </c>
      <c r="CL15" s="9">
        <v>33362165</v>
      </c>
      <c r="CM15" s="9">
        <v>33362165</v>
      </c>
      <c r="CN15" s="9">
        <v>33362165</v>
      </c>
      <c r="CO15" s="31">
        <v>33362165</v>
      </c>
      <c r="CP15" s="9">
        <v>53755591</v>
      </c>
      <c r="CQ15" s="9">
        <v>53755591</v>
      </c>
      <c r="CR15" s="9">
        <v>53755591</v>
      </c>
      <c r="CS15" s="9">
        <v>53755591</v>
      </c>
      <c r="CT15" s="9">
        <v>53755591</v>
      </c>
      <c r="CU15" s="9">
        <v>53755591</v>
      </c>
      <c r="CV15" s="9">
        <v>53755591</v>
      </c>
      <c r="CW15" s="9">
        <v>53755591</v>
      </c>
      <c r="CX15" s="9">
        <v>53755591</v>
      </c>
      <c r="CY15" s="9">
        <v>53755591</v>
      </c>
      <c r="CZ15" s="9">
        <v>53755591</v>
      </c>
      <c r="DA15" s="9">
        <v>53755591</v>
      </c>
      <c r="DB15" s="31">
        <v>53755591</v>
      </c>
      <c r="DC15" s="9">
        <v>43170852</v>
      </c>
      <c r="DD15" s="9">
        <v>43170852</v>
      </c>
      <c r="DE15" s="9">
        <v>43170852</v>
      </c>
      <c r="DF15" s="9">
        <v>43170852</v>
      </c>
      <c r="DG15" s="9">
        <v>43170852</v>
      </c>
      <c r="DH15" s="9">
        <v>43170852</v>
      </c>
      <c r="DI15" s="9">
        <v>43170852</v>
      </c>
      <c r="DJ15" s="9">
        <v>43170852</v>
      </c>
      <c r="DK15" s="9">
        <v>43170852</v>
      </c>
      <c r="DL15" s="9">
        <v>43170852</v>
      </c>
      <c r="DM15" s="9">
        <v>43170852</v>
      </c>
      <c r="DN15" s="9">
        <v>43170852</v>
      </c>
      <c r="DO15" s="31">
        <v>43170852</v>
      </c>
      <c r="DP15" s="9">
        <v>40478579</v>
      </c>
      <c r="DQ15" s="9">
        <v>40478579</v>
      </c>
      <c r="DR15" s="9">
        <v>40478579</v>
      </c>
      <c r="DS15" s="9">
        <v>40478579</v>
      </c>
      <c r="DT15" s="9">
        <v>40478579</v>
      </c>
      <c r="DU15" s="9">
        <v>40478579</v>
      </c>
      <c r="DV15" s="9">
        <v>40478579</v>
      </c>
      <c r="DW15" s="9">
        <v>40478579</v>
      </c>
      <c r="DX15" s="9">
        <v>40478579</v>
      </c>
      <c r="DY15" s="9">
        <v>40478579</v>
      </c>
      <c r="DZ15" s="9">
        <v>40478579</v>
      </c>
      <c r="EA15" s="9">
        <v>40478579</v>
      </c>
      <c r="EB15" s="31">
        <v>40478579</v>
      </c>
      <c r="EC15" s="9">
        <v>44262543</v>
      </c>
      <c r="ED15" s="9">
        <v>44262543</v>
      </c>
      <c r="EE15" s="9">
        <v>44262543</v>
      </c>
      <c r="EF15" s="9">
        <v>44262543</v>
      </c>
      <c r="EG15" s="9">
        <v>44262543</v>
      </c>
      <c r="EH15" s="9">
        <v>44262543</v>
      </c>
      <c r="EI15" s="9">
        <v>44262543</v>
      </c>
      <c r="EJ15" s="9">
        <v>44262543</v>
      </c>
      <c r="EK15" s="9">
        <v>44262543</v>
      </c>
      <c r="EL15" s="9">
        <v>44262543</v>
      </c>
      <c r="EM15" s="9">
        <v>44262543</v>
      </c>
      <c r="EN15" s="9">
        <v>44262543</v>
      </c>
      <c r="EO15" s="31">
        <v>44262543</v>
      </c>
      <c r="EP15" s="9">
        <v>42009797</v>
      </c>
      <c r="EQ15" s="9">
        <v>42009797</v>
      </c>
      <c r="ER15" s="9">
        <v>42009797</v>
      </c>
      <c r="ES15" s="9">
        <v>42009797</v>
      </c>
      <c r="ET15" s="9">
        <v>42009797</v>
      </c>
      <c r="EU15" s="9">
        <v>42009797</v>
      </c>
      <c r="EV15" s="9">
        <v>42009797</v>
      </c>
      <c r="EW15" s="9">
        <v>42009797</v>
      </c>
      <c r="EX15" s="9">
        <v>42009797</v>
      </c>
      <c r="EY15" s="9">
        <v>42009797</v>
      </c>
      <c r="EZ15" s="9">
        <v>42009797</v>
      </c>
      <c r="FA15" s="9">
        <v>42009797</v>
      </c>
      <c r="FB15" s="31">
        <v>42009797</v>
      </c>
      <c r="FC15" s="9">
        <v>36533880</v>
      </c>
      <c r="FD15" s="9">
        <v>36533880</v>
      </c>
      <c r="FE15" s="9">
        <v>36533880</v>
      </c>
      <c r="FF15" s="9">
        <v>36533880</v>
      </c>
      <c r="FG15" s="9">
        <v>36533880</v>
      </c>
      <c r="FH15" s="9">
        <v>36533880</v>
      </c>
      <c r="FI15" s="9">
        <v>36533880</v>
      </c>
      <c r="FJ15" s="9">
        <v>36533880</v>
      </c>
      <c r="FK15" s="9">
        <v>36533880</v>
      </c>
      <c r="FL15" s="9">
        <v>36533880</v>
      </c>
      <c r="FM15" s="9">
        <v>36533880</v>
      </c>
      <c r="FN15" s="9">
        <v>36533880</v>
      </c>
      <c r="FO15" s="31">
        <v>36533880</v>
      </c>
    </row>
    <row r="16" spans="2:171" x14ac:dyDescent="0.3">
      <c r="B16" s="7" t="s">
        <v>54</v>
      </c>
      <c r="C16" s="9">
        <v>58929368</v>
      </c>
      <c r="D16" s="9">
        <v>58929368</v>
      </c>
      <c r="E16" s="9">
        <v>58929368</v>
      </c>
      <c r="F16" s="9">
        <v>58929368</v>
      </c>
      <c r="G16" s="9">
        <v>58929368</v>
      </c>
      <c r="H16" s="9">
        <v>58929368</v>
      </c>
      <c r="I16" s="9">
        <v>58929368</v>
      </c>
      <c r="J16" s="9">
        <v>58929368</v>
      </c>
      <c r="K16" s="9">
        <v>58929368</v>
      </c>
      <c r="L16" s="9">
        <v>58929368</v>
      </c>
      <c r="M16" s="9">
        <v>58929368</v>
      </c>
      <c r="N16" s="9">
        <v>58929368</v>
      </c>
      <c r="O16" s="31">
        <v>58929368</v>
      </c>
      <c r="P16" s="9">
        <v>63938761</v>
      </c>
      <c r="Q16" s="9">
        <v>63938761</v>
      </c>
      <c r="R16" s="9">
        <v>63938761</v>
      </c>
      <c r="S16" s="9">
        <v>63938761</v>
      </c>
      <c r="T16" s="9">
        <v>63938761</v>
      </c>
      <c r="U16" s="9">
        <v>63938761</v>
      </c>
      <c r="V16" s="9">
        <v>63938761</v>
      </c>
      <c r="W16" s="9">
        <v>63938761</v>
      </c>
      <c r="X16" s="9">
        <v>63938761</v>
      </c>
      <c r="Y16" s="9">
        <v>63938761</v>
      </c>
      <c r="Z16" s="9">
        <v>63938761</v>
      </c>
      <c r="AA16" s="9">
        <v>63938761</v>
      </c>
      <c r="AB16" s="31">
        <v>63938761</v>
      </c>
      <c r="AC16" s="9">
        <v>60602895</v>
      </c>
      <c r="AD16" s="9">
        <v>60602895</v>
      </c>
      <c r="AE16" s="9">
        <v>60602895</v>
      </c>
      <c r="AF16" s="9">
        <v>60602895</v>
      </c>
      <c r="AG16" s="9">
        <v>60602895</v>
      </c>
      <c r="AH16" s="9">
        <v>60602895</v>
      </c>
      <c r="AI16" s="9">
        <v>60602895</v>
      </c>
      <c r="AJ16" s="9">
        <v>60602895</v>
      </c>
      <c r="AK16" s="9">
        <v>60602895</v>
      </c>
      <c r="AL16" s="9">
        <v>60602895</v>
      </c>
      <c r="AM16" s="9">
        <v>60602895</v>
      </c>
      <c r="AN16" s="9">
        <v>60602895</v>
      </c>
      <c r="AO16" s="31">
        <v>60602895</v>
      </c>
      <c r="AP16" s="9">
        <v>56615435</v>
      </c>
      <c r="AQ16" s="9">
        <v>56615435</v>
      </c>
      <c r="AR16" s="9">
        <v>56615435</v>
      </c>
      <c r="AS16" s="9">
        <v>56615435</v>
      </c>
      <c r="AT16" s="9">
        <v>56615435</v>
      </c>
      <c r="AU16" s="9">
        <v>56615435</v>
      </c>
      <c r="AV16" s="9">
        <v>56615435</v>
      </c>
      <c r="AW16" s="9">
        <v>56615435</v>
      </c>
      <c r="AX16" s="9">
        <v>56615435</v>
      </c>
      <c r="AY16" s="9">
        <v>56615435</v>
      </c>
      <c r="AZ16" s="9">
        <v>56615435</v>
      </c>
      <c r="BA16" s="9">
        <v>56615435</v>
      </c>
      <c r="BB16" s="31">
        <v>56615435</v>
      </c>
      <c r="BC16" s="9">
        <v>45393646</v>
      </c>
      <c r="BD16" s="9">
        <v>45393646</v>
      </c>
      <c r="BE16" s="9">
        <v>45393646</v>
      </c>
      <c r="BF16" s="9">
        <v>45393646</v>
      </c>
      <c r="BG16" s="9">
        <v>45393646</v>
      </c>
      <c r="BH16" s="9">
        <v>45393646</v>
      </c>
      <c r="BI16" s="9">
        <v>45393646</v>
      </c>
      <c r="BJ16" s="9">
        <v>45393646</v>
      </c>
      <c r="BK16" s="9">
        <v>45393646</v>
      </c>
      <c r="BL16" s="9">
        <v>45393646</v>
      </c>
      <c r="BM16" s="9">
        <v>45393646</v>
      </c>
      <c r="BN16" s="9">
        <v>45393646</v>
      </c>
      <c r="BO16" s="31">
        <v>45393646</v>
      </c>
      <c r="BP16" s="9">
        <v>50282027</v>
      </c>
      <c r="BQ16" s="9">
        <v>50282027</v>
      </c>
      <c r="BR16" s="9">
        <v>50282027</v>
      </c>
      <c r="BS16" s="9">
        <v>50282027</v>
      </c>
      <c r="BT16" s="9">
        <v>50282027</v>
      </c>
      <c r="BU16" s="9">
        <v>50282027</v>
      </c>
      <c r="BV16" s="9">
        <v>50282027</v>
      </c>
      <c r="BW16" s="9">
        <v>50282027</v>
      </c>
      <c r="BX16" s="9">
        <v>50282027</v>
      </c>
      <c r="BY16" s="9">
        <v>50282027</v>
      </c>
      <c r="BZ16" s="9">
        <v>50282027</v>
      </c>
      <c r="CA16" s="9">
        <v>50282027</v>
      </c>
      <c r="CB16" s="31">
        <v>50282027</v>
      </c>
      <c r="CC16" s="9">
        <v>68935312</v>
      </c>
      <c r="CD16" s="9">
        <v>68935312</v>
      </c>
      <c r="CE16" s="9">
        <v>68935312</v>
      </c>
      <c r="CF16" s="9">
        <v>68935312</v>
      </c>
      <c r="CG16" s="9">
        <v>68935312</v>
      </c>
      <c r="CH16" s="9">
        <v>68935312</v>
      </c>
      <c r="CI16" s="9">
        <v>68935312</v>
      </c>
      <c r="CJ16" s="9">
        <v>68935312</v>
      </c>
      <c r="CK16" s="9">
        <v>68935312</v>
      </c>
      <c r="CL16" s="9">
        <v>68935312</v>
      </c>
      <c r="CM16" s="9">
        <v>68935312</v>
      </c>
      <c r="CN16" s="9">
        <v>68935312</v>
      </c>
      <c r="CO16" s="31">
        <v>68935312</v>
      </c>
      <c r="CP16" s="9">
        <v>75469606</v>
      </c>
      <c r="CQ16" s="9">
        <v>75469606</v>
      </c>
      <c r="CR16" s="9">
        <v>75469606</v>
      </c>
      <c r="CS16" s="9">
        <v>75469606</v>
      </c>
      <c r="CT16" s="9">
        <v>75469606</v>
      </c>
      <c r="CU16" s="9">
        <v>75469606</v>
      </c>
      <c r="CV16" s="9">
        <v>75469606</v>
      </c>
      <c r="CW16" s="9">
        <v>75469606</v>
      </c>
      <c r="CX16" s="9">
        <v>75469606</v>
      </c>
      <c r="CY16" s="9">
        <v>75469606</v>
      </c>
      <c r="CZ16" s="9">
        <v>75469606</v>
      </c>
      <c r="DA16" s="9">
        <v>75469606</v>
      </c>
      <c r="DB16" s="31">
        <v>75469606</v>
      </c>
      <c r="DC16" s="9">
        <v>100098472</v>
      </c>
      <c r="DD16" s="9">
        <v>100098472</v>
      </c>
      <c r="DE16" s="9">
        <v>100098472</v>
      </c>
      <c r="DF16" s="9">
        <v>100098472</v>
      </c>
      <c r="DG16" s="9">
        <v>100098472</v>
      </c>
      <c r="DH16" s="9">
        <v>100098472</v>
      </c>
      <c r="DI16" s="9">
        <v>100098472</v>
      </c>
      <c r="DJ16" s="9">
        <v>100098472</v>
      </c>
      <c r="DK16" s="9">
        <v>100098472</v>
      </c>
      <c r="DL16" s="9">
        <v>100098472</v>
      </c>
      <c r="DM16" s="9">
        <v>100098472</v>
      </c>
      <c r="DN16" s="9">
        <v>100098472</v>
      </c>
      <c r="DO16" s="31">
        <v>100098472</v>
      </c>
      <c r="DP16" s="9">
        <v>105488522</v>
      </c>
      <c r="DQ16" s="9">
        <v>105488522</v>
      </c>
      <c r="DR16" s="9">
        <v>105488522</v>
      </c>
      <c r="DS16" s="9">
        <v>105488522</v>
      </c>
      <c r="DT16" s="9">
        <v>105488522</v>
      </c>
      <c r="DU16" s="9">
        <v>105488522</v>
      </c>
      <c r="DV16" s="9">
        <v>105488522</v>
      </c>
      <c r="DW16" s="9">
        <v>105488522</v>
      </c>
      <c r="DX16" s="9">
        <v>105488522</v>
      </c>
      <c r="DY16" s="9">
        <v>105488522</v>
      </c>
      <c r="DZ16" s="9">
        <v>105488522</v>
      </c>
      <c r="EA16" s="9">
        <v>105488522</v>
      </c>
      <c r="EB16" s="31">
        <v>105488522</v>
      </c>
      <c r="EC16" s="9">
        <v>87253576</v>
      </c>
      <c r="ED16" s="9">
        <v>87253576</v>
      </c>
      <c r="EE16" s="9">
        <v>87253576</v>
      </c>
      <c r="EF16" s="9">
        <v>87253576</v>
      </c>
      <c r="EG16" s="9">
        <v>87253576</v>
      </c>
      <c r="EH16" s="9">
        <v>87253576</v>
      </c>
      <c r="EI16" s="9">
        <v>87253576</v>
      </c>
      <c r="EJ16" s="9">
        <v>87253576</v>
      </c>
      <c r="EK16" s="9">
        <v>87253576</v>
      </c>
      <c r="EL16" s="9">
        <v>87253576</v>
      </c>
      <c r="EM16" s="9">
        <v>87253576</v>
      </c>
      <c r="EN16" s="9">
        <v>87253576</v>
      </c>
      <c r="EO16" s="31">
        <v>87253576</v>
      </c>
      <c r="EP16" s="9">
        <v>74587862</v>
      </c>
      <c r="EQ16" s="9">
        <v>74587862</v>
      </c>
      <c r="ER16" s="9">
        <v>74587862</v>
      </c>
      <c r="ES16" s="9">
        <v>74587862</v>
      </c>
      <c r="ET16" s="9">
        <v>74587862</v>
      </c>
      <c r="EU16" s="9">
        <v>74587862</v>
      </c>
      <c r="EV16" s="9">
        <v>74587862</v>
      </c>
      <c r="EW16" s="9">
        <v>74587862</v>
      </c>
      <c r="EX16" s="9">
        <v>74587862</v>
      </c>
      <c r="EY16" s="9">
        <v>74587862</v>
      </c>
      <c r="EZ16" s="9">
        <v>74587862</v>
      </c>
      <c r="FA16" s="9">
        <v>74587862</v>
      </c>
      <c r="FB16" s="31">
        <v>74587862</v>
      </c>
      <c r="FC16" s="9">
        <v>90590002</v>
      </c>
      <c r="FD16" s="9">
        <v>90590002</v>
      </c>
      <c r="FE16" s="9">
        <v>90590002</v>
      </c>
      <c r="FF16" s="9">
        <v>90590002</v>
      </c>
      <c r="FG16" s="9">
        <v>90590002</v>
      </c>
      <c r="FH16" s="9">
        <v>90590002</v>
      </c>
      <c r="FI16" s="9">
        <v>90590002</v>
      </c>
      <c r="FJ16" s="9">
        <v>90590002</v>
      </c>
      <c r="FK16" s="9">
        <v>90590002</v>
      </c>
      <c r="FL16" s="9">
        <v>90590002</v>
      </c>
      <c r="FM16" s="9">
        <v>90590002</v>
      </c>
      <c r="FN16" s="9">
        <v>90590002</v>
      </c>
      <c r="FO16" s="31">
        <v>90590002</v>
      </c>
    </row>
    <row r="17" spans="2:171" x14ac:dyDescent="0.3">
      <c r="B17" s="7" t="s">
        <v>55</v>
      </c>
      <c r="C17" s="9">
        <v>26277535</v>
      </c>
      <c r="D17" s="9">
        <v>26277535</v>
      </c>
      <c r="E17" s="9">
        <v>26277535</v>
      </c>
      <c r="F17" s="9">
        <v>26277535</v>
      </c>
      <c r="G17" s="9">
        <v>26277535</v>
      </c>
      <c r="H17" s="9">
        <v>26277535</v>
      </c>
      <c r="I17" s="9">
        <v>26277535</v>
      </c>
      <c r="J17" s="9">
        <v>26277535</v>
      </c>
      <c r="K17" s="9">
        <v>26277535</v>
      </c>
      <c r="L17" s="9">
        <v>26277535</v>
      </c>
      <c r="M17" s="9">
        <v>26277535</v>
      </c>
      <c r="N17" s="9">
        <v>26277535</v>
      </c>
      <c r="O17" s="31">
        <v>26277535</v>
      </c>
      <c r="P17" s="9">
        <v>18864208</v>
      </c>
      <c r="Q17" s="9">
        <v>18864208</v>
      </c>
      <c r="R17" s="9">
        <v>18864208</v>
      </c>
      <c r="S17" s="9">
        <v>18864208</v>
      </c>
      <c r="T17" s="9">
        <v>18864208</v>
      </c>
      <c r="U17" s="9">
        <v>18864208</v>
      </c>
      <c r="V17" s="9">
        <v>18864208</v>
      </c>
      <c r="W17" s="9">
        <v>18864208</v>
      </c>
      <c r="X17" s="9">
        <v>18864208</v>
      </c>
      <c r="Y17" s="9">
        <v>18864208</v>
      </c>
      <c r="Z17" s="9">
        <v>18864208</v>
      </c>
      <c r="AA17" s="9">
        <v>18864208</v>
      </c>
      <c r="AB17" s="31">
        <v>18864208</v>
      </c>
      <c r="AC17" s="9">
        <v>16417514</v>
      </c>
      <c r="AD17" s="9">
        <v>16417514</v>
      </c>
      <c r="AE17" s="9">
        <v>16417514</v>
      </c>
      <c r="AF17" s="9">
        <v>16417514</v>
      </c>
      <c r="AG17" s="9">
        <v>16417514</v>
      </c>
      <c r="AH17" s="9">
        <v>16417514</v>
      </c>
      <c r="AI17" s="9">
        <v>16417514</v>
      </c>
      <c r="AJ17" s="9">
        <v>16417514</v>
      </c>
      <c r="AK17" s="9">
        <v>16417514</v>
      </c>
      <c r="AL17" s="9">
        <v>16417514</v>
      </c>
      <c r="AM17" s="9">
        <v>16417514</v>
      </c>
      <c r="AN17" s="9">
        <v>16417514</v>
      </c>
      <c r="AO17" s="31">
        <v>16417514</v>
      </c>
      <c r="AP17" s="9">
        <v>7822380</v>
      </c>
      <c r="AQ17" s="9">
        <v>7822380</v>
      </c>
      <c r="AR17" s="9">
        <v>7822380</v>
      </c>
      <c r="AS17" s="9">
        <v>7822380</v>
      </c>
      <c r="AT17" s="9">
        <v>7822380</v>
      </c>
      <c r="AU17" s="9">
        <v>7822380</v>
      </c>
      <c r="AV17" s="9">
        <v>7822380</v>
      </c>
      <c r="AW17" s="9">
        <v>7822380</v>
      </c>
      <c r="AX17" s="9">
        <v>7822380</v>
      </c>
      <c r="AY17" s="9">
        <v>7822380</v>
      </c>
      <c r="AZ17" s="9">
        <v>7822380</v>
      </c>
      <c r="BA17" s="9">
        <v>7822380</v>
      </c>
      <c r="BB17" s="31">
        <v>7822380</v>
      </c>
      <c r="BC17" s="9">
        <v>14195819</v>
      </c>
      <c r="BD17" s="9">
        <v>14195819</v>
      </c>
      <c r="BE17" s="9">
        <v>14195819</v>
      </c>
      <c r="BF17" s="9">
        <v>14195819</v>
      </c>
      <c r="BG17" s="9">
        <v>14195819</v>
      </c>
      <c r="BH17" s="9">
        <v>14195819</v>
      </c>
      <c r="BI17" s="9">
        <v>14195819</v>
      </c>
      <c r="BJ17" s="9">
        <v>14195819</v>
      </c>
      <c r="BK17" s="9">
        <v>14195819</v>
      </c>
      <c r="BL17" s="9">
        <v>14195819</v>
      </c>
      <c r="BM17" s="9">
        <v>14195819</v>
      </c>
      <c r="BN17" s="9">
        <v>14195819</v>
      </c>
      <c r="BO17" s="31">
        <v>14195819</v>
      </c>
      <c r="BP17" s="9">
        <v>10934837</v>
      </c>
      <c r="BQ17" s="9">
        <v>10934837</v>
      </c>
      <c r="BR17" s="9">
        <v>10934837</v>
      </c>
      <c r="BS17" s="9">
        <v>10934837</v>
      </c>
      <c r="BT17" s="9">
        <v>10934837</v>
      </c>
      <c r="BU17" s="9">
        <v>10934837</v>
      </c>
      <c r="BV17" s="9">
        <v>10934837</v>
      </c>
      <c r="BW17" s="9">
        <v>10934837</v>
      </c>
      <c r="BX17" s="9">
        <v>10934837</v>
      </c>
      <c r="BY17" s="9">
        <v>10934837</v>
      </c>
      <c r="BZ17" s="9">
        <v>10934837</v>
      </c>
      <c r="CA17" s="9">
        <v>10934837</v>
      </c>
      <c r="CB17" s="31">
        <v>10934837</v>
      </c>
      <c r="CC17" s="9">
        <v>12638831</v>
      </c>
      <c r="CD17" s="9">
        <v>12638831</v>
      </c>
      <c r="CE17" s="9">
        <v>12638831</v>
      </c>
      <c r="CF17" s="9">
        <v>12638831</v>
      </c>
      <c r="CG17" s="9">
        <v>12638831</v>
      </c>
      <c r="CH17" s="9">
        <v>12638831</v>
      </c>
      <c r="CI17" s="9">
        <v>12638831</v>
      </c>
      <c r="CJ17" s="9">
        <v>12638831</v>
      </c>
      <c r="CK17" s="9">
        <v>12638831</v>
      </c>
      <c r="CL17" s="9">
        <v>12638831</v>
      </c>
      <c r="CM17" s="9">
        <v>12638831</v>
      </c>
      <c r="CN17" s="9">
        <v>12638831</v>
      </c>
      <c r="CO17" s="31">
        <v>12638831</v>
      </c>
      <c r="CP17" s="9">
        <v>9595472</v>
      </c>
      <c r="CQ17" s="9">
        <v>9595472</v>
      </c>
      <c r="CR17" s="9">
        <v>9595472</v>
      </c>
      <c r="CS17" s="9">
        <v>9595472</v>
      </c>
      <c r="CT17" s="9">
        <v>9595472</v>
      </c>
      <c r="CU17" s="9">
        <v>9595472</v>
      </c>
      <c r="CV17" s="9">
        <v>9595472</v>
      </c>
      <c r="CW17" s="9">
        <v>9595472</v>
      </c>
      <c r="CX17" s="9">
        <v>9595472</v>
      </c>
      <c r="CY17" s="9">
        <v>9595472</v>
      </c>
      <c r="CZ17" s="9">
        <v>9595472</v>
      </c>
      <c r="DA17" s="9">
        <v>9595472</v>
      </c>
      <c r="DB17" s="31">
        <v>9595472</v>
      </c>
      <c r="DC17" s="9">
        <v>11870060</v>
      </c>
      <c r="DD17" s="9">
        <v>11870060</v>
      </c>
      <c r="DE17" s="9">
        <v>11870060</v>
      </c>
      <c r="DF17" s="9">
        <v>11870060</v>
      </c>
      <c r="DG17" s="9">
        <v>11870060</v>
      </c>
      <c r="DH17" s="9">
        <v>11870060</v>
      </c>
      <c r="DI17" s="9">
        <v>11870060</v>
      </c>
      <c r="DJ17" s="9">
        <v>11870060</v>
      </c>
      <c r="DK17" s="9">
        <v>11870060</v>
      </c>
      <c r="DL17" s="9">
        <v>11870060</v>
      </c>
      <c r="DM17" s="9">
        <v>11870060</v>
      </c>
      <c r="DN17" s="9">
        <v>11870060</v>
      </c>
      <c r="DO17" s="31">
        <v>11870060</v>
      </c>
      <c r="DP17" s="9">
        <v>16473882</v>
      </c>
      <c r="DQ17" s="9">
        <v>16473882</v>
      </c>
      <c r="DR17" s="9">
        <v>16473882</v>
      </c>
      <c r="DS17" s="9">
        <v>16473882</v>
      </c>
      <c r="DT17" s="9">
        <v>16473882</v>
      </c>
      <c r="DU17" s="9">
        <v>16473882</v>
      </c>
      <c r="DV17" s="9">
        <v>16473882</v>
      </c>
      <c r="DW17" s="9">
        <v>16473882</v>
      </c>
      <c r="DX17" s="9">
        <v>16473882</v>
      </c>
      <c r="DY17" s="9">
        <v>16473882</v>
      </c>
      <c r="DZ17" s="9">
        <v>16473882</v>
      </c>
      <c r="EA17" s="9">
        <v>16473882</v>
      </c>
      <c r="EB17" s="31">
        <v>16473882</v>
      </c>
      <c r="EC17" s="9">
        <v>16690085</v>
      </c>
      <c r="ED17" s="9">
        <v>16690085</v>
      </c>
      <c r="EE17" s="9">
        <v>16690085</v>
      </c>
      <c r="EF17" s="9">
        <v>16690085</v>
      </c>
      <c r="EG17" s="9">
        <v>16690085</v>
      </c>
      <c r="EH17" s="9">
        <v>16690085</v>
      </c>
      <c r="EI17" s="9">
        <v>16690085</v>
      </c>
      <c r="EJ17" s="9">
        <v>16690085</v>
      </c>
      <c r="EK17" s="9">
        <v>16690085</v>
      </c>
      <c r="EL17" s="9">
        <v>16690085</v>
      </c>
      <c r="EM17" s="9">
        <v>16690085</v>
      </c>
      <c r="EN17" s="9">
        <v>16690085</v>
      </c>
      <c r="EO17" s="31">
        <v>16690085</v>
      </c>
      <c r="EP17" s="9">
        <v>17865780</v>
      </c>
      <c r="EQ17" s="9">
        <v>17865780</v>
      </c>
      <c r="ER17" s="9">
        <v>17865780</v>
      </c>
      <c r="ES17" s="9">
        <v>17865780</v>
      </c>
      <c r="ET17" s="9">
        <v>17865780</v>
      </c>
      <c r="EU17" s="9">
        <v>17865780</v>
      </c>
      <c r="EV17" s="9">
        <v>17865780</v>
      </c>
      <c r="EW17" s="9">
        <v>17865780</v>
      </c>
      <c r="EX17" s="9">
        <v>17865780</v>
      </c>
      <c r="EY17" s="9">
        <v>17865780</v>
      </c>
      <c r="EZ17" s="9">
        <v>17865780</v>
      </c>
      <c r="FA17" s="9">
        <v>17865780</v>
      </c>
      <c r="FB17" s="31">
        <v>17865780</v>
      </c>
      <c r="FC17" s="9">
        <v>14196992</v>
      </c>
      <c r="FD17" s="9">
        <v>14196992</v>
      </c>
      <c r="FE17" s="9">
        <v>14196992</v>
      </c>
      <c r="FF17" s="9">
        <v>14196992</v>
      </c>
      <c r="FG17" s="9">
        <v>14196992</v>
      </c>
      <c r="FH17" s="9">
        <v>14196992</v>
      </c>
      <c r="FI17" s="9">
        <v>14196992</v>
      </c>
      <c r="FJ17" s="9">
        <v>14196992</v>
      </c>
      <c r="FK17" s="9">
        <v>14196992</v>
      </c>
      <c r="FL17" s="9">
        <v>14196992</v>
      </c>
      <c r="FM17" s="9">
        <v>14196992</v>
      </c>
      <c r="FN17" s="9">
        <v>14196992</v>
      </c>
      <c r="FO17" s="31">
        <v>14196992</v>
      </c>
    </row>
    <row r="18" spans="2:171" x14ac:dyDescent="0.3">
      <c r="B18" s="7" t="s">
        <v>56</v>
      </c>
      <c r="C18" s="9">
        <v>18959297</v>
      </c>
      <c r="D18" s="9">
        <v>18959297</v>
      </c>
      <c r="E18" s="9">
        <v>18959297</v>
      </c>
      <c r="F18" s="9">
        <v>18959297</v>
      </c>
      <c r="G18" s="9">
        <v>18959297</v>
      </c>
      <c r="H18" s="9">
        <v>18959297</v>
      </c>
      <c r="I18" s="9">
        <v>18959297</v>
      </c>
      <c r="J18" s="9">
        <v>18959297</v>
      </c>
      <c r="K18" s="9">
        <v>18959297</v>
      </c>
      <c r="L18" s="9">
        <v>18959297</v>
      </c>
      <c r="M18" s="9">
        <v>18959297</v>
      </c>
      <c r="N18" s="9">
        <v>18959297</v>
      </c>
      <c r="O18" s="31">
        <v>18959297</v>
      </c>
      <c r="P18" s="9">
        <v>28078883</v>
      </c>
      <c r="Q18" s="9">
        <v>28078883</v>
      </c>
      <c r="R18" s="9">
        <v>28078883</v>
      </c>
      <c r="S18" s="9">
        <v>28078883</v>
      </c>
      <c r="T18" s="9">
        <v>28078883</v>
      </c>
      <c r="U18" s="9">
        <v>28078883</v>
      </c>
      <c r="V18" s="9">
        <v>28078883</v>
      </c>
      <c r="W18" s="9">
        <v>28078883</v>
      </c>
      <c r="X18" s="9">
        <v>28078883</v>
      </c>
      <c r="Y18" s="9">
        <v>28078883</v>
      </c>
      <c r="Z18" s="9">
        <v>28078883</v>
      </c>
      <c r="AA18" s="9">
        <v>28078883</v>
      </c>
      <c r="AB18" s="31">
        <v>28078883</v>
      </c>
      <c r="AC18" s="9">
        <v>27091258</v>
      </c>
      <c r="AD18" s="9">
        <v>27091258</v>
      </c>
      <c r="AE18" s="9">
        <v>27091258</v>
      </c>
      <c r="AF18" s="9">
        <v>27091258</v>
      </c>
      <c r="AG18" s="9">
        <v>27091258</v>
      </c>
      <c r="AH18" s="9">
        <v>27091258</v>
      </c>
      <c r="AI18" s="9">
        <v>27091258</v>
      </c>
      <c r="AJ18" s="9">
        <v>27091258</v>
      </c>
      <c r="AK18" s="9">
        <v>27091258</v>
      </c>
      <c r="AL18" s="9">
        <v>27091258</v>
      </c>
      <c r="AM18" s="9">
        <v>27091258</v>
      </c>
      <c r="AN18" s="9">
        <v>27091258</v>
      </c>
      <c r="AO18" s="31">
        <v>27091258</v>
      </c>
      <c r="AP18" s="9">
        <v>41060039</v>
      </c>
      <c r="AQ18" s="9">
        <v>41060039</v>
      </c>
      <c r="AR18" s="9">
        <v>41060039</v>
      </c>
      <c r="AS18" s="9">
        <v>41060039</v>
      </c>
      <c r="AT18" s="9">
        <v>41060039</v>
      </c>
      <c r="AU18" s="9">
        <v>41060039</v>
      </c>
      <c r="AV18" s="9">
        <v>41060039</v>
      </c>
      <c r="AW18" s="9">
        <v>41060039</v>
      </c>
      <c r="AX18" s="9">
        <v>41060039</v>
      </c>
      <c r="AY18" s="9">
        <v>41060039</v>
      </c>
      <c r="AZ18" s="9">
        <v>41060039</v>
      </c>
      <c r="BA18" s="9">
        <v>41060039</v>
      </c>
      <c r="BB18" s="31">
        <v>41060039</v>
      </c>
      <c r="BC18" s="9">
        <v>44459639</v>
      </c>
      <c r="BD18" s="9">
        <v>44459639</v>
      </c>
      <c r="BE18" s="9">
        <v>44459639</v>
      </c>
      <c r="BF18" s="9">
        <v>44459639</v>
      </c>
      <c r="BG18" s="9">
        <v>44459639</v>
      </c>
      <c r="BH18" s="9">
        <v>44459639</v>
      </c>
      <c r="BI18" s="9">
        <v>44459639</v>
      </c>
      <c r="BJ18" s="9">
        <v>44459639</v>
      </c>
      <c r="BK18" s="9">
        <v>44459639</v>
      </c>
      <c r="BL18" s="9">
        <v>44459639</v>
      </c>
      <c r="BM18" s="9">
        <v>44459639</v>
      </c>
      <c r="BN18" s="9">
        <v>44459639</v>
      </c>
      <c r="BO18" s="31">
        <v>44459639</v>
      </c>
      <c r="BP18" s="9">
        <v>36664986</v>
      </c>
      <c r="BQ18" s="9">
        <v>36664986</v>
      </c>
      <c r="BR18" s="9">
        <v>36664986</v>
      </c>
      <c r="BS18" s="9">
        <v>36664986</v>
      </c>
      <c r="BT18" s="9">
        <v>36664986</v>
      </c>
      <c r="BU18" s="9">
        <v>36664986</v>
      </c>
      <c r="BV18" s="9">
        <v>36664986</v>
      </c>
      <c r="BW18" s="9">
        <v>36664986</v>
      </c>
      <c r="BX18" s="9">
        <v>36664986</v>
      </c>
      <c r="BY18" s="9">
        <v>36664986</v>
      </c>
      <c r="BZ18" s="9">
        <v>36664986</v>
      </c>
      <c r="CA18" s="9">
        <v>36664986</v>
      </c>
      <c r="CB18" s="31">
        <v>36664986</v>
      </c>
      <c r="CC18" s="9">
        <v>28819307</v>
      </c>
      <c r="CD18" s="9">
        <v>28819307</v>
      </c>
      <c r="CE18" s="9">
        <v>28819307</v>
      </c>
      <c r="CF18" s="9">
        <v>28819307</v>
      </c>
      <c r="CG18" s="9">
        <v>28819307</v>
      </c>
      <c r="CH18" s="9">
        <v>28819307</v>
      </c>
      <c r="CI18" s="9">
        <v>28819307</v>
      </c>
      <c r="CJ18" s="9">
        <v>28819307</v>
      </c>
      <c r="CK18" s="9">
        <v>28819307</v>
      </c>
      <c r="CL18" s="9">
        <v>28819307</v>
      </c>
      <c r="CM18" s="9">
        <v>28819307</v>
      </c>
      <c r="CN18" s="9">
        <v>28819307</v>
      </c>
      <c r="CO18" s="31">
        <v>28819307</v>
      </c>
      <c r="CP18" s="9">
        <v>32317785</v>
      </c>
      <c r="CQ18" s="9">
        <v>32317785</v>
      </c>
      <c r="CR18" s="9">
        <v>32317785</v>
      </c>
      <c r="CS18" s="9">
        <v>32317785</v>
      </c>
      <c r="CT18" s="9">
        <v>32317785</v>
      </c>
      <c r="CU18" s="9">
        <v>32317785</v>
      </c>
      <c r="CV18" s="9">
        <v>32317785</v>
      </c>
      <c r="CW18" s="9">
        <v>32317785</v>
      </c>
      <c r="CX18" s="9">
        <v>32317785</v>
      </c>
      <c r="CY18" s="9">
        <v>32317785</v>
      </c>
      <c r="CZ18" s="9">
        <v>32317785</v>
      </c>
      <c r="DA18" s="9">
        <v>32317785</v>
      </c>
      <c r="DB18" s="31">
        <v>32317785</v>
      </c>
      <c r="DC18" s="9">
        <v>41575245</v>
      </c>
      <c r="DD18" s="9">
        <v>41575245</v>
      </c>
      <c r="DE18" s="9">
        <v>41575245</v>
      </c>
      <c r="DF18" s="9">
        <v>41575245</v>
      </c>
      <c r="DG18" s="9">
        <v>41575245</v>
      </c>
      <c r="DH18" s="9">
        <v>41575245</v>
      </c>
      <c r="DI18" s="9">
        <v>41575245</v>
      </c>
      <c r="DJ18" s="9">
        <v>41575245</v>
      </c>
      <c r="DK18" s="9">
        <v>41575245</v>
      </c>
      <c r="DL18" s="9">
        <v>41575245</v>
      </c>
      <c r="DM18" s="9">
        <v>41575245</v>
      </c>
      <c r="DN18" s="9">
        <v>41575245</v>
      </c>
      <c r="DO18" s="31">
        <v>41575245</v>
      </c>
      <c r="DP18" s="9">
        <v>34076619</v>
      </c>
      <c r="DQ18" s="9">
        <v>34076619</v>
      </c>
      <c r="DR18" s="9">
        <v>34076619</v>
      </c>
      <c r="DS18" s="9">
        <v>34076619</v>
      </c>
      <c r="DT18" s="9">
        <v>34076619</v>
      </c>
      <c r="DU18" s="9">
        <v>34076619</v>
      </c>
      <c r="DV18" s="9">
        <v>34076619</v>
      </c>
      <c r="DW18" s="9">
        <v>34076619</v>
      </c>
      <c r="DX18" s="9">
        <v>34076619</v>
      </c>
      <c r="DY18" s="9">
        <v>34076619</v>
      </c>
      <c r="DZ18" s="9">
        <v>34076619</v>
      </c>
      <c r="EA18" s="9">
        <v>34076619</v>
      </c>
      <c r="EB18" s="31">
        <v>34076619</v>
      </c>
      <c r="EC18" s="9">
        <v>28318956</v>
      </c>
      <c r="ED18" s="9">
        <v>28318956</v>
      </c>
      <c r="EE18" s="9">
        <v>28318956</v>
      </c>
      <c r="EF18" s="9">
        <v>28318956</v>
      </c>
      <c r="EG18" s="9">
        <v>28318956</v>
      </c>
      <c r="EH18" s="9">
        <v>28318956</v>
      </c>
      <c r="EI18" s="9">
        <v>28318956</v>
      </c>
      <c r="EJ18" s="9">
        <v>28318956</v>
      </c>
      <c r="EK18" s="9">
        <v>28318956</v>
      </c>
      <c r="EL18" s="9">
        <v>28318956</v>
      </c>
      <c r="EM18" s="9">
        <v>28318956</v>
      </c>
      <c r="EN18" s="9">
        <v>28318956</v>
      </c>
      <c r="EO18" s="31">
        <v>28318956</v>
      </c>
      <c r="EP18" s="9">
        <v>30628977</v>
      </c>
      <c r="EQ18" s="9">
        <v>30628977</v>
      </c>
      <c r="ER18" s="9">
        <v>30628977</v>
      </c>
      <c r="ES18" s="9">
        <v>30628977</v>
      </c>
      <c r="ET18" s="9">
        <v>30628977</v>
      </c>
      <c r="EU18" s="9">
        <v>30628977</v>
      </c>
      <c r="EV18" s="9">
        <v>30628977</v>
      </c>
      <c r="EW18" s="9">
        <v>30628977</v>
      </c>
      <c r="EX18" s="9">
        <v>30628977</v>
      </c>
      <c r="EY18" s="9">
        <v>30628977</v>
      </c>
      <c r="EZ18" s="9">
        <v>30628977</v>
      </c>
      <c r="FA18" s="9">
        <v>30628977</v>
      </c>
      <c r="FB18" s="31">
        <v>30628977</v>
      </c>
      <c r="FC18" s="9">
        <v>25030745</v>
      </c>
      <c r="FD18" s="9">
        <v>25030745</v>
      </c>
      <c r="FE18" s="9">
        <v>25030745</v>
      </c>
      <c r="FF18" s="9">
        <v>25030745</v>
      </c>
      <c r="FG18" s="9">
        <v>25030745</v>
      </c>
      <c r="FH18" s="9">
        <v>25030745</v>
      </c>
      <c r="FI18" s="9">
        <v>25030745</v>
      </c>
      <c r="FJ18" s="9">
        <v>25030745</v>
      </c>
      <c r="FK18" s="9">
        <v>25030745</v>
      </c>
      <c r="FL18" s="9">
        <v>25030745</v>
      </c>
      <c r="FM18" s="9">
        <v>25030745</v>
      </c>
      <c r="FN18" s="9">
        <v>25030745</v>
      </c>
      <c r="FO18" s="31">
        <v>25030745</v>
      </c>
    </row>
    <row r="19" spans="2:171" x14ac:dyDescent="0.3">
      <c r="B19" s="7" t="s">
        <v>57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31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31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31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  <c r="AY19" s="9">
        <v>0</v>
      </c>
      <c r="AZ19" s="9">
        <v>0</v>
      </c>
      <c r="BA19" s="9">
        <v>0</v>
      </c>
      <c r="BB19" s="31">
        <v>0</v>
      </c>
      <c r="BC19" s="9">
        <v>0</v>
      </c>
      <c r="BD19" s="9">
        <v>0</v>
      </c>
      <c r="BE19" s="9">
        <v>0</v>
      </c>
      <c r="BF19" s="9">
        <v>0</v>
      </c>
      <c r="BG19" s="9">
        <v>0</v>
      </c>
      <c r="BH19" s="9">
        <v>0</v>
      </c>
      <c r="BI19" s="9">
        <v>0</v>
      </c>
      <c r="BJ19" s="9">
        <v>0</v>
      </c>
      <c r="BK19" s="9">
        <v>0</v>
      </c>
      <c r="BL19" s="9">
        <v>0</v>
      </c>
      <c r="BM19" s="9">
        <v>0</v>
      </c>
      <c r="BN19" s="9">
        <v>0</v>
      </c>
      <c r="BO19" s="31">
        <v>0</v>
      </c>
      <c r="BP19" s="9">
        <v>3063155</v>
      </c>
      <c r="BQ19" s="9">
        <v>3063155</v>
      </c>
      <c r="BR19" s="9">
        <v>3063155</v>
      </c>
      <c r="BS19" s="9">
        <v>3063155</v>
      </c>
      <c r="BT19" s="9">
        <v>3063155</v>
      </c>
      <c r="BU19" s="9">
        <v>3063155</v>
      </c>
      <c r="BV19" s="9">
        <v>3063155</v>
      </c>
      <c r="BW19" s="9">
        <v>3063155</v>
      </c>
      <c r="BX19" s="9">
        <v>3063155</v>
      </c>
      <c r="BY19" s="9">
        <v>3063155</v>
      </c>
      <c r="BZ19" s="9">
        <v>3063155</v>
      </c>
      <c r="CA19" s="9">
        <v>3063155</v>
      </c>
      <c r="CB19" s="31">
        <v>3063155</v>
      </c>
      <c r="CC19" s="9">
        <v>7620030</v>
      </c>
      <c r="CD19" s="9">
        <v>7620030</v>
      </c>
      <c r="CE19" s="9">
        <v>7620030</v>
      </c>
      <c r="CF19" s="9">
        <v>7620030</v>
      </c>
      <c r="CG19" s="9">
        <v>7620030</v>
      </c>
      <c r="CH19" s="9">
        <v>7620030</v>
      </c>
      <c r="CI19" s="9">
        <v>7620030</v>
      </c>
      <c r="CJ19" s="9">
        <v>7620030</v>
      </c>
      <c r="CK19" s="9">
        <v>7620030</v>
      </c>
      <c r="CL19" s="9">
        <v>7620030</v>
      </c>
      <c r="CM19" s="9">
        <v>7620030</v>
      </c>
      <c r="CN19" s="9">
        <v>7620030</v>
      </c>
      <c r="CO19" s="31">
        <v>7620030</v>
      </c>
      <c r="CP19" s="9">
        <v>17998490</v>
      </c>
      <c r="CQ19" s="9">
        <v>17998490</v>
      </c>
      <c r="CR19" s="9">
        <v>17998490</v>
      </c>
      <c r="CS19" s="9">
        <v>17998490</v>
      </c>
      <c r="CT19" s="9">
        <v>17998490</v>
      </c>
      <c r="CU19" s="9">
        <v>17998490</v>
      </c>
      <c r="CV19" s="9">
        <v>17998490</v>
      </c>
      <c r="CW19" s="9">
        <v>17998490</v>
      </c>
      <c r="CX19" s="9">
        <v>17998490</v>
      </c>
      <c r="CY19" s="9">
        <v>17998490</v>
      </c>
      <c r="CZ19" s="9">
        <v>17998490</v>
      </c>
      <c r="DA19" s="9">
        <v>17998490</v>
      </c>
      <c r="DB19" s="31">
        <v>17998490</v>
      </c>
      <c r="DC19" s="9">
        <v>36920320</v>
      </c>
      <c r="DD19" s="9">
        <v>36920320</v>
      </c>
      <c r="DE19" s="9">
        <v>36920320</v>
      </c>
      <c r="DF19" s="9">
        <v>36920320</v>
      </c>
      <c r="DG19" s="9">
        <v>36920320</v>
      </c>
      <c r="DH19" s="9">
        <v>36920320</v>
      </c>
      <c r="DI19" s="9">
        <v>36920320</v>
      </c>
      <c r="DJ19" s="9">
        <v>36920320</v>
      </c>
      <c r="DK19" s="9">
        <v>36920320</v>
      </c>
      <c r="DL19" s="9">
        <v>36920320</v>
      </c>
      <c r="DM19" s="9">
        <v>36920320</v>
      </c>
      <c r="DN19" s="9">
        <v>36920320</v>
      </c>
      <c r="DO19" s="31">
        <v>36920320</v>
      </c>
      <c r="DP19" s="9">
        <v>23700733</v>
      </c>
      <c r="DQ19" s="9">
        <v>23700733</v>
      </c>
      <c r="DR19" s="9">
        <v>23700733</v>
      </c>
      <c r="DS19" s="9">
        <v>23700733</v>
      </c>
      <c r="DT19" s="9">
        <v>23700733</v>
      </c>
      <c r="DU19" s="9">
        <v>23700733</v>
      </c>
      <c r="DV19" s="9">
        <v>23700733</v>
      </c>
      <c r="DW19" s="9">
        <v>23700733</v>
      </c>
      <c r="DX19" s="9">
        <v>23700733</v>
      </c>
      <c r="DY19" s="9">
        <v>23700733</v>
      </c>
      <c r="DZ19" s="9">
        <v>23700733</v>
      </c>
      <c r="EA19" s="9">
        <v>23700733</v>
      </c>
      <c r="EB19" s="31">
        <v>23700733</v>
      </c>
      <c r="EC19" s="9">
        <v>23113535</v>
      </c>
      <c r="ED19" s="9">
        <v>23113535</v>
      </c>
      <c r="EE19" s="9">
        <v>23113535</v>
      </c>
      <c r="EF19" s="9">
        <v>23113535</v>
      </c>
      <c r="EG19" s="9">
        <v>23113535</v>
      </c>
      <c r="EH19" s="9">
        <v>23113535</v>
      </c>
      <c r="EI19" s="9">
        <v>23113535</v>
      </c>
      <c r="EJ19" s="9">
        <v>23113535</v>
      </c>
      <c r="EK19" s="9">
        <v>23113535</v>
      </c>
      <c r="EL19" s="9">
        <v>23113535</v>
      </c>
      <c r="EM19" s="9">
        <v>23113535</v>
      </c>
      <c r="EN19" s="9">
        <v>23113535</v>
      </c>
      <c r="EO19" s="31">
        <v>23113535</v>
      </c>
      <c r="EP19" s="9">
        <v>22079448</v>
      </c>
      <c r="EQ19" s="9">
        <v>22079448</v>
      </c>
      <c r="ER19" s="9">
        <v>22079448</v>
      </c>
      <c r="ES19" s="9">
        <v>22079448</v>
      </c>
      <c r="ET19" s="9">
        <v>22079448</v>
      </c>
      <c r="EU19" s="9">
        <v>22079448</v>
      </c>
      <c r="EV19" s="9">
        <v>22079448</v>
      </c>
      <c r="EW19" s="9">
        <v>22079448</v>
      </c>
      <c r="EX19" s="9">
        <v>22079448</v>
      </c>
      <c r="EY19" s="9">
        <v>22079448</v>
      </c>
      <c r="EZ19" s="9">
        <v>22079448</v>
      </c>
      <c r="FA19" s="9">
        <v>22079448</v>
      </c>
      <c r="FB19" s="31">
        <v>22079448</v>
      </c>
      <c r="FC19" s="9">
        <v>24086756</v>
      </c>
      <c r="FD19" s="9">
        <v>24086756</v>
      </c>
      <c r="FE19" s="9">
        <v>24086756</v>
      </c>
      <c r="FF19" s="9">
        <v>24086756</v>
      </c>
      <c r="FG19" s="9">
        <v>24086756</v>
      </c>
      <c r="FH19" s="9">
        <v>24086756</v>
      </c>
      <c r="FI19" s="9">
        <v>24086756</v>
      </c>
      <c r="FJ19" s="9">
        <v>24086756</v>
      </c>
      <c r="FK19" s="9">
        <v>24086756</v>
      </c>
      <c r="FL19" s="9">
        <v>24086756</v>
      </c>
      <c r="FM19" s="9">
        <v>24086756</v>
      </c>
      <c r="FN19" s="9">
        <v>24086756</v>
      </c>
      <c r="FO19" s="31">
        <v>24086756</v>
      </c>
    </row>
    <row r="20" spans="2:171" x14ac:dyDescent="0.3">
      <c r="B20" s="7" t="s">
        <v>58</v>
      </c>
      <c r="C20" s="9">
        <v>49314354</v>
      </c>
      <c r="D20" s="9">
        <v>49314354</v>
      </c>
      <c r="E20" s="9">
        <v>49314354</v>
      </c>
      <c r="F20" s="9">
        <v>49314354</v>
      </c>
      <c r="G20" s="9">
        <v>49314354</v>
      </c>
      <c r="H20" s="9">
        <v>49314354</v>
      </c>
      <c r="I20" s="9">
        <v>49314354</v>
      </c>
      <c r="J20" s="9">
        <v>49314354</v>
      </c>
      <c r="K20" s="9">
        <v>49314354</v>
      </c>
      <c r="L20" s="9">
        <v>49314354</v>
      </c>
      <c r="M20" s="9">
        <v>49314354</v>
      </c>
      <c r="N20" s="9">
        <v>49314354</v>
      </c>
      <c r="O20" s="31">
        <v>49314354</v>
      </c>
      <c r="P20" s="9">
        <v>70718333</v>
      </c>
      <c r="Q20" s="9">
        <v>70718333</v>
      </c>
      <c r="R20" s="9">
        <v>70718333</v>
      </c>
      <c r="S20" s="9">
        <v>70718333</v>
      </c>
      <c r="T20" s="9">
        <v>70718333</v>
      </c>
      <c r="U20" s="9">
        <v>70718333</v>
      </c>
      <c r="V20" s="9">
        <v>70718333</v>
      </c>
      <c r="W20" s="9">
        <v>70718333</v>
      </c>
      <c r="X20" s="9">
        <v>70718333</v>
      </c>
      <c r="Y20" s="9">
        <v>70718333</v>
      </c>
      <c r="Z20" s="9">
        <v>70718333</v>
      </c>
      <c r="AA20" s="9">
        <v>70718333</v>
      </c>
      <c r="AB20" s="31">
        <v>70718333</v>
      </c>
      <c r="AC20" s="9">
        <v>51886359</v>
      </c>
      <c r="AD20" s="9">
        <v>51886359</v>
      </c>
      <c r="AE20" s="9">
        <v>51886359</v>
      </c>
      <c r="AF20" s="9">
        <v>51886359</v>
      </c>
      <c r="AG20" s="9">
        <v>51886359</v>
      </c>
      <c r="AH20" s="9">
        <v>51886359</v>
      </c>
      <c r="AI20" s="9">
        <v>51886359</v>
      </c>
      <c r="AJ20" s="9">
        <v>51886359</v>
      </c>
      <c r="AK20" s="9">
        <v>51886359</v>
      </c>
      <c r="AL20" s="9">
        <v>51886359</v>
      </c>
      <c r="AM20" s="9">
        <v>51886359</v>
      </c>
      <c r="AN20" s="9">
        <v>51886359</v>
      </c>
      <c r="AO20" s="31">
        <v>51886359</v>
      </c>
      <c r="AP20" s="9">
        <v>59883317</v>
      </c>
      <c r="AQ20" s="9">
        <v>59883317</v>
      </c>
      <c r="AR20" s="9">
        <v>59883317</v>
      </c>
      <c r="AS20" s="9">
        <v>59883317</v>
      </c>
      <c r="AT20" s="9">
        <v>59883317</v>
      </c>
      <c r="AU20" s="9">
        <v>59883317</v>
      </c>
      <c r="AV20" s="9">
        <v>59883317</v>
      </c>
      <c r="AW20" s="9">
        <v>59883317</v>
      </c>
      <c r="AX20" s="9">
        <v>59883317</v>
      </c>
      <c r="AY20" s="9">
        <v>59883317</v>
      </c>
      <c r="AZ20" s="9">
        <v>59883317</v>
      </c>
      <c r="BA20" s="9">
        <v>59883317</v>
      </c>
      <c r="BB20" s="31">
        <v>59883317</v>
      </c>
      <c r="BC20" s="9">
        <v>54929952</v>
      </c>
      <c r="BD20" s="9">
        <v>54929952</v>
      </c>
      <c r="BE20" s="9">
        <v>54929952</v>
      </c>
      <c r="BF20" s="9">
        <v>54929952</v>
      </c>
      <c r="BG20" s="9">
        <v>54929952</v>
      </c>
      <c r="BH20" s="9">
        <v>54929952</v>
      </c>
      <c r="BI20" s="9">
        <v>54929952</v>
      </c>
      <c r="BJ20" s="9">
        <v>54929952</v>
      </c>
      <c r="BK20" s="9">
        <v>54929952</v>
      </c>
      <c r="BL20" s="9">
        <v>54929952</v>
      </c>
      <c r="BM20" s="9">
        <v>54929952</v>
      </c>
      <c r="BN20" s="9">
        <v>54929952</v>
      </c>
      <c r="BO20" s="31">
        <v>54929952</v>
      </c>
      <c r="BP20" s="9">
        <v>33228726</v>
      </c>
      <c r="BQ20" s="9">
        <v>33228726</v>
      </c>
      <c r="BR20" s="9">
        <v>33228726</v>
      </c>
      <c r="BS20" s="9">
        <v>33228726</v>
      </c>
      <c r="BT20" s="9">
        <v>33228726</v>
      </c>
      <c r="BU20" s="9">
        <v>33228726</v>
      </c>
      <c r="BV20" s="9">
        <v>33228726</v>
      </c>
      <c r="BW20" s="9">
        <v>33228726</v>
      </c>
      <c r="BX20" s="9">
        <v>33228726</v>
      </c>
      <c r="BY20" s="9">
        <v>33228726</v>
      </c>
      <c r="BZ20" s="9">
        <v>33228726</v>
      </c>
      <c r="CA20" s="9">
        <v>33228726</v>
      </c>
      <c r="CB20" s="31">
        <v>33228726</v>
      </c>
      <c r="CC20" s="9">
        <v>34241496</v>
      </c>
      <c r="CD20" s="9">
        <v>34241496</v>
      </c>
      <c r="CE20" s="9">
        <v>34241496</v>
      </c>
      <c r="CF20" s="9">
        <v>34241496</v>
      </c>
      <c r="CG20" s="9">
        <v>34241496</v>
      </c>
      <c r="CH20" s="9">
        <v>34241496</v>
      </c>
      <c r="CI20" s="9">
        <v>34241496</v>
      </c>
      <c r="CJ20" s="9">
        <v>34241496</v>
      </c>
      <c r="CK20" s="9">
        <v>34241496</v>
      </c>
      <c r="CL20" s="9">
        <v>34241496</v>
      </c>
      <c r="CM20" s="9">
        <v>34241496</v>
      </c>
      <c r="CN20" s="9">
        <v>34241496</v>
      </c>
      <c r="CO20" s="31">
        <v>34241496</v>
      </c>
      <c r="CP20" s="9">
        <v>35945640</v>
      </c>
      <c r="CQ20" s="9">
        <v>35945640</v>
      </c>
      <c r="CR20" s="9">
        <v>35945640</v>
      </c>
      <c r="CS20" s="9">
        <v>35945640</v>
      </c>
      <c r="CT20" s="9">
        <v>35945640</v>
      </c>
      <c r="CU20" s="9">
        <v>35945640</v>
      </c>
      <c r="CV20" s="9">
        <v>35945640</v>
      </c>
      <c r="CW20" s="9">
        <v>35945640</v>
      </c>
      <c r="CX20" s="9">
        <v>35945640</v>
      </c>
      <c r="CY20" s="9">
        <v>35945640</v>
      </c>
      <c r="CZ20" s="9">
        <v>35945640</v>
      </c>
      <c r="DA20" s="9">
        <v>35945640</v>
      </c>
      <c r="DB20" s="31">
        <v>35945640</v>
      </c>
      <c r="DC20" s="9">
        <v>40895295</v>
      </c>
      <c r="DD20" s="9">
        <v>40895295</v>
      </c>
      <c r="DE20" s="9">
        <v>40895295</v>
      </c>
      <c r="DF20" s="9">
        <v>40895295</v>
      </c>
      <c r="DG20" s="9">
        <v>40895295</v>
      </c>
      <c r="DH20" s="9">
        <v>40895295</v>
      </c>
      <c r="DI20" s="9">
        <v>40895295</v>
      </c>
      <c r="DJ20" s="9">
        <v>40895295</v>
      </c>
      <c r="DK20" s="9">
        <v>40895295</v>
      </c>
      <c r="DL20" s="9">
        <v>40895295</v>
      </c>
      <c r="DM20" s="9">
        <v>40895295</v>
      </c>
      <c r="DN20" s="9">
        <v>40895295</v>
      </c>
      <c r="DO20" s="31">
        <v>40895295</v>
      </c>
      <c r="DP20" s="9">
        <v>51373264</v>
      </c>
      <c r="DQ20" s="9">
        <v>51373264</v>
      </c>
      <c r="DR20" s="9">
        <v>51373264</v>
      </c>
      <c r="DS20" s="9">
        <v>51373264</v>
      </c>
      <c r="DT20" s="9">
        <v>51373264</v>
      </c>
      <c r="DU20" s="9">
        <v>51373264</v>
      </c>
      <c r="DV20" s="9">
        <v>51373264</v>
      </c>
      <c r="DW20" s="9">
        <v>51373264</v>
      </c>
      <c r="DX20" s="9">
        <v>51373264</v>
      </c>
      <c r="DY20" s="9">
        <v>51373264</v>
      </c>
      <c r="DZ20" s="9">
        <v>51373264</v>
      </c>
      <c r="EA20" s="9">
        <v>51373264</v>
      </c>
      <c r="EB20" s="31">
        <v>51373264</v>
      </c>
      <c r="EC20" s="9">
        <v>52751667</v>
      </c>
      <c r="ED20" s="9">
        <v>52751667</v>
      </c>
      <c r="EE20" s="9">
        <v>52751667</v>
      </c>
      <c r="EF20" s="9">
        <v>52751667</v>
      </c>
      <c r="EG20" s="9">
        <v>52751667</v>
      </c>
      <c r="EH20" s="9">
        <v>52751667</v>
      </c>
      <c r="EI20" s="9">
        <v>52751667</v>
      </c>
      <c r="EJ20" s="9">
        <v>52751667</v>
      </c>
      <c r="EK20" s="9">
        <v>52751667</v>
      </c>
      <c r="EL20" s="9">
        <v>52751667</v>
      </c>
      <c r="EM20" s="9">
        <v>52751667</v>
      </c>
      <c r="EN20" s="9">
        <v>52751667</v>
      </c>
      <c r="EO20" s="31">
        <v>52751667</v>
      </c>
      <c r="EP20" s="9">
        <v>51417843</v>
      </c>
      <c r="EQ20" s="9">
        <v>51417843</v>
      </c>
      <c r="ER20" s="9">
        <v>51417843</v>
      </c>
      <c r="ES20" s="9">
        <v>51417843</v>
      </c>
      <c r="ET20" s="9">
        <v>51417843</v>
      </c>
      <c r="EU20" s="9">
        <v>51417843</v>
      </c>
      <c r="EV20" s="9">
        <v>51417843</v>
      </c>
      <c r="EW20" s="9">
        <v>51417843</v>
      </c>
      <c r="EX20" s="9">
        <v>51417843</v>
      </c>
      <c r="EY20" s="9">
        <v>51417843</v>
      </c>
      <c r="EZ20" s="9">
        <v>51417843</v>
      </c>
      <c r="FA20" s="9">
        <v>51417843</v>
      </c>
      <c r="FB20" s="31">
        <v>51417843</v>
      </c>
      <c r="FC20" s="9">
        <v>69100458</v>
      </c>
      <c r="FD20" s="9">
        <v>69100458</v>
      </c>
      <c r="FE20" s="9">
        <v>69100458</v>
      </c>
      <c r="FF20" s="9">
        <v>69100458</v>
      </c>
      <c r="FG20" s="9">
        <v>69100458</v>
      </c>
      <c r="FH20" s="9">
        <v>69100458</v>
      </c>
      <c r="FI20" s="9">
        <v>69100458</v>
      </c>
      <c r="FJ20" s="9">
        <v>69100458</v>
      </c>
      <c r="FK20" s="9">
        <v>69100458</v>
      </c>
      <c r="FL20" s="9">
        <v>69100458</v>
      </c>
      <c r="FM20" s="9">
        <v>69100458</v>
      </c>
      <c r="FN20" s="9">
        <v>69100458</v>
      </c>
      <c r="FO20" s="31">
        <v>69100458</v>
      </c>
    </row>
    <row r="21" spans="2:171" x14ac:dyDescent="0.3">
      <c r="B21" s="7" t="s">
        <v>59</v>
      </c>
      <c r="C21" s="9">
        <v>24778757</v>
      </c>
      <c r="D21" s="9">
        <v>24778757</v>
      </c>
      <c r="E21" s="9">
        <v>24778757</v>
      </c>
      <c r="F21" s="9">
        <v>24778757</v>
      </c>
      <c r="G21" s="9">
        <v>24778757</v>
      </c>
      <c r="H21" s="9">
        <v>24778757</v>
      </c>
      <c r="I21" s="9">
        <v>24778757</v>
      </c>
      <c r="J21" s="9">
        <v>24778757</v>
      </c>
      <c r="K21" s="9">
        <v>24778757</v>
      </c>
      <c r="L21" s="9">
        <v>24778757</v>
      </c>
      <c r="M21" s="9">
        <v>24778757</v>
      </c>
      <c r="N21" s="9">
        <v>24778757</v>
      </c>
      <c r="O21" s="31">
        <v>24778757</v>
      </c>
      <c r="P21" s="9">
        <v>37063011</v>
      </c>
      <c r="Q21" s="9">
        <v>37063011</v>
      </c>
      <c r="R21" s="9">
        <v>37063011</v>
      </c>
      <c r="S21" s="9">
        <v>37063011</v>
      </c>
      <c r="T21" s="9">
        <v>37063011</v>
      </c>
      <c r="U21" s="9">
        <v>37063011</v>
      </c>
      <c r="V21" s="9">
        <v>37063011</v>
      </c>
      <c r="W21" s="9">
        <v>37063011</v>
      </c>
      <c r="X21" s="9">
        <v>37063011</v>
      </c>
      <c r="Y21" s="9">
        <v>37063011</v>
      </c>
      <c r="Z21" s="9">
        <v>37063011</v>
      </c>
      <c r="AA21" s="9">
        <v>37063011</v>
      </c>
      <c r="AB21" s="31">
        <v>37063011</v>
      </c>
      <c r="AC21" s="9">
        <v>36934807</v>
      </c>
      <c r="AD21" s="9">
        <v>36934807</v>
      </c>
      <c r="AE21" s="9">
        <v>36934807</v>
      </c>
      <c r="AF21" s="9">
        <v>36934807</v>
      </c>
      <c r="AG21" s="9">
        <v>36934807</v>
      </c>
      <c r="AH21" s="9">
        <v>36934807</v>
      </c>
      <c r="AI21" s="9">
        <v>36934807</v>
      </c>
      <c r="AJ21" s="9">
        <v>36934807</v>
      </c>
      <c r="AK21" s="9">
        <v>36934807</v>
      </c>
      <c r="AL21" s="9">
        <v>36934807</v>
      </c>
      <c r="AM21" s="9">
        <v>36934807</v>
      </c>
      <c r="AN21" s="9">
        <v>36934807</v>
      </c>
      <c r="AO21" s="31">
        <v>36934807</v>
      </c>
      <c r="AP21" s="9">
        <v>37348326</v>
      </c>
      <c r="AQ21" s="9">
        <v>37348326</v>
      </c>
      <c r="AR21" s="9">
        <v>37348326</v>
      </c>
      <c r="AS21" s="9">
        <v>37348326</v>
      </c>
      <c r="AT21" s="9">
        <v>37348326</v>
      </c>
      <c r="AU21" s="9">
        <v>37348326</v>
      </c>
      <c r="AV21" s="9">
        <v>37348326</v>
      </c>
      <c r="AW21" s="9">
        <v>37348326</v>
      </c>
      <c r="AX21" s="9">
        <v>37348326</v>
      </c>
      <c r="AY21" s="9">
        <v>37348326</v>
      </c>
      <c r="AZ21" s="9">
        <v>37348326</v>
      </c>
      <c r="BA21" s="9">
        <v>37348326</v>
      </c>
      <c r="BB21" s="31">
        <v>37348326</v>
      </c>
      <c r="BC21" s="9">
        <v>35129087</v>
      </c>
      <c r="BD21" s="9">
        <v>35129087</v>
      </c>
      <c r="BE21" s="9">
        <v>35129087</v>
      </c>
      <c r="BF21" s="9">
        <v>35129087</v>
      </c>
      <c r="BG21" s="9">
        <v>35129087</v>
      </c>
      <c r="BH21" s="9">
        <v>35129087</v>
      </c>
      <c r="BI21" s="9">
        <v>35129087</v>
      </c>
      <c r="BJ21" s="9">
        <v>35129087</v>
      </c>
      <c r="BK21" s="9">
        <v>35129087</v>
      </c>
      <c r="BL21" s="9">
        <v>35129087</v>
      </c>
      <c r="BM21" s="9">
        <v>35129087</v>
      </c>
      <c r="BN21" s="9">
        <v>35129087</v>
      </c>
      <c r="BO21" s="31">
        <v>35129087</v>
      </c>
      <c r="BP21" s="9">
        <v>42601193</v>
      </c>
      <c r="BQ21" s="9">
        <v>42601193</v>
      </c>
      <c r="BR21" s="9">
        <v>42601193</v>
      </c>
      <c r="BS21" s="9">
        <v>42601193</v>
      </c>
      <c r="BT21" s="9">
        <v>42601193</v>
      </c>
      <c r="BU21" s="9">
        <v>42601193</v>
      </c>
      <c r="BV21" s="9">
        <v>42601193</v>
      </c>
      <c r="BW21" s="9">
        <v>42601193</v>
      </c>
      <c r="BX21" s="9">
        <v>42601193</v>
      </c>
      <c r="BY21" s="9">
        <v>42601193</v>
      </c>
      <c r="BZ21" s="9">
        <v>42601193</v>
      </c>
      <c r="CA21" s="9">
        <v>42601193</v>
      </c>
      <c r="CB21" s="31">
        <v>42601193</v>
      </c>
      <c r="CC21" s="9">
        <v>36381316</v>
      </c>
      <c r="CD21" s="9">
        <v>36381316</v>
      </c>
      <c r="CE21" s="9">
        <v>36381316</v>
      </c>
      <c r="CF21" s="9">
        <v>36381316</v>
      </c>
      <c r="CG21" s="9">
        <v>36381316</v>
      </c>
      <c r="CH21" s="9">
        <v>36381316</v>
      </c>
      <c r="CI21" s="9">
        <v>36381316</v>
      </c>
      <c r="CJ21" s="9">
        <v>36381316</v>
      </c>
      <c r="CK21" s="9">
        <v>36381316</v>
      </c>
      <c r="CL21" s="9">
        <v>36381316</v>
      </c>
      <c r="CM21" s="9">
        <v>36381316</v>
      </c>
      <c r="CN21" s="9">
        <v>36381316</v>
      </c>
      <c r="CO21" s="31">
        <v>36381316</v>
      </c>
      <c r="CP21" s="9">
        <v>28365704</v>
      </c>
      <c r="CQ21" s="9">
        <v>28365704</v>
      </c>
      <c r="CR21" s="9">
        <v>28365704</v>
      </c>
      <c r="CS21" s="9">
        <v>28365704</v>
      </c>
      <c r="CT21" s="9">
        <v>28365704</v>
      </c>
      <c r="CU21" s="9">
        <v>28365704</v>
      </c>
      <c r="CV21" s="9">
        <v>28365704</v>
      </c>
      <c r="CW21" s="9">
        <v>28365704</v>
      </c>
      <c r="CX21" s="9">
        <v>28365704</v>
      </c>
      <c r="CY21" s="9">
        <v>28365704</v>
      </c>
      <c r="CZ21" s="9">
        <v>28365704</v>
      </c>
      <c r="DA21" s="9">
        <v>28365704</v>
      </c>
      <c r="DB21" s="31">
        <v>28365704</v>
      </c>
      <c r="DC21" s="9">
        <v>26390042</v>
      </c>
      <c r="DD21" s="9">
        <v>26390042</v>
      </c>
      <c r="DE21" s="9">
        <v>26390042</v>
      </c>
      <c r="DF21" s="9">
        <v>26390042</v>
      </c>
      <c r="DG21" s="9">
        <v>26390042</v>
      </c>
      <c r="DH21" s="9">
        <v>26390042</v>
      </c>
      <c r="DI21" s="9">
        <v>26390042</v>
      </c>
      <c r="DJ21" s="9">
        <v>26390042</v>
      </c>
      <c r="DK21" s="9">
        <v>26390042</v>
      </c>
      <c r="DL21" s="9">
        <v>26390042</v>
      </c>
      <c r="DM21" s="9">
        <v>26390042</v>
      </c>
      <c r="DN21" s="9">
        <v>26390042</v>
      </c>
      <c r="DO21" s="31">
        <v>26390042</v>
      </c>
      <c r="DP21" s="9">
        <v>30128321</v>
      </c>
      <c r="DQ21" s="9">
        <v>30128321</v>
      </c>
      <c r="DR21" s="9">
        <v>30128321</v>
      </c>
      <c r="DS21" s="9">
        <v>30128321</v>
      </c>
      <c r="DT21" s="9">
        <v>30128321</v>
      </c>
      <c r="DU21" s="9">
        <v>30128321</v>
      </c>
      <c r="DV21" s="9">
        <v>30128321</v>
      </c>
      <c r="DW21" s="9">
        <v>30128321</v>
      </c>
      <c r="DX21" s="9">
        <v>30128321</v>
      </c>
      <c r="DY21" s="9">
        <v>30128321</v>
      </c>
      <c r="DZ21" s="9">
        <v>30128321</v>
      </c>
      <c r="EA21" s="9">
        <v>30128321</v>
      </c>
      <c r="EB21" s="31">
        <v>30128321</v>
      </c>
      <c r="EC21" s="9">
        <v>30054838</v>
      </c>
      <c r="ED21" s="9">
        <v>30054838</v>
      </c>
      <c r="EE21" s="9">
        <v>30054838</v>
      </c>
      <c r="EF21" s="9">
        <v>30054838</v>
      </c>
      <c r="EG21" s="9">
        <v>30054838</v>
      </c>
      <c r="EH21" s="9">
        <v>30054838</v>
      </c>
      <c r="EI21" s="9">
        <v>30054838</v>
      </c>
      <c r="EJ21" s="9">
        <v>30054838</v>
      </c>
      <c r="EK21" s="9">
        <v>30054838</v>
      </c>
      <c r="EL21" s="9">
        <v>30054838</v>
      </c>
      <c r="EM21" s="9">
        <v>30054838</v>
      </c>
      <c r="EN21" s="9">
        <v>30054838</v>
      </c>
      <c r="EO21" s="31">
        <v>30054838</v>
      </c>
      <c r="EP21" s="9">
        <v>33768075</v>
      </c>
      <c r="EQ21" s="9">
        <v>33768075</v>
      </c>
      <c r="ER21" s="9">
        <v>33768075</v>
      </c>
      <c r="ES21" s="9">
        <v>33768075</v>
      </c>
      <c r="ET21" s="9">
        <v>33768075</v>
      </c>
      <c r="EU21" s="9">
        <v>33768075</v>
      </c>
      <c r="EV21" s="9">
        <v>33768075</v>
      </c>
      <c r="EW21" s="9">
        <v>33768075</v>
      </c>
      <c r="EX21" s="9">
        <v>33768075</v>
      </c>
      <c r="EY21" s="9">
        <v>33768075</v>
      </c>
      <c r="EZ21" s="9">
        <v>33768075</v>
      </c>
      <c r="FA21" s="9">
        <v>33768075</v>
      </c>
      <c r="FB21" s="31">
        <v>33768075</v>
      </c>
      <c r="FC21" s="9">
        <v>19941082</v>
      </c>
      <c r="FD21" s="9">
        <v>19941082</v>
      </c>
      <c r="FE21" s="9">
        <v>19941082</v>
      </c>
      <c r="FF21" s="9">
        <v>19941082</v>
      </c>
      <c r="FG21" s="9">
        <v>19941082</v>
      </c>
      <c r="FH21" s="9">
        <v>19941082</v>
      </c>
      <c r="FI21" s="9">
        <v>19941082</v>
      </c>
      <c r="FJ21" s="9">
        <v>19941082</v>
      </c>
      <c r="FK21" s="9">
        <v>19941082</v>
      </c>
      <c r="FL21" s="9">
        <v>19941082</v>
      </c>
      <c r="FM21" s="9">
        <v>19941082</v>
      </c>
      <c r="FN21" s="9">
        <v>19941082</v>
      </c>
      <c r="FO21" s="31">
        <v>19941082</v>
      </c>
    </row>
    <row r="22" spans="2:171" x14ac:dyDescent="0.3">
      <c r="B22" s="7" t="s">
        <v>60</v>
      </c>
      <c r="C22" s="9">
        <v>10105857</v>
      </c>
      <c r="D22" s="9">
        <v>10105857</v>
      </c>
      <c r="E22" s="9">
        <v>10105857</v>
      </c>
      <c r="F22" s="9">
        <v>10105857</v>
      </c>
      <c r="G22" s="9">
        <v>10105857</v>
      </c>
      <c r="H22" s="9">
        <v>10105857</v>
      </c>
      <c r="I22" s="9">
        <v>10105857</v>
      </c>
      <c r="J22" s="9">
        <v>10105857</v>
      </c>
      <c r="K22" s="9">
        <v>10105857</v>
      </c>
      <c r="L22" s="9">
        <v>10105857</v>
      </c>
      <c r="M22" s="9">
        <v>10105857</v>
      </c>
      <c r="N22" s="9">
        <v>10105857</v>
      </c>
      <c r="O22" s="31">
        <v>10105857</v>
      </c>
      <c r="P22" s="9">
        <v>15006631</v>
      </c>
      <c r="Q22" s="9">
        <v>15006631</v>
      </c>
      <c r="R22" s="9">
        <v>15006631</v>
      </c>
      <c r="S22" s="9">
        <v>15006631</v>
      </c>
      <c r="T22" s="9">
        <v>15006631</v>
      </c>
      <c r="U22" s="9">
        <v>15006631</v>
      </c>
      <c r="V22" s="9">
        <v>15006631</v>
      </c>
      <c r="W22" s="9">
        <v>15006631</v>
      </c>
      <c r="X22" s="9">
        <v>15006631</v>
      </c>
      <c r="Y22" s="9">
        <v>15006631</v>
      </c>
      <c r="Z22" s="9">
        <v>15006631</v>
      </c>
      <c r="AA22" s="9">
        <v>15006631</v>
      </c>
      <c r="AB22" s="31">
        <v>15006631</v>
      </c>
      <c r="AC22" s="9">
        <v>8772648</v>
      </c>
      <c r="AD22" s="9">
        <v>8772648</v>
      </c>
      <c r="AE22" s="9">
        <v>8772648</v>
      </c>
      <c r="AF22" s="9">
        <v>8772648</v>
      </c>
      <c r="AG22" s="9">
        <v>8772648</v>
      </c>
      <c r="AH22" s="9">
        <v>8772648</v>
      </c>
      <c r="AI22" s="9">
        <v>8772648</v>
      </c>
      <c r="AJ22" s="9">
        <v>8772648</v>
      </c>
      <c r="AK22" s="9">
        <v>8772648</v>
      </c>
      <c r="AL22" s="9">
        <v>8772648</v>
      </c>
      <c r="AM22" s="9">
        <v>8772648</v>
      </c>
      <c r="AN22" s="9">
        <v>8772648</v>
      </c>
      <c r="AO22" s="31">
        <v>8772648</v>
      </c>
      <c r="AP22" s="9">
        <v>9451838</v>
      </c>
      <c r="AQ22" s="9">
        <v>9451838</v>
      </c>
      <c r="AR22" s="9">
        <v>9451838</v>
      </c>
      <c r="AS22" s="9">
        <v>9451838</v>
      </c>
      <c r="AT22" s="9">
        <v>9451838</v>
      </c>
      <c r="AU22" s="9">
        <v>9451838</v>
      </c>
      <c r="AV22" s="9">
        <v>9451838</v>
      </c>
      <c r="AW22" s="9">
        <v>9451838</v>
      </c>
      <c r="AX22" s="9">
        <v>9451838</v>
      </c>
      <c r="AY22" s="9">
        <v>9451838</v>
      </c>
      <c r="AZ22" s="9">
        <v>9451838</v>
      </c>
      <c r="BA22" s="9">
        <v>9451838</v>
      </c>
      <c r="BB22" s="31">
        <v>9451838</v>
      </c>
      <c r="BC22" s="9">
        <v>18225631</v>
      </c>
      <c r="BD22" s="9">
        <v>18225631</v>
      </c>
      <c r="BE22" s="9">
        <v>18225631</v>
      </c>
      <c r="BF22" s="9">
        <v>18225631</v>
      </c>
      <c r="BG22" s="9">
        <v>18225631</v>
      </c>
      <c r="BH22" s="9">
        <v>18225631</v>
      </c>
      <c r="BI22" s="9">
        <v>18225631</v>
      </c>
      <c r="BJ22" s="9">
        <v>18225631</v>
      </c>
      <c r="BK22" s="9">
        <v>18225631</v>
      </c>
      <c r="BL22" s="9">
        <v>18225631</v>
      </c>
      <c r="BM22" s="9">
        <v>18225631</v>
      </c>
      <c r="BN22" s="9">
        <v>18225631</v>
      </c>
      <c r="BO22" s="31">
        <v>18225631</v>
      </c>
      <c r="BP22" s="9">
        <v>15979102</v>
      </c>
      <c r="BQ22" s="9">
        <v>15979102</v>
      </c>
      <c r="BR22" s="9">
        <v>15979102</v>
      </c>
      <c r="BS22" s="9">
        <v>15979102</v>
      </c>
      <c r="BT22" s="9">
        <v>15979102</v>
      </c>
      <c r="BU22" s="9">
        <v>15979102</v>
      </c>
      <c r="BV22" s="9">
        <v>15979102</v>
      </c>
      <c r="BW22" s="9">
        <v>15979102</v>
      </c>
      <c r="BX22" s="9">
        <v>15979102</v>
      </c>
      <c r="BY22" s="9">
        <v>15979102</v>
      </c>
      <c r="BZ22" s="9">
        <v>15979102</v>
      </c>
      <c r="CA22" s="9">
        <v>15979102</v>
      </c>
      <c r="CB22" s="31">
        <v>15979102</v>
      </c>
      <c r="CC22" s="9">
        <v>16443798</v>
      </c>
      <c r="CD22" s="9">
        <v>16443798</v>
      </c>
      <c r="CE22" s="9">
        <v>16443798</v>
      </c>
      <c r="CF22" s="9">
        <v>16443798</v>
      </c>
      <c r="CG22" s="9">
        <v>16443798</v>
      </c>
      <c r="CH22" s="9">
        <v>16443798</v>
      </c>
      <c r="CI22" s="9">
        <v>16443798</v>
      </c>
      <c r="CJ22" s="9">
        <v>16443798</v>
      </c>
      <c r="CK22" s="9">
        <v>16443798</v>
      </c>
      <c r="CL22" s="9">
        <v>16443798</v>
      </c>
      <c r="CM22" s="9">
        <v>16443798</v>
      </c>
      <c r="CN22" s="9">
        <v>16443798</v>
      </c>
      <c r="CO22" s="31">
        <v>16443798</v>
      </c>
      <c r="CP22" s="9">
        <v>17929551</v>
      </c>
      <c r="CQ22" s="9">
        <v>17929551</v>
      </c>
      <c r="CR22" s="9">
        <v>17929551</v>
      </c>
      <c r="CS22" s="9">
        <v>17929551</v>
      </c>
      <c r="CT22" s="9">
        <v>17929551</v>
      </c>
      <c r="CU22" s="9">
        <v>17929551</v>
      </c>
      <c r="CV22" s="9">
        <v>17929551</v>
      </c>
      <c r="CW22" s="9">
        <v>17929551</v>
      </c>
      <c r="CX22" s="9">
        <v>17929551</v>
      </c>
      <c r="CY22" s="9">
        <v>17929551</v>
      </c>
      <c r="CZ22" s="9">
        <v>17929551</v>
      </c>
      <c r="DA22" s="9">
        <v>17929551</v>
      </c>
      <c r="DB22" s="31">
        <v>17929551</v>
      </c>
      <c r="DC22" s="9">
        <v>29463592</v>
      </c>
      <c r="DD22" s="9">
        <v>29463592</v>
      </c>
      <c r="DE22" s="9">
        <v>29463592</v>
      </c>
      <c r="DF22" s="9">
        <v>29463592</v>
      </c>
      <c r="DG22" s="9">
        <v>29463592</v>
      </c>
      <c r="DH22" s="9">
        <v>29463592</v>
      </c>
      <c r="DI22" s="9">
        <v>29463592</v>
      </c>
      <c r="DJ22" s="9">
        <v>29463592</v>
      </c>
      <c r="DK22" s="9">
        <v>29463592</v>
      </c>
      <c r="DL22" s="9">
        <v>29463592</v>
      </c>
      <c r="DM22" s="9">
        <v>29463592</v>
      </c>
      <c r="DN22" s="9">
        <v>29463592</v>
      </c>
      <c r="DO22" s="31">
        <v>29463592</v>
      </c>
      <c r="DP22" s="9">
        <v>34989760</v>
      </c>
      <c r="DQ22" s="9">
        <v>34989760</v>
      </c>
      <c r="DR22" s="9">
        <v>34989760</v>
      </c>
      <c r="DS22" s="9">
        <v>34989760</v>
      </c>
      <c r="DT22" s="9">
        <v>34989760</v>
      </c>
      <c r="DU22" s="9">
        <v>34989760</v>
      </c>
      <c r="DV22" s="9">
        <v>34989760</v>
      </c>
      <c r="DW22" s="9">
        <v>34989760</v>
      </c>
      <c r="DX22" s="9">
        <v>34989760</v>
      </c>
      <c r="DY22" s="9">
        <v>34989760</v>
      </c>
      <c r="DZ22" s="9">
        <v>34989760</v>
      </c>
      <c r="EA22" s="9">
        <v>34989760</v>
      </c>
      <c r="EB22" s="31">
        <v>34989760</v>
      </c>
      <c r="EC22" s="9">
        <v>21614756</v>
      </c>
      <c r="ED22" s="9">
        <v>21614756</v>
      </c>
      <c r="EE22" s="9">
        <v>21614756</v>
      </c>
      <c r="EF22" s="9">
        <v>21614756</v>
      </c>
      <c r="EG22" s="9">
        <v>21614756</v>
      </c>
      <c r="EH22" s="9">
        <v>21614756</v>
      </c>
      <c r="EI22" s="9">
        <v>21614756</v>
      </c>
      <c r="EJ22" s="9">
        <v>21614756</v>
      </c>
      <c r="EK22" s="9">
        <v>21614756</v>
      </c>
      <c r="EL22" s="9">
        <v>21614756</v>
      </c>
      <c r="EM22" s="9">
        <v>21614756</v>
      </c>
      <c r="EN22" s="9">
        <v>21614756</v>
      </c>
      <c r="EO22" s="31">
        <v>21614756</v>
      </c>
      <c r="EP22" s="9">
        <v>24407573</v>
      </c>
      <c r="EQ22" s="9">
        <v>24407573</v>
      </c>
      <c r="ER22" s="9">
        <v>24407573</v>
      </c>
      <c r="ES22" s="9">
        <v>24407573</v>
      </c>
      <c r="ET22" s="9">
        <v>24407573</v>
      </c>
      <c r="EU22" s="9">
        <v>24407573</v>
      </c>
      <c r="EV22" s="9">
        <v>24407573</v>
      </c>
      <c r="EW22" s="9">
        <v>24407573</v>
      </c>
      <c r="EX22" s="9">
        <v>24407573</v>
      </c>
      <c r="EY22" s="9">
        <v>24407573</v>
      </c>
      <c r="EZ22" s="9">
        <v>24407573</v>
      </c>
      <c r="FA22" s="9">
        <v>24407573</v>
      </c>
      <c r="FB22" s="31">
        <v>24407573</v>
      </c>
      <c r="FC22" s="9">
        <v>26486066</v>
      </c>
      <c r="FD22" s="9">
        <v>26486066</v>
      </c>
      <c r="FE22" s="9">
        <v>26486066</v>
      </c>
      <c r="FF22" s="9">
        <v>26486066</v>
      </c>
      <c r="FG22" s="9">
        <v>26486066</v>
      </c>
      <c r="FH22" s="9">
        <v>26486066</v>
      </c>
      <c r="FI22" s="9">
        <v>26486066</v>
      </c>
      <c r="FJ22" s="9">
        <v>26486066</v>
      </c>
      <c r="FK22" s="9">
        <v>26486066</v>
      </c>
      <c r="FL22" s="9">
        <v>26486066</v>
      </c>
      <c r="FM22" s="9">
        <v>26486066</v>
      </c>
      <c r="FN22" s="9">
        <v>26486066</v>
      </c>
      <c r="FO22" s="31">
        <v>26486066</v>
      </c>
    </row>
    <row r="23" spans="2:171" x14ac:dyDescent="0.3">
      <c r="B23" s="7" t="s">
        <v>61</v>
      </c>
      <c r="C23" s="9">
        <v>14786598</v>
      </c>
      <c r="D23" s="9">
        <v>14786598</v>
      </c>
      <c r="E23" s="9">
        <v>14786598</v>
      </c>
      <c r="F23" s="9">
        <v>14786598</v>
      </c>
      <c r="G23" s="9">
        <v>14786598</v>
      </c>
      <c r="H23" s="9">
        <v>14786598</v>
      </c>
      <c r="I23" s="9">
        <v>14786598</v>
      </c>
      <c r="J23" s="9">
        <v>14786598</v>
      </c>
      <c r="K23" s="9">
        <v>14786598</v>
      </c>
      <c r="L23" s="9">
        <v>14786598</v>
      </c>
      <c r="M23" s="9">
        <v>14786598</v>
      </c>
      <c r="N23" s="9">
        <v>14786598</v>
      </c>
      <c r="O23" s="31">
        <v>14786598</v>
      </c>
      <c r="P23" s="9">
        <v>18601361</v>
      </c>
      <c r="Q23" s="9">
        <v>18601361</v>
      </c>
      <c r="R23" s="9">
        <v>18601361</v>
      </c>
      <c r="S23" s="9">
        <v>18601361</v>
      </c>
      <c r="T23" s="9">
        <v>18601361</v>
      </c>
      <c r="U23" s="9">
        <v>18601361</v>
      </c>
      <c r="V23" s="9">
        <v>18601361</v>
      </c>
      <c r="W23" s="9">
        <v>18601361</v>
      </c>
      <c r="X23" s="9">
        <v>18601361</v>
      </c>
      <c r="Y23" s="9">
        <v>18601361</v>
      </c>
      <c r="Z23" s="9">
        <v>18601361</v>
      </c>
      <c r="AA23" s="9">
        <v>18601361</v>
      </c>
      <c r="AB23" s="31">
        <v>18601361</v>
      </c>
      <c r="AC23" s="9">
        <v>15586123</v>
      </c>
      <c r="AD23" s="9">
        <v>15586123</v>
      </c>
      <c r="AE23" s="9">
        <v>15586123</v>
      </c>
      <c r="AF23" s="9">
        <v>15586123</v>
      </c>
      <c r="AG23" s="9">
        <v>15586123</v>
      </c>
      <c r="AH23" s="9">
        <v>15586123</v>
      </c>
      <c r="AI23" s="9">
        <v>15586123</v>
      </c>
      <c r="AJ23" s="9">
        <v>15586123</v>
      </c>
      <c r="AK23" s="9">
        <v>15586123</v>
      </c>
      <c r="AL23" s="9">
        <v>15586123</v>
      </c>
      <c r="AM23" s="9">
        <v>15586123</v>
      </c>
      <c r="AN23" s="9">
        <v>15586123</v>
      </c>
      <c r="AO23" s="31">
        <v>15586123</v>
      </c>
      <c r="AP23" s="9">
        <v>18727684</v>
      </c>
      <c r="AQ23" s="9">
        <v>18727684</v>
      </c>
      <c r="AR23" s="9">
        <v>18727684</v>
      </c>
      <c r="AS23" s="9">
        <v>18727684</v>
      </c>
      <c r="AT23" s="9">
        <v>18727684</v>
      </c>
      <c r="AU23" s="9">
        <v>18727684</v>
      </c>
      <c r="AV23" s="9">
        <v>18727684</v>
      </c>
      <c r="AW23" s="9">
        <v>18727684</v>
      </c>
      <c r="AX23" s="9">
        <v>18727684</v>
      </c>
      <c r="AY23" s="9">
        <v>18727684</v>
      </c>
      <c r="AZ23" s="9">
        <v>18727684</v>
      </c>
      <c r="BA23" s="9">
        <v>18727684</v>
      </c>
      <c r="BB23" s="31">
        <v>18727684</v>
      </c>
      <c r="BC23" s="9">
        <v>20592601</v>
      </c>
      <c r="BD23" s="9">
        <v>20592601</v>
      </c>
      <c r="BE23" s="9">
        <v>20592601</v>
      </c>
      <c r="BF23" s="9">
        <v>20592601</v>
      </c>
      <c r="BG23" s="9">
        <v>20592601</v>
      </c>
      <c r="BH23" s="9">
        <v>20592601</v>
      </c>
      <c r="BI23" s="9">
        <v>20592601</v>
      </c>
      <c r="BJ23" s="9">
        <v>20592601</v>
      </c>
      <c r="BK23" s="9">
        <v>20592601</v>
      </c>
      <c r="BL23" s="9">
        <v>20592601</v>
      </c>
      <c r="BM23" s="9">
        <v>20592601</v>
      </c>
      <c r="BN23" s="9">
        <v>20592601</v>
      </c>
      <c r="BO23" s="31">
        <v>20592601</v>
      </c>
      <c r="BP23" s="9">
        <v>20891252</v>
      </c>
      <c r="BQ23" s="9">
        <v>20891252</v>
      </c>
      <c r="BR23" s="9">
        <v>20891252</v>
      </c>
      <c r="BS23" s="9">
        <v>20891252</v>
      </c>
      <c r="BT23" s="9">
        <v>20891252</v>
      </c>
      <c r="BU23" s="9">
        <v>20891252</v>
      </c>
      <c r="BV23" s="9">
        <v>20891252</v>
      </c>
      <c r="BW23" s="9">
        <v>20891252</v>
      </c>
      <c r="BX23" s="9">
        <v>20891252</v>
      </c>
      <c r="BY23" s="9">
        <v>20891252</v>
      </c>
      <c r="BZ23" s="9">
        <v>20891252</v>
      </c>
      <c r="CA23" s="9">
        <v>20891252</v>
      </c>
      <c r="CB23" s="31">
        <v>20891252</v>
      </c>
      <c r="CC23" s="9">
        <v>27675314</v>
      </c>
      <c r="CD23" s="9">
        <v>27675314</v>
      </c>
      <c r="CE23" s="9">
        <v>27675314</v>
      </c>
      <c r="CF23" s="9">
        <v>27675314</v>
      </c>
      <c r="CG23" s="9">
        <v>27675314</v>
      </c>
      <c r="CH23" s="9">
        <v>27675314</v>
      </c>
      <c r="CI23" s="9">
        <v>27675314</v>
      </c>
      <c r="CJ23" s="9">
        <v>27675314</v>
      </c>
      <c r="CK23" s="9">
        <v>27675314</v>
      </c>
      <c r="CL23" s="9">
        <v>27675314</v>
      </c>
      <c r="CM23" s="9">
        <v>27675314</v>
      </c>
      <c r="CN23" s="9">
        <v>27675314</v>
      </c>
      <c r="CO23" s="31">
        <v>27675314</v>
      </c>
      <c r="CP23" s="9">
        <v>30425253</v>
      </c>
      <c r="CQ23" s="9">
        <v>30425253</v>
      </c>
      <c r="CR23" s="9">
        <v>30425253</v>
      </c>
      <c r="CS23" s="9">
        <v>30425253</v>
      </c>
      <c r="CT23" s="9">
        <v>30425253</v>
      </c>
      <c r="CU23" s="9">
        <v>30425253</v>
      </c>
      <c r="CV23" s="9">
        <v>30425253</v>
      </c>
      <c r="CW23" s="9">
        <v>30425253</v>
      </c>
      <c r="CX23" s="9">
        <v>30425253</v>
      </c>
      <c r="CY23" s="9">
        <v>30425253</v>
      </c>
      <c r="CZ23" s="9">
        <v>30425253</v>
      </c>
      <c r="DA23" s="9">
        <v>30425253</v>
      </c>
      <c r="DB23" s="31">
        <v>30425253</v>
      </c>
      <c r="DC23" s="9">
        <v>28701287</v>
      </c>
      <c r="DD23" s="9">
        <v>28701287</v>
      </c>
      <c r="DE23" s="9">
        <v>28701287</v>
      </c>
      <c r="DF23" s="9">
        <v>28701287</v>
      </c>
      <c r="DG23" s="9">
        <v>28701287</v>
      </c>
      <c r="DH23" s="9">
        <v>28701287</v>
      </c>
      <c r="DI23" s="9">
        <v>28701287</v>
      </c>
      <c r="DJ23" s="9">
        <v>28701287</v>
      </c>
      <c r="DK23" s="9">
        <v>28701287</v>
      </c>
      <c r="DL23" s="9">
        <v>28701287</v>
      </c>
      <c r="DM23" s="9">
        <v>28701287</v>
      </c>
      <c r="DN23" s="9">
        <v>28701287</v>
      </c>
      <c r="DO23" s="31">
        <v>28701287</v>
      </c>
      <c r="DP23" s="9">
        <v>21698957</v>
      </c>
      <c r="DQ23" s="9">
        <v>21698957</v>
      </c>
      <c r="DR23" s="9">
        <v>21698957</v>
      </c>
      <c r="DS23" s="9">
        <v>21698957</v>
      </c>
      <c r="DT23" s="9">
        <v>21698957</v>
      </c>
      <c r="DU23" s="9">
        <v>21698957</v>
      </c>
      <c r="DV23" s="9">
        <v>21698957</v>
      </c>
      <c r="DW23" s="9">
        <v>21698957</v>
      </c>
      <c r="DX23" s="9">
        <v>21698957</v>
      </c>
      <c r="DY23" s="9">
        <v>21698957</v>
      </c>
      <c r="DZ23" s="9">
        <v>21698957</v>
      </c>
      <c r="EA23" s="9">
        <v>21698957</v>
      </c>
      <c r="EB23" s="31">
        <v>21698957</v>
      </c>
      <c r="EC23" s="9">
        <v>27536485</v>
      </c>
      <c r="ED23" s="9">
        <v>27536485</v>
      </c>
      <c r="EE23" s="9">
        <v>27536485</v>
      </c>
      <c r="EF23" s="9">
        <v>27536485</v>
      </c>
      <c r="EG23" s="9">
        <v>27536485</v>
      </c>
      <c r="EH23" s="9">
        <v>27536485</v>
      </c>
      <c r="EI23" s="9">
        <v>27536485</v>
      </c>
      <c r="EJ23" s="9">
        <v>27536485</v>
      </c>
      <c r="EK23" s="9">
        <v>27536485</v>
      </c>
      <c r="EL23" s="9">
        <v>27536485</v>
      </c>
      <c r="EM23" s="9">
        <v>27536485</v>
      </c>
      <c r="EN23" s="9">
        <v>27536485</v>
      </c>
      <c r="EO23" s="31">
        <v>27536485</v>
      </c>
      <c r="EP23" s="9">
        <v>21901695</v>
      </c>
      <c r="EQ23" s="9">
        <v>21901695</v>
      </c>
      <c r="ER23" s="9">
        <v>21901695</v>
      </c>
      <c r="ES23" s="9">
        <v>21901695</v>
      </c>
      <c r="ET23" s="9">
        <v>21901695</v>
      </c>
      <c r="EU23" s="9">
        <v>21901695</v>
      </c>
      <c r="EV23" s="9">
        <v>21901695</v>
      </c>
      <c r="EW23" s="9">
        <v>21901695</v>
      </c>
      <c r="EX23" s="9">
        <v>21901695</v>
      </c>
      <c r="EY23" s="9">
        <v>21901695</v>
      </c>
      <c r="EZ23" s="9">
        <v>21901695</v>
      </c>
      <c r="FA23" s="9">
        <v>21901695</v>
      </c>
      <c r="FB23" s="31">
        <v>21901695</v>
      </c>
      <c r="FC23" s="9">
        <v>14354883</v>
      </c>
      <c r="FD23" s="9">
        <v>14354883</v>
      </c>
      <c r="FE23" s="9">
        <v>14354883</v>
      </c>
      <c r="FF23" s="9">
        <v>14354883</v>
      </c>
      <c r="FG23" s="9">
        <v>14354883</v>
      </c>
      <c r="FH23" s="9">
        <v>14354883</v>
      </c>
      <c r="FI23" s="9">
        <v>14354883</v>
      </c>
      <c r="FJ23" s="9">
        <v>14354883</v>
      </c>
      <c r="FK23" s="9">
        <v>14354883</v>
      </c>
      <c r="FL23" s="9">
        <v>14354883</v>
      </c>
      <c r="FM23" s="9">
        <v>14354883</v>
      </c>
      <c r="FN23" s="9">
        <v>14354883</v>
      </c>
      <c r="FO23" s="31">
        <v>14354883</v>
      </c>
    </row>
    <row r="24" spans="2:171" x14ac:dyDescent="0.3">
      <c r="B24" s="7" t="s">
        <v>62</v>
      </c>
      <c r="C24" s="9">
        <v>5392166</v>
      </c>
      <c r="D24" s="9">
        <v>5392166</v>
      </c>
      <c r="E24" s="9">
        <v>5392166</v>
      </c>
      <c r="F24" s="9">
        <v>5392166</v>
      </c>
      <c r="G24" s="9">
        <v>5392166</v>
      </c>
      <c r="H24" s="9">
        <v>5392166</v>
      </c>
      <c r="I24" s="9">
        <v>5392166</v>
      </c>
      <c r="J24" s="9">
        <v>5392166</v>
      </c>
      <c r="K24" s="9">
        <v>5392166</v>
      </c>
      <c r="L24" s="9">
        <v>5392166</v>
      </c>
      <c r="M24" s="9">
        <v>5392166</v>
      </c>
      <c r="N24" s="9">
        <v>5392166</v>
      </c>
      <c r="O24" s="31">
        <v>5392166</v>
      </c>
      <c r="P24" s="9">
        <v>5699415</v>
      </c>
      <c r="Q24" s="9">
        <v>5699415</v>
      </c>
      <c r="R24" s="9">
        <v>5699415</v>
      </c>
      <c r="S24" s="9">
        <v>5699415</v>
      </c>
      <c r="T24" s="9">
        <v>5699415</v>
      </c>
      <c r="U24" s="9">
        <v>5699415</v>
      </c>
      <c r="V24" s="9">
        <v>5699415</v>
      </c>
      <c r="W24" s="9">
        <v>5699415</v>
      </c>
      <c r="X24" s="9">
        <v>5699415</v>
      </c>
      <c r="Y24" s="9">
        <v>5699415</v>
      </c>
      <c r="Z24" s="9">
        <v>5699415</v>
      </c>
      <c r="AA24" s="9">
        <v>5699415</v>
      </c>
      <c r="AB24" s="31">
        <v>5699415</v>
      </c>
      <c r="AC24" s="9">
        <v>3539833</v>
      </c>
      <c r="AD24" s="9">
        <v>3539833</v>
      </c>
      <c r="AE24" s="9">
        <v>3539833</v>
      </c>
      <c r="AF24" s="9">
        <v>3539833</v>
      </c>
      <c r="AG24" s="9">
        <v>3539833</v>
      </c>
      <c r="AH24" s="9">
        <v>3539833</v>
      </c>
      <c r="AI24" s="9">
        <v>3539833</v>
      </c>
      <c r="AJ24" s="9">
        <v>3539833</v>
      </c>
      <c r="AK24" s="9">
        <v>3539833</v>
      </c>
      <c r="AL24" s="9">
        <v>3539833</v>
      </c>
      <c r="AM24" s="9">
        <v>3539833</v>
      </c>
      <c r="AN24" s="9">
        <v>3539833</v>
      </c>
      <c r="AO24" s="31">
        <v>3539833</v>
      </c>
      <c r="AP24" s="9">
        <v>5128170</v>
      </c>
      <c r="AQ24" s="9">
        <v>5128170</v>
      </c>
      <c r="AR24" s="9">
        <v>5128170</v>
      </c>
      <c r="AS24" s="9">
        <v>5128170</v>
      </c>
      <c r="AT24" s="9">
        <v>5128170</v>
      </c>
      <c r="AU24" s="9">
        <v>5128170</v>
      </c>
      <c r="AV24" s="9">
        <v>5128170</v>
      </c>
      <c r="AW24" s="9">
        <v>5128170</v>
      </c>
      <c r="AX24" s="9">
        <v>5128170</v>
      </c>
      <c r="AY24" s="9">
        <v>5128170</v>
      </c>
      <c r="AZ24" s="9">
        <v>5128170</v>
      </c>
      <c r="BA24" s="9">
        <v>5128170</v>
      </c>
      <c r="BB24" s="31">
        <v>5128170</v>
      </c>
      <c r="BC24" s="9">
        <v>8270637</v>
      </c>
      <c r="BD24" s="9">
        <v>8270637</v>
      </c>
      <c r="BE24" s="9">
        <v>8270637</v>
      </c>
      <c r="BF24" s="9">
        <v>8270637</v>
      </c>
      <c r="BG24" s="9">
        <v>8270637</v>
      </c>
      <c r="BH24" s="9">
        <v>8270637</v>
      </c>
      <c r="BI24" s="9">
        <v>8270637</v>
      </c>
      <c r="BJ24" s="9">
        <v>8270637</v>
      </c>
      <c r="BK24" s="9">
        <v>8270637</v>
      </c>
      <c r="BL24" s="9">
        <v>8270637</v>
      </c>
      <c r="BM24" s="9">
        <v>8270637</v>
      </c>
      <c r="BN24" s="9">
        <v>8270637</v>
      </c>
      <c r="BO24" s="31">
        <v>8270637</v>
      </c>
      <c r="BP24" s="9">
        <v>3270747</v>
      </c>
      <c r="BQ24" s="9">
        <v>3270747</v>
      </c>
      <c r="BR24" s="9">
        <v>3270747</v>
      </c>
      <c r="BS24" s="9">
        <v>3270747</v>
      </c>
      <c r="BT24" s="9">
        <v>3270747</v>
      </c>
      <c r="BU24" s="9">
        <v>3270747</v>
      </c>
      <c r="BV24" s="9">
        <v>3270747</v>
      </c>
      <c r="BW24" s="9">
        <v>3270747</v>
      </c>
      <c r="BX24" s="9">
        <v>3270747</v>
      </c>
      <c r="BY24" s="9">
        <v>3270747</v>
      </c>
      <c r="BZ24" s="9">
        <v>3270747</v>
      </c>
      <c r="CA24" s="9">
        <v>3270747</v>
      </c>
      <c r="CB24" s="31">
        <v>3270747</v>
      </c>
      <c r="CC24" s="9">
        <v>7655072</v>
      </c>
      <c r="CD24" s="9">
        <v>7655072</v>
      </c>
      <c r="CE24" s="9">
        <v>7655072</v>
      </c>
      <c r="CF24" s="9">
        <v>7655072</v>
      </c>
      <c r="CG24" s="9">
        <v>7655072</v>
      </c>
      <c r="CH24" s="9">
        <v>7655072</v>
      </c>
      <c r="CI24" s="9">
        <v>7655072</v>
      </c>
      <c r="CJ24" s="9">
        <v>7655072</v>
      </c>
      <c r="CK24" s="9">
        <v>7655072</v>
      </c>
      <c r="CL24" s="9">
        <v>7655072</v>
      </c>
      <c r="CM24" s="9">
        <v>7655072</v>
      </c>
      <c r="CN24" s="9">
        <v>7655072</v>
      </c>
      <c r="CO24" s="31">
        <v>7655072</v>
      </c>
      <c r="CP24" s="9">
        <v>7006206</v>
      </c>
      <c r="CQ24" s="9">
        <v>7006206</v>
      </c>
      <c r="CR24" s="9">
        <v>7006206</v>
      </c>
      <c r="CS24" s="9">
        <v>7006206</v>
      </c>
      <c r="CT24" s="9">
        <v>7006206</v>
      </c>
      <c r="CU24" s="9">
        <v>7006206</v>
      </c>
      <c r="CV24" s="9">
        <v>7006206</v>
      </c>
      <c r="CW24" s="9">
        <v>7006206</v>
      </c>
      <c r="CX24" s="9">
        <v>7006206</v>
      </c>
      <c r="CY24" s="9">
        <v>7006206</v>
      </c>
      <c r="CZ24" s="9">
        <v>7006206</v>
      </c>
      <c r="DA24" s="9">
        <v>7006206</v>
      </c>
      <c r="DB24" s="31">
        <v>7006206</v>
      </c>
      <c r="DC24" s="9">
        <v>7213147</v>
      </c>
      <c r="DD24" s="9">
        <v>7213147</v>
      </c>
      <c r="DE24" s="9">
        <v>7213147</v>
      </c>
      <c r="DF24" s="9">
        <v>7213147</v>
      </c>
      <c r="DG24" s="9">
        <v>7213147</v>
      </c>
      <c r="DH24" s="9">
        <v>7213147</v>
      </c>
      <c r="DI24" s="9">
        <v>7213147</v>
      </c>
      <c r="DJ24" s="9">
        <v>7213147</v>
      </c>
      <c r="DK24" s="9">
        <v>7213147</v>
      </c>
      <c r="DL24" s="9">
        <v>7213147</v>
      </c>
      <c r="DM24" s="9">
        <v>7213147</v>
      </c>
      <c r="DN24" s="9">
        <v>7213147</v>
      </c>
      <c r="DO24" s="31">
        <v>7213147</v>
      </c>
      <c r="DP24" s="9">
        <v>8696258</v>
      </c>
      <c r="DQ24" s="9">
        <v>8696258</v>
      </c>
      <c r="DR24" s="9">
        <v>8696258</v>
      </c>
      <c r="DS24" s="9">
        <v>8696258</v>
      </c>
      <c r="DT24" s="9">
        <v>8696258</v>
      </c>
      <c r="DU24" s="9">
        <v>8696258</v>
      </c>
      <c r="DV24" s="9">
        <v>8696258</v>
      </c>
      <c r="DW24" s="9">
        <v>8696258</v>
      </c>
      <c r="DX24" s="9">
        <v>8696258</v>
      </c>
      <c r="DY24" s="9">
        <v>8696258</v>
      </c>
      <c r="DZ24" s="9">
        <v>8696258</v>
      </c>
      <c r="EA24" s="9">
        <v>8696258</v>
      </c>
      <c r="EB24" s="31">
        <v>8696258</v>
      </c>
      <c r="EC24" s="9">
        <v>18841858</v>
      </c>
      <c r="ED24" s="9">
        <v>18841858</v>
      </c>
      <c r="EE24" s="9">
        <v>18841858</v>
      </c>
      <c r="EF24" s="9">
        <v>18841858</v>
      </c>
      <c r="EG24" s="9">
        <v>18841858</v>
      </c>
      <c r="EH24" s="9">
        <v>18841858</v>
      </c>
      <c r="EI24" s="9">
        <v>18841858</v>
      </c>
      <c r="EJ24" s="9">
        <v>18841858</v>
      </c>
      <c r="EK24" s="9">
        <v>18841858</v>
      </c>
      <c r="EL24" s="9">
        <v>18841858</v>
      </c>
      <c r="EM24" s="9">
        <v>18841858</v>
      </c>
      <c r="EN24" s="9">
        <v>18841858</v>
      </c>
      <c r="EO24" s="31">
        <v>18841858</v>
      </c>
      <c r="EP24" s="9">
        <v>15973417</v>
      </c>
      <c r="EQ24" s="9">
        <v>15973417</v>
      </c>
      <c r="ER24" s="9">
        <v>15973417</v>
      </c>
      <c r="ES24" s="9">
        <v>15973417</v>
      </c>
      <c r="ET24" s="9">
        <v>15973417</v>
      </c>
      <c r="EU24" s="9">
        <v>15973417</v>
      </c>
      <c r="EV24" s="9">
        <v>15973417</v>
      </c>
      <c r="EW24" s="9">
        <v>15973417</v>
      </c>
      <c r="EX24" s="9">
        <v>15973417</v>
      </c>
      <c r="EY24" s="9">
        <v>15973417</v>
      </c>
      <c r="EZ24" s="9">
        <v>15973417</v>
      </c>
      <c r="FA24" s="9">
        <v>15973417</v>
      </c>
      <c r="FB24" s="31">
        <v>15973417</v>
      </c>
      <c r="FC24" s="9">
        <v>8237296</v>
      </c>
      <c r="FD24" s="9">
        <v>8237296</v>
      </c>
      <c r="FE24" s="9">
        <v>8237296</v>
      </c>
      <c r="FF24" s="9">
        <v>8237296</v>
      </c>
      <c r="FG24" s="9">
        <v>8237296</v>
      </c>
      <c r="FH24" s="9">
        <v>8237296</v>
      </c>
      <c r="FI24" s="9">
        <v>8237296</v>
      </c>
      <c r="FJ24" s="9">
        <v>8237296</v>
      </c>
      <c r="FK24" s="9">
        <v>8237296</v>
      </c>
      <c r="FL24" s="9">
        <v>8237296</v>
      </c>
      <c r="FM24" s="9">
        <v>8237296</v>
      </c>
      <c r="FN24" s="9">
        <v>8237296</v>
      </c>
      <c r="FO24" s="31">
        <v>8237296</v>
      </c>
    </row>
    <row r="25" spans="2:171" x14ac:dyDescent="0.3">
      <c r="B25" s="7" t="s">
        <v>63</v>
      </c>
      <c r="C25" s="9">
        <v>11406728</v>
      </c>
      <c r="D25" s="9">
        <v>11406728</v>
      </c>
      <c r="E25" s="9">
        <v>11406728</v>
      </c>
      <c r="F25" s="9">
        <v>11406728</v>
      </c>
      <c r="G25" s="9">
        <v>11406728</v>
      </c>
      <c r="H25" s="9">
        <v>11406728</v>
      </c>
      <c r="I25" s="9">
        <v>11406728</v>
      </c>
      <c r="J25" s="9">
        <v>11406728</v>
      </c>
      <c r="K25" s="9">
        <v>11406728</v>
      </c>
      <c r="L25" s="9">
        <v>11406728</v>
      </c>
      <c r="M25" s="9">
        <v>11406728</v>
      </c>
      <c r="N25" s="9">
        <v>11406728</v>
      </c>
      <c r="O25" s="31">
        <v>11406728</v>
      </c>
      <c r="P25" s="9">
        <v>8619188</v>
      </c>
      <c r="Q25" s="9">
        <v>8619188</v>
      </c>
      <c r="R25" s="9">
        <v>8619188</v>
      </c>
      <c r="S25" s="9">
        <v>8619188</v>
      </c>
      <c r="T25" s="9">
        <v>8619188</v>
      </c>
      <c r="U25" s="9">
        <v>8619188</v>
      </c>
      <c r="V25" s="9">
        <v>8619188</v>
      </c>
      <c r="W25" s="9">
        <v>8619188</v>
      </c>
      <c r="X25" s="9">
        <v>8619188</v>
      </c>
      <c r="Y25" s="9">
        <v>8619188</v>
      </c>
      <c r="Z25" s="9">
        <v>8619188</v>
      </c>
      <c r="AA25" s="9">
        <v>8619188</v>
      </c>
      <c r="AB25" s="31">
        <v>8619188</v>
      </c>
      <c r="AC25" s="9">
        <v>8177486</v>
      </c>
      <c r="AD25" s="9">
        <v>8177486</v>
      </c>
      <c r="AE25" s="9">
        <v>8177486</v>
      </c>
      <c r="AF25" s="9">
        <v>8177486</v>
      </c>
      <c r="AG25" s="9">
        <v>8177486</v>
      </c>
      <c r="AH25" s="9">
        <v>8177486</v>
      </c>
      <c r="AI25" s="9">
        <v>8177486</v>
      </c>
      <c r="AJ25" s="9">
        <v>8177486</v>
      </c>
      <c r="AK25" s="9">
        <v>8177486</v>
      </c>
      <c r="AL25" s="9">
        <v>8177486</v>
      </c>
      <c r="AM25" s="9">
        <v>8177486</v>
      </c>
      <c r="AN25" s="9">
        <v>8177486</v>
      </c>
      <c r="AO25" s="31">
        <v>8177486</v>
      </c>
      <c r="AP25" s="9">
        <v>10756255</v>
      </c>
      <c r="AQ25" s="9">
        <v>10756255</v>
      </c>
      <c r="AR25" s="9">
        <v>10756255</v>
      </c>
      <c r="AS25" s="9">
        <v>10756255</v>
      </c>
      <c r="AT25" s="9">
        <v>10756255</v>
      </c>
      <c r="AU25" s="9">
        <v>10756255</v>
      </c>
      <c r="AV25" s="9">
        <v>10756255</v>
      </c>
      <c r="AW25" s="9">
        <v>10756255</v>
      </c>
      <c r="AX25" s="9">
        <v>10756255</v>
      </c>
      <c r="AY25" s="9">
        <v>10756255</v>
      </c>
      <c r="AZ25" s="9">
        <v>10756255</v>
      </c>
      <c r="BA25" s="9">
        <v>10756255</v>
      </c>
      <c r="BB25" s="31">
        <v>10756255</v>
      </c>
      <c r="BC25" s="9">
        <v>11496808</v>
      </c>
      <c r="BD25" s="9">
        <v>11496808</v>
      </c>
      <c r="BE25" s="9">
        <v>11496808</v>
      </c>
      <c r="BF25" s="9">
        <v>11496808</v>
      </c>
      <c r="BG25" s="9">
        <v>11496808</v>
      </c>
      <c r="BH25" s="9">
        <v>11496808</v>
      </c>
      <c r="BI25" s="9">
        <v>11496808</v>
      </c>
      <c r="BJ25" s="9">
        <v>11496808</v>
      </c>
      <c r="BK25" s="9">
        <v>11496808</v>
      </c>
      <c r="BL25" s="9">
        <v>11496808</v>
      </c>
      <c r="BM25" s="9">
        <v>11496808</v>
      </c>
      <c r="BN25" s="9">
        <v>11496808</v>
      </c>
      <c r="BO25" s="31">
        <v>11496808</v>
      </c>
      <c r="BP25" s="9">
        <v>15389832</v>
      </c>
      <c r="BQ25" s="9">
        <v>15389832</v>
      </c>
      <c r="BR25" s="9">
        <v>15389832</v>
      </c>
      <c r="BS25" s="9">
        <v>15389832</v>
      </c>
      <c r="BT25" s="9">
        <v>15389832</v>
      </c>
      <c r="BU25" s="9">
        <v>15389832</v>
      </c>
      <c r="BV25" s="9">
        <v>15389832</v>
      </c>
      <c r="BW25" s="9">
        <v>15389832</v>
      </c>
      <c r="BX25" s="9">
        <v>15389832</v>
      </c>
      <c r="BY25" s="9">
        <v>15389832</v>
      </c>
      <c r="BZ25" s="9">
        <v>15389832</v>
      </c>
      <c r="CA25" s="9">
        <v>15389832</v>
      </c>
      <c r="CB25" s="31">
        <v>15389832</v>
      </c>
      <c r="CC25" s="9">
        <v>12031468</v>
      </c>
      <c r="CD25" s="9">
        <v>12031468</v>
      </c>
      <c r="CE25" s="9">
        <v>12031468</v>
      </c>
      <c r="CF25" s="9">
        <v>12031468</v>
      </c>
      <c r="CG25" s="9">
        <v>12031468</v>
      </c>
      <c r="CH25" s="9">
        <v>12031468</v>
      </c>
      <c r="CI25" s="9">
        <v>12031468</v>
      </c>
      <c r="CJ25" s="9">
        <v>12031468</v>
      </c>
      <c r="CK25" s="9">
        <v>12031468</v>
      </c>
      <c r="CL25" s="9">
        <v>12031468</v>
      </c>
      <c r="CM25" s="9">
        <v>12031468</v>
      </c>
      <c r="CN25" s="9">
        <v>12031468</v>
      </c>
      <c r="CO25" s="31">
        <v>12031468</v>
      </c>
      <c r="CP25" s="9">
        <v>9782662</v>
      </c>
      <c r="CQ25" s="9">
        <v>9782662</v>
      </c>
      <c r="CR25" s="9">
        <v>9782662</v>
      </c>
      <c r="CS25" s="9">
        <v>9782662</v>
      </c>
      <c r="CT25" s="9">
        <v>9782662</v>
      </c>
      <c r="CU25" s="9">
        <v>9782662</v>
      </c>
      <c r="CV25" s="9">
        <v>9782662</v>
      </c>
      <c r="CW25" s="9">
        <v>9782662</v>
      </c>
      <c r="CX25" s="9">
        <v>9782662</v>
      </c>
      <c r="CY25" s="9">
        <v>9782662</v>
      </c>
      <c r="CZ25" s="9">
        <v>9782662</v>
      </c>
      <c r="DA25" s="9">
        <v>9782662</v>
      </c>
      <c r="DB25" s="31">
        <v>9782662</v>
      </c>
      <c r="DC25" s="9">
        <v>14902342</v>
      </c>
      <c r="DD25" s="9">
        <v>14902342</v>
      </c>
      <c r="DE25" s="9">
        <v>14902342</v>
      </c>
      <c r="DF25" s="9">
        <v>14902342</v>
      </c>
      <c r="DG25" s="9">
        <v>14902342</v>
      </c>
      <c r="DH25" s="9">
        <v>14902342</v>
      </c>
      <c r="DI25" s="9">
        <v>14902342</v>
      </c>
      <c r="DJ25" s="9">
        <v>14902342</v>
      </c>
      <c r="DK25" s="9">
        <v>14902342</v>
      </c>
      <c r="DL25" s="9">
        <v>14902342</v>
      </c>
      <c r="DM25" s="9">
        <v>14902342</v>
      </c>
      <c r="DN25" s="9">
        <v>14902342</v>
      </c>
      <c r="DO25" s="31">
        <v>14902342</v>
      </c>
      <c r="DP25" s="9">
        <v>22127832</v>
      </c>
      <c r="DQ25" s="9">
        <v>22127832</v>
      </c>
      <c r="DR25" s="9">
        <v>22127832</v>
      </c>
      <c r="DS25" s="9">
        <v>22127832</v>
      </c>
      <c r="DT25" s="9">
        <v>22127832</v>
      </c>
      <c r="DU25" s="9">
        <v>22127832</v>
      </c>
      <c r="DV25" s="9">
        <v>22127832</v>
      </c>
      <c r="DW25" s="9">
        <v>22127832</v>
      </c>
      <c r="DX25" s="9">
        <v>22127832</v>
      </c>
      <c r="DY25" s="9">
        <v>22127832</v>
      </c>
      <c r="DZ25" s="9">
        <v>22127832</v>
      </c>
      <c r="EA25" s="9">
        <v>22127832</v>
      </c>
      <c r="EB25" s="31">
        <v>22127832</v>
      </c>
      <c r="EC25" s="9">
        <v>22256093</v>
      </c>
      <c r="ED25" s="9">
        <v>22256093</v>
      </c>
      <c r="EE25" s="9">
        <v>22256093</v>
      </c>
      <c r="EF25" s="9">
        <v>22256093</v>
      </c>
      <c r="EG25" s="9">
        <v>22256093</v>
      </c>
      <c r="EH25" s="9">
        <v>22256093</v>
      </c>
      <c r="EI25" s="9">
        <v>22256093</v>
      </c>
      <c r="EJ25" s="9">
        <v>22256093</v>
      </c>
      <c r="EK25" s="9">
        <v>22256093</v>
      </c>
      <c r="EL25" s="9">
        <v>22256093</v>
      </c>
      <c r="EM25" s="9">
        <v>22256093</v>
      </c>
      <c r="EN25" s="9">
        <v>22256093</v>
      </c>
      <c r="EO25" s="31">
        <v>22256093</v>
      </c>
      <c r="EP25" s="9">
        <v>21184028</v>
      </c>
      <c r="EQ25" s="9">
        <v>21184028</v>
      </c>
      <c r="ER25" s="9">
        <v>21184028</v>
      </c>
      <c r="ES25" s="9">
        <v>21184028</v>
      </c>
      <c r="ET25" s="9">
        <v>21184028</v>
      </c>
      <c r="EU25" s="9">
        <v>21184028</v>
      </c>
      <c r="EV25" s="9">
        <v>21184028</v>
      </c>
      <c r="EW25" s="9">
        <v>21184028</v>
      </c>
      <c r="EX25" s="9">
        <v>21184028</v>
      </c>
      <c r="EY25" s="9">
        <v>21184028</v>
      </c>
      <c r="EZ25" s="9">
        <v>21184028</v>
      </c>
      <c r="FA25" s="9">
        <v>21184028</v>
      </c>
      <c r="FB25" s="31">
        <v>21184028</v>
      </c>
      <c r="FC25" s="9">
        <v>24770394</v>
      </c>
      <c r="FD25" s="9">
        <v>24770394</v>
      </c>
      <c r="FE25" s="9">
        <v>24770394</v>
      </c>
      <c r="FF25" s="9">
        <v>24770394</v>
      </c>
      <c r="FG25" s="9">
        <v>24770394</v>
      </c>
      <c r="FH25" s="9">
        <v>24770394</v>
      </c>
      <c r="FI25" s="9">
        <v>24770394</v>
      </c>
      <c r="FJ25" s="9">
        <v>24770394</v>
      </c>
      <c r="FK25" s="9">
        <v>24770394</v>
      </c>
      <c r="FL25" s="9">
        <v>24770394</v>
      </c>
      <c r="FM25" s="9">
        <v>24770394</v>
      </c>
      <c r="FN25" s="9">
        <v>24770394</v>
      </c>
      <c r="FO25" s="31">
        <v>24770394</v>
      </c>
    </row>
    <row r="26" spans="2:171" x14ac:dyDescent="0.3">
      <c r="B26" s="11" t="s">
        <v>117</v>
      </c>
      <c r="C26" s="13">
        <f t="shared" ref="C26:AH26" si="0">SUM(C8:C25)</f>
        <v>350781874</v>
      </c>
      <c r="D26" s="13">
        <f t="shared" si="0"/>
        <v>350781874</v>
      </c>
      <c r="E26" s="13">
        <f t="shared" si="0"/>
        <v>352072796</v>
      </c>
      <c r="F26" s="13">
        <f t="shared" si="0"/>
        <v>352072796</v>
      </c>
      <c r="G26" s="13">
        <f t="shared" si="0"/>
        <v>352072796</v>
      </c>
      <c r="H26" s="13">
        <f t="shared" si="0"/>
        <v>352072796</v>
      </c>
      <c r="I26" s="13">
        <f t="shared" si="0"/>
        <v>352072796</v>
      </c>
      <c r="J26" s="13">
        <f t="shared" si="0"/>
        <v>352072796</v>
      </c>
      <c r="K26" s="13">
        <f t="shared" si="0"/>
        <v>352072796</v>
      </c>
      <c r="L26" s="13">
        <f t="shared" si="0"/>
        <v>352072796</v>
      </c>
      <c r="M26" s="13">
        <f t="shared" si="0"/>
        <v>352072796</v>
      </c>
      <c r="N26" s="13">
        <f t="shared" si="0"/>
        <v>352072796</v>
      </c>
      <c r="O26" s="13">
        <f t="shared" si="0"/>
        <v>352072796</v>
      </c>
      <c r="P26" s="13">
        <f t="shared" si="0"/>
        <v>433896298</v>
      </c>
      <c r="Q26" s="13">
        <f t="shared" si="0"/>
        <v>433896298</v>
      </c>
      <c r="R26" s="13">
        <f t="shared" si="0"/>
        <v>433896298</v>
      </c>
      <c r="S26" s="13">
        <f t="shared" si="0"/>
        <v>433896298</v>
      </c>
      <c r="T26" s="13">
        <f t="shared" si="0"/>
        <v>433896298</v>
      </c>
      <c r="U26" s="13">
        <f t="shared" si="0"/>
        <v>433896298</v>
      </c>
      <c r="V26" s="13">
        <f t="shared" si="0"/>
        <v>433896298</v>
      </c>
      <c r="W26" s="13">
        <f t="shared" si="0"/>
        <v>433896298</v>
      </c>
      <c r="X26" s="13">
        <f t="shared" si="0"/>
        <v>433896298</v>
      </c>
      <c r="Y26" s="13">
        <f t="shared" si="0"/>
        <v>433896298</v>
      </c>
      <c r="Z26" s="13">
        <f t="shared" si="0"/>
        <v>433896298</v>
      </c>
      <c r="AA26" s="13">
        <f t="shared" si="0"/>
        <v>433896298</v>
      </c>
      <c r="AB26" s="13">
        <f t="shared" si="0"/>
        <v>433896298</v>
      </c>
      <c r="AC26" s="13">
        <f t="shared" si="0"/>
        <v>399195398</v>
      </c>
      <c r="AD26" s="13">
        <f t="shared" si="0"/>
        <v>399195398</v>
      </c>
      <c r="AE26" s="13">
        <f t="shared" si="0"/>
        <v>399195398</v>
      </c>
      <c r="AF26" s="13">
        <f t="shared" si="0"/>
        <v>399195398</v>
      </c>
      <c r="AG26" s="13">
        <f t="shared" si="0"/>
        <v>399195398</v>
      </c>
      <c r="AH26" s="13">
        <f t="shared" si="0"/>
        <v>399195398</v>
      </c>
      <c r="AI26" s="13">
        <f t="shared" ref="AI26:BN26" si="1">SUM(AI8:AI25)</f>
        <v>399195398</v>
      </c>
      <c r="AJ26" s="13">
        <f t="shared" si="1"/>
        <v>399195398</v>
      </c>
      <c r="AK26" s="13">
        <f t="shared" si="1"/>
        <v>399195398</v>
      </c>
      <c r="AL26" s="13">
        <f t="shared" si="1"/>
        <v>399195398</v>
      </c>
      <c r="AM26" s="13">
        <f t="shared" si="1"/>
        <v>399195398</v>
      </c>
      <c r="AN26" s="13">
        <f t="shared" si="1"/>
        <v>399195398</v>
      </c>
      <c r="AO26" s="13">
        <f t="shared" si="1"/>
        <v>399195398</v>
      </c>
      <c r="AP26" s="13">
        <f t="shared" si="1"/>
        <v>452613545</v>
      </c>
      <c r="AQ26" s="13">
        <f t="shared" si="1"/>
        <v>452613545</v>
      </c>
      <c r="AR26" s="13">
        <f t="shared" si="1"/>
        <v>452613545</v>
      </c>
      <c r="AS26" s="13">
        <f t="shared" si="1"/>
        <v>452613545</v>
      </c>
      <c r="AT26" s="13">
        <f t="shared" si="1"/>
        <v>452613545</v>
      </c>
      <c r="AU26" s="13">
        <f t="shared" si="1"/>
        <v>452613545</v>
      </c>
      <c r="AV26" s="13">
        <f t="shared" si="1"/>
        <v>452613545</v>
      </c>
      <c r="AW26" s="13">
        <f t="shared" si="1"/>
        <v>452613545</v>
      </c>
      <c r="AX26" s="13">
        <f t="shared" si="1"/>
        <v>452613545</v>
      </c>
      <c r="AY26" s="13">
        <f t="shared" si="1"/>
        <v>452613545</v>
      </c>
      <c r="AZ26" s="13">
        <f t="shared" si="1"/>
        <v>452613545</v>
      </c>
      <c r="BA26" s="13">
        <f t="shared" si="1"/>
        <v>452613545</v>
      </c>
      <c r="BB26" s="13">
        <f t="shared" si="1"/>
        <v>452613545</v>
      </c>
      <c r="BC26" s="13">
        <f t="shared" si="1"/>
        <v>440734738</v>
      </c>
      <c r="BD26" s="13">
        <f t="shared" si="1"/>
        <v>440734738</v>
      </c>
      <c r="BE26" s="13">
        <f t="shared" si="1"/>
        <v>440734738</v>
      </c>
      <c r="BF26" s="13">
        <f t="shared" si="1"/>
        <v>440734738</v>
      </c>
      <c r="BG26" s="13">
        <f t="shared" si="1"/>
        <v>440734738</v>
      </c>
      <c r="BH26" s="13">
        <f t="shared" si="1"/>
        <v>440734738</v>
      </c>
      <c r="BI26" s="13">
        <f t="shared" si="1"/>
        <v>440734738</v>
      </c>
      <c r="BJ26" s="13">
        <f t="shared" si="1"/>
        <v>440734738</v>
      </c>
      <c r="BK26" s="13">
        <f t="shared" si="1"/>
        <v>440734738</v>
      </c>
      <c r="BL26" s="13">
        <f t="shared" si="1"/>
        <v>440734738</v>
      </c>
      <c r="BM26" s="13">
        <f t="shared" si="1"/>
        <v>440734738</v>
      </c>
      <c r="BN26" s="13">
        <f t="shared" si="1"/>
        <v>440734738</v>
      </c>
      <c r="BO26" s="13">
        <f t="shared" ref="BO26:CT26" si="2">SUM(BO8:BO25)</f>
        <v>440734738</v>
      </c>
      <c r="BP26" s="13">
        <f t="shared" si="2"/>
        <v>395848768</v>
      </c>
      <c r="BQ26" s="13">
        <f t="shared" si="2"/>
        <v>395848768</v>
      </c>
      <c r="BR26" s="13">
        <f t="shared" si="2"/>
        <v>395848768</v>
      </c>
      <c r="BS26" s="13">
        <f t="shared" si="2"/>
        <v>395848768</v>
      </c>
      <c r="BT26" s="13">
        <f t="shared" si="2"/>
        <v>395848768</v>
      </c>
      <c r="BU26" s="13">
        <f t="shared" si="2"/>
        <v>395848768</v>
      </c>
      <c r="BV26" s="13">
        <f t="shared" si="2"/>
        <v>395848768</v>
      </c>
      <c r="BW26" s="13">
        <f t="shared" si="2"/>
        <v>395848768</v>
      </c>
      <c r="BX26" s="13">
        <f t="shared" si="2"/>
        <v>395848768</v>
      </c>
      <c r="BY26" s="13">
        <f t="shared" si="2"/>
        <v>395848768</v>
      </c>
      <c r="BZ26" s="13">
        <f t="shared" si="2"/>
        <v>395848768</v>
      </c>
      <c r="CA26" s="13">
        <f t="shared" si="2"/>
        <v>395848768</v>
      </c>
      <c r="CB26" s="13">
        <f t="shared" si="2"/>
        <v>395848768</v>
      </c>
      <c r="CC26" s="13">
        <f t="shared" si="2"/>
        <v>442669895</v>
      </c>
      <c r="CD26" s="13">
        <f t="shared" si="2"/>
        <v>442669895</v>
      </c>
      <c r="CE26" s="13">
        <f t="shared" si="2"/>
        <v>442669895</v>
      </c>
      <c r="CF26" s="13">
        <f t="shared" si="2"/>
        <v>442669895</v>
      </c>
      <c r="CG26" s="13">
        <f t="shared" si="2"/>
        <v>442669895</v>
      </c>
      <c r="CH26" s="13">
        <f t="shared" si="2"/>
        <v>442669895</v>
      </c>
      <c r="CI26" s="13">
        <f t="shared" si="2"/>
        <v>442669895</v>
      </c>
      <c r="CJ26" s="13">
        <f t="shared" si="2"/>
        <v>442669895</v>
      </c>
      <c r="CK26" s="13">
        <f t="shared" si="2"/>
        <v>442669895</v>
      </c>
      <c r="CL26" s="13">
        <f t="shared" si="2"/>
        <v>442669895</v>
      </c>
      <c r="CM26" s="13">
        <f t="shared" si="2"/>
        <v>442669895</v>
      </c>
      <c r="CN26" s="13">
        <f t="shared" si="2"/>
        <v>442669895</v>
      </c>
      <c r="CO26" s="13">
        <f t="shared" si="2"/>
        <v>442669895</v>
      </c>
      <c r="CP26" s="13">
        <f t="shared" si="2"/>
        <v>469564689</v>
      </c>
      <c r="CQ26" s="13">
        <f t="shared" si="2"/>
        <v>469564689</v>
      </c>
      <c r="CR26" s="13">
        <f t="shared" si="2"/>
        <v>469564689</v>
      </c>
      <c r="CS26" s="13">
        <f t="shared" si="2"/>
        <v>469564689</v>
      </c>
      <c r="CT26" s="13">
        <f t="shared" si="2"/>
        <v>469564689</v>
      </c>
      <c r="CU26" s="13">
        <f t="shared" ref="CU26:DZ26" si="3">SUM(CU8:CU25)</f>
        <v>469564689</v>
      </c>
      <c r="CV26" s="13">
        <f t="shared" si="3"/>
        <v>469564689</v>
      </c>
      <c r="CW26" s="13">
        <f t="shared" si="3"/>
        <v>469564689</v>
      </c>
      <c r="CX26" s="13">
        <f t="shared" si="3"/>
        <v>469564689</v>
      </c>
      <c r="CY26" s="13">
        <f t="shared" si="3"/>
        <v>469564689</v>
      </c>
      <c r="CZ26" s="13">
        <f t="shared" si="3"/>
        <v>469564689</v>
      </c>
      <c r="DA26" s="13">
        <f t="shared" si="3"/>
        <v>469564689</v>
      </c>
      <c r="DB26" s="13">
        <f t="shared" si="3"/>
        <v>469564689</v>
      </c>
      <c r="DC26" s="13">
        <f t="shared" si="3"/>
        <v>532634315</v>
      </c>
      <c r="DD26" s="13">
        <f t="shared" si="3"/>
        <v>532634315</v>
      </c>
      <c r="DE26" s="13">
        <f t="shared" si="3"/>
        <v>532634315</v>
      </c>
      <c r="DF26" s="13">
        <f t="shared" si="3"/>
        <v>532634315</v>
      </c>
      <c r="DG26" s="13">
        <f t="shared" si="3"/>
        <v>532634315</v>
      </c>
      <c r="DH26" s="13">
        <f t="shared" si="3"/>
        <v>532634315</v>
      </c>
      <c r="DI26" s="13">
        <f t="shared" si="3"/>
        <v>532634315</v>
      </c>
      <c r="DJ26" s="13">
        <f t="shared" si="3"/>
        <v>532634315</v>
      </c>
      <c r="DK26" s="13">
        <f t="shared" si="3"/>
        <v>532634315</v>
      </c>
      <c r="DL26" s="13">
        <f t="shared" si="3"/>
        <v>532634315</v>
      </c>
      <c r="DM26" s="13">
        <f t="shared" si="3"/>
        <v>532634315</v>
      </c>
      <c r="DN26" s="13">
        <f t="shared" si="3"/>
        <v>532634315</v>
      </c>
      <c r="DO26" s="13">
        <f t="shared" si="3"/>
        <v>532634315</v>
      </c>
      <c r="DP26" s="13">
        <f t="shared" si="3"/>
        <v>542047913</v>
      </c>
      <c r="DQ26" s="13">
        <f t="shared" si="3"/>
        <v>542047913</v>
      </c>
      <c r="DR26" s="13">
        <f t="shared" si="3"/>
        <v>542047913</v>
      </c>
      <c r="DS26" s="13">
        <f t="shared" si="3"/>
        <v>542047913</v>
      </c>
      <c r="DT26" s="13">
        <f t="shared" si="3"/>
        <v>542047913</v>
      </c>
      <c r="DU26" s="13">
        <f t="shared" si="3"/>
        <v>542047913</v>
      </c>
      <c r="DV26" s="13">
        <f t="shared" si="3"/>
        <v>542047913</v>
      </c>
      <c r="DW26" s="13">
        <f t="shared" si="3"/>
        <v>542047913</v>
      </c>
      <c r="DX26" s="13">
        <f t="shared" si="3"/>
        <v>542047913</v>
      </c>
      <c r="DY26" s="13">
        <f t="shared" si="3"/>
        <v>542047913</v>
      </c>
      <c r="DZ26" s="13">
        <f t="shared" si="3"/>
        <v>542047913</v>
      </c>
      <c r="EA26" s="13">
        <f t="shared" ref="EA26:FF26" si="4">SUM(EA8:EA25)</f>
        <v>542047913</v>
      </c>
      <c r="EB26" s="13">
        <f t="shared" si="4"/>
        <v>542047913</v>
      </c>
      <c r="EC26" s="13">
        <f t="shared" si="4"/>
        <v>560704016</v>
      </c>
      <c r="ED26" s="13">
        <f t="shared" si="4"/>
        <v>560704016</v>
      </c>
      <c r="EE26" s="13">
        <f t="shared" si="4"/>
        <v>560704016</v>
      </c>
      <c r="EF26" s="13">
        <f t="shared" si="4"/>
        <v>560704016</v>
      </c>
      <c r="EG26" s="13">
        <f t="shared" si="4"/>
        <v>560704016</v>
      </c>
      <c r="EH26" s="13">
        <f t="shared" si="4"/>
        <v>560704016</v>
      </c>
      <c r="EI26" s="13">
        <f t="shared" si="4"/>
        <v>560704016</v>
      </c>
      <c r="EJ26" s="13">
        <f t="shared" si="4"/>
        <v>560704016</v>
      </c>
      <c r="EK26" s="13">
        <f t="shared" si="4"/>
        <v>560704016</v>
      </c>
      <c r="EL26" s="13">
        <f t="shared" si="4"/>
        <v>560704016</v>
      </c>
      <c r="EM26" s="13">
        <f t="shared" si="4"/>
        <v>560704016</v>
      </c>
      <c r="EN26" s="13">
        <f t="shared" si="4"/>
        <v>560704016</v>
      </c>
      <c r="EO26" s="13">
        <f t="shared" si="4"/>
        <v>560704016</v>
      </c>
      <c r="EP26" s="13">
        <f t="shared" si="4"/>
        <v>502221494</v>
      </c>
      <c r="EQ26" s="13">
        <f t="shared" si="4"/>
        <v>502221494</v>
      </c>
      <c r="ER26" s="13">
        <f t="shared" si="4"/>
        <v>502221494</v>
      </c>
      <c r="ES26" s="13">
        <f t="shared" si="4"/>
        <v>502221494</v>
      </c>
      <c r="ET26" s="13">
        <f t="shared" si="4"/>
        <v>502221494</v>
      </c>
      <c r="EU26" s="13">
        <f t="shared" si="4"/>
        <v>502221494</v>
      </c>
      <c r="EV26" s="13">
        <f t="shared" si="4"/>
        <v>502221494</v>
      </c>
      <c r="EW26" s="13">
        <f t="shared" si="4"/>
        <v>502221494</v>
      </c>
      <c r="EX26" s="13">
        <f t="shared" si="4"/>
        <v>502221494</v>
      </c>
      <c r="EY26" s="13">
        <f t="shared" si="4"/>
        <v>502221494</v>
      </c>
      <c r="EZ26" s="13">
        <f t="shared" si="4"/>
        <v>502221494</v>
      </c>
      <c r="FA26" s="13">
        <f t="shared" si="4"/>
        <v>502221494</v>
      </c>
      <c r="FB26" s="13">
        <f t="shared" si="4"/>
        <v>502221494</v>
      </c>
      <c r="FC26" s="13">
        <f t="shared" si="4"/>
        <v>465461219</v>
      </c>
      <c r="FD26" s="13">
        <f t="shared" si="4"/>
        <v>465461219</v>
      </c>
      <c r="FE26" s="13">
        <f t="shared" si="4"/>
        <v>465461219</v>
      </c>
      <c r="FF26" s="13">
        <f t="shared" si="4"/>
        <v>465461219</v>
      </c>
      <c r="FG26" s="13">
        <f t="shared" ref="FG26:GL26" si="5">SUM(FG8:FG25)</f>
        <v>465461219</v>
      </c>
      <c r="FH26" s="13">
        <f t="shared" si="5"/>
        <v>465461219</v>
      </c>
      <c r="FI26" s="13">
        <f t="shared" si="5"/>
        <v>465461219</v>
      </c>
      <c r="FJ26" s="13">
        <f t="shared" si="5"/>
        <v>465461219</v>
      </c>
      <c r="FK26" s="13">
        <f t="shared" si="5"/>
        <v>465461219</v>
      </c>
      <c r="FL26" s="13">
        <f t="shared" si="5"/>
        <v>465461219</v>
      </c>
      <c r="FM26" s="13">
        <f t="shared" si="5"/>
        <v>465461219</v>
      </c>
      <c r="FN26" s="13">
        <f t="shared" si="5"/>
        <v>465461219</v>
      </c>
      <c r="FO26" s="13">
        <f t="shared" si="5"/>
        <v>465461219</v>
      </c>
    </row>
    <row r="27" spans="2:171" x14ac:dyDescent="0.3">
      <c r="B27" s="5" t="s">
        <v>118</v>
      </c>
    </row>
    <row r="28" spans="2:171" x14ac:dyDescent="0.3">
      <c r="C28" s="49" t="s">
        <v>90</v>
      </c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49" t="s">
        <v>91</v>
      </c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49" t="s">
        <v>92</v>
      </c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49" t="s">
        <v>93</v>
      </c>
      <c r="AQ28" s="50"/>
      <c r="AR28" s="50"/>
      <c r="AS28" s="50"/>
      <c r="AT28" s="50"/>
      <c r="AU28" s="50"/>
      <c r="AV28" s="50"/>
      <c r="AW28" s="50"/>
      <c r="AX28" s="50"/>
      <c r="AY28" s="50"/>
      <c r="AZ28" s="50"/>
      <c r="BA28" s="50"/>
      <c r="BB28" s="50"/>
      <c r="BC28" s="49" t="s">
        <v>94</v>
      </c>
      <c r="BD28" s="50"/>
      <c r="BE28" s="50"/>
      <c r="BF28" s="50"/>
      <c r="BG28" s="50"/>
      <c r="BH28" s="50"/>
      <c r="BI28" s="50"/>
      <c r="BJ28" s="50"/>
      <c r="BK28" s="50"/>
      <c r="BL28" s="50"/>
      <c r="BM28" s="50"/>
      <c r="BN28" s="50"/>
      <c r="BO28" s="50"/>
      <c r="BP28" s="49" t="s">
        <v>95</v>
      </c>
      <c r="BQ28" s="50"/>
      <c r="BR28" s="50"/>
      <c r="BS28" s="50"/>
      <c r="BT28" s="50"/>
      <c r="BU28" s="50"/>
      <c r="BV28" s="50"/>
      <c r="BW28" s="50"/>
      <c r="BX28" s="50"/>
      <c r="BY28" s="50"/>
      <c r="BZ28" s="50"/>
      <c r="CA28" s="50"/>
      <c r="CB28" s="50"/>
      <c r="CC28" s="49" t="s">
        <v>96</v>
      </c>
      <c r="CD28" s="50"/>
      <c r="CE28" s="50"/>
      <c r="CF28" s="50"/>
      <c r="CG28" s="50"/>
      <c r="CH28" s="50"/>
      <c r="CI28" s="50"/>
      <c r="CJ28" s="50"/>
      <c r="CK28" s="50"/>
      <c r="CL28" s="50"/>
      <c r="CM28" s="50"/>
      <c r="CN28" s="50"/>
      <c r="CO28" s="50"/>
      <c r="CP28" s="49" t="s">
        <v>97</v>
      </c>
      <c r="CQ28" s="50"/>
      <c r="CR28" s="50"/>
      <c r="CS28" s="50"/>
      <c r="CT28" s="50"/>
      <c r="CU28" s="50"/>
      <c r="CV28" s="50"/>
      <c r="CW28" s="50"/>
      <c r="CX28" s="50"/>
      <c r="CY28" s="50"/>
      <c r="CZ28" s="50"/>
      <c r="DA28" s="50"/>
      <c r="DB28" s="50"/>
      <c r="DC28" s="49" t="s">
        <v>98</v>
      </c>
      <c r="DD28" s="50"/>
      <c r="DE28" s="50"/>
      <c r="DF28" s="50"/>
      <c r="DG28" s="50"/>
      <c r="DH28" s="50"/>
      <c r="DI28" s="50"/>
      <c r="DJ28" s="50"/>
      <c r="DK28" s="50"/>
      <c r="DL28" s="50"/>
      <c r="DM28" s="50"/>
      <c r="DN28" s="50"/>
      <c r="DO28" s="50"/>
      <c r="DP28" s="49" t="s">
        <v>99</v>
      </c>
      <c r="DQ28" s="50"/>
      <c r="DR28" s="50"/>
      <c r="DS28" s="50"/>
      <c r="DT28" s="50"/>
      <c r="DU28" s="50"/>
      <c r="DV28" s="50"/>
      <c r="DW28" s="50"/>
      <c r="DX28" s="50"/>
      <c r="DY28" s="50"/>
      <c r="DZ28" s="50"/>
      <c r="EA28" s="50"/>
      <c r="EB28" s="50"/>
      <c r="EC28" s="49" t="s">
        <v>100</v>
      </c>
      <c r="ED28" s="50"/>
      <c r="EE28" s="50"/>
      <c r="EF28" s="50"/>
      <c r="EG28" s="50"/>
      <c r="EH28" s="50"/>
      <c r="EI28" s="50"/>
      <c r="EJ28" s="50"/>
      <c r="EK28" s="50"/>
      <c r="EL28" s="50"/>
      <c r="EM28" s="50"/>
      <c r="EN28" s="50"/>
      <c r="EO28" s="50"/>
      <c r="EP28" s="49" t="s">
        <v>101</v>
      </c>
      <c r="EQ28" s="50"/>
      <c r="ER28" s="50"/>
      <c r="ES28" s="50"/>
      <c r="ET28" s="50"/>
      <c r="EU28" s="50"/>
      <c r="EV28" s="50"/>
      <c r="EW28" s="50"/>
      <c r="EX28" s="50"/>
      <c r="EY28" s="50"/>
      <c r="EZ28" s="50"/>
      <c r="FA28" s="50"/>
      <c r="FB28" s="50"/>
      <c r="FC28" s="49" t="s">
        <v>102</v>
      </c>
      <c r="FD28" s="50"/>
      <c r="FE28" s="50"/>
      <c r="FF28" s="50"/>
      <c r="FG28" s="50"/>
      <c r="FH28" s="50"/>
      <c r="FI28" s="50"/>
      <c r="FJ28" s="50"/>
      <c r="FK28" s="50"/>
      <c r="FL28" s="50"/>
      <c r="FM28" s="50"/>
      <c r="FN28" s="50"/>
      <c r="FO28" s="50"/>
    </row>
    <row r="29" spans="2:171" x14ac:dyDescent="0.3">
      <c r="B29" s="19" t="s">
        <v>103</v>
      </c>
      <c r="C29" s="30" t="s">
        <v>67</v>
      </c>
      <c r="D29" s="30" t="s">
        <v>68</v>
      </c>
      <c r="E29" s="30" t="s">
        <v>69</v>
      </c>
      <c r="F29" s="30" t="s">
        <v>70</v>
      </c>
      <c r="G29" s="30" t="s">
        <v>71</v>
      </c>
      <c r="H29" s="30" t="s">
        <v>72</v>
      </c>
      <c r="I29" s="30" t="s">
        <v>73</v>
      </c>
      <c r="J29" s="30" t="s">
        <v>74</v>
      </c>
      <c r="K29" s="30" t="s">
        <v>75</v>
      </c>
      <c r="L29" s="30" t="s">
        <v>76</v>
      </c>
      <c r="M29" s="30" t="s">
        <v>77</v>
      </c>
      <c r="N29" s="30" t="s">
        <v>78</v>
      </c>
      <c r="O29" s="30" t="s">
        <v>104</v>
      </c>
      <c r="P29" s="30" t="s">
        <v>67</v>
      </c>
      <c r="Q29" s="30" t="s">
        <v>68</v>
      </c>
      <c r="R29" s="30" t="s">
        <v>69</v>
      </c>
      <c r="S29" s="30" t="s">
        <v>70</v>
      </c>
      <c r="T29" s="30" t="s">
        <v>71</v>
      </c>
      <c r="U29" s="30" t="s">
        <v>72</v>
      </c>
      <c r="V29" s="30" t="s">
        <v>73</v>
      </c>
      <c r="W29" s="30" t="s">
        <v>74</v>
      </c>
      <c r="X29" s="30" t="s">
        <v>75</v>
      </c>
      <c r="Y29" s="30" t="s">
        <v>76</v>
      </c>
      <c r="Z29" s="30" t="s">
        <v>77</v>
      </c>
      <c r="AA29" s="30" t="s">
        <v>78</v>
      </c>
      <c r="AB29" s="30" t="s">
        <v>105</v>
      </c>
      <c r="AC29" s="30" t="s">
        <v>67</v>
      </c>
      <c r="AD29" s="30" t="s">
        <v>68</v>
      </c>
      <c r="AE29" s="30" t="s">
        <v>69</v>
      </c>
      <c r="AF29" s="30" t="s">
        <v>70</v>
      </c>
      <c r="AG29" s="30" t="s">
        <v>71</v>
      </c>
      <c r="AH29" s="30" t="s">
        <v>72</v>
      </c>
      <c r="AI29" s="30" t="s">
        <v>73</v>
      </c>
      <c r="AJ29" s="30" t="s">
        <v>74</v>
      </c>
      <c r="AK29" s="30" t="s">
        <v>75</v>
      </c>
      <c r="AL29" s="30" t="s">
        <v>76</v>
      </c>
      <c r="AM29" s="30" t="s">
        <v>77</v>
      </c>
      <c r="AN29" s="30" t="s">
        <v>78</v>
      </c>
      <c r="AO29" s="30" t="s">
        <v>106</v>
      </c>
      <c r="AP29" s="30" t="s">
        <v>67</v>
      </c>
      <c r="AQ29" s="30" t="s">
        <v>68</v>
      </c>
      <c r="AR29" s="30" t="s">
        <v>69</v>
      </c>
      <c r="AS29" s="30" t="s">
        <v>70</v>
      </c>
      <c r="AT29" s="30" t="s">
        <v>71</v>
      </c>
      <c r="AU29" s="30" t="s">
        <v>72</v>
      </c>
      <c r="AV29" s="30" t="s">
        <v>73</v>
      </c>
      <c r="AW29" s="30" t="s">
        <v>74</v>
      </c>
      <c r="AX29" s="30" t="s">
        <v>75</v>
      </c>
      <c r="AY29" s="30" t="s">
        <v>76</v>
      </c>
      <c r="AZ29" s="30" t="s">
        <v>77</v>
      </c>
      <c r="BA29" s="30" t="s">
        <v>78</v>
      </c>
      <c r="BB29" s="30" t="s">
        <v>107</v>
      </c>
      <c r="BC29" s="30" t="s">
        <v>67</v>
      </c>
      <c r="BD29" s="30" t="s">
        <v>68</v>
      </c>
      <c r="BE29" s="30" t="s">
        <v>69</v>
      </c>
      <c r="BF29" s="30" t="s">
        <v>70</v>
      </c>
      <c r="BG29" s="30" t="s">
        <v>71</v>
      </c>
      <c r="BH29" s="30" t="s">
        <v>72</v>
      </c>
      <c r="BI29" s="30" t="s">
        <v>73</v>
      </c>
      <c r="BJ29" s="30" t="s">
        <v>74</v>
      </c>
      <c r="BK29" s="30" t="s">
        <v>75</v>
      </c>
      <c r="BL29" s="30" t="s">
        <v>76</v>
      </c>
      <c r="BM29" s="30" t="s">
        <v>77</v>
      </c>
      <c r="BN29" s="30" t="s">
        <v>78</v>
      </c>
      <c r="BO29" s="30" t="s">
        <v>108</v>
      </c>
      <c r="BP29" s="30" t="s">
        <v>67</v>
      </c>
      <c r="BQ29" s="30" t="s">
        <v>68</v>
      </c>
      <c r="BR29" s="30" t="s">
        <v>69</v>
      </c>
      <c r="BS29" s="30" t="s">
        <v>70</v>
      </c>
      <c r="BT29" s="30" t="s">
        <v>71</v>
      </c>
      <c r="BU29" s="30" t="s">
        <v>72</v>
      </c>
      <c r="BV29" s="30" t="s">
        <v>73</v>
      </c>
      <c r="BW29" s="30" t="s">
        <v>74</v>
      </c>
      <c r="BX29" s="30" t="s">
        <v>75</v>
      </c>
      <c r="BY29" s="30" t="s">
        <v>76</v>
      </c>
      <c r="BZ29" s="30" t="s">
        <v>77</v>
      </c>
      <c r="CA29" s="30" t="s">
        <v>78</v>
      </c>
      <c r="CB29" s="30" t="s">
        <v>109</v>
      </c>
      <c r="CC29" s="30" t="s">
        <v>67</v>
      </c>
      <c r="CD29" s="30" t="s">
        <v>68</v>
      </c>
      <c r="CE29" s="30" t="s">
        <v>69</v>
      </c>
      <c r="CF29" s="30" t="s">
        <v>70</v>
      </c>
      <c r="CG29" s="30" t="s">
        <v>71</v>
      </c>
      <c r="CH29" s="30" t="s">
        <v>72</v>
      </c>
      <c r="CI29" s="30" t="s">
        <v>73</v>
      </c>
      <c r="CJ29" s="30" t="s">
        <v>74</v>
      </c>
      <c r="CK29" s="30" t="s">
        <v>75</v>
      </c>
      <c r="CL29" s="30" t="s">
        <v>76</v>
      </c>
      <c r="CM29" s="30" t="s">
        <v>77</v>
      </c>
      <c r="CN29" s="30" t="s">
        <v>78</v>
      </c>
      <c r="CO29" s="30" t="s">
        <v>110</v>
      </c>
      <c r="CP29" s="30" t="s">
        <v>67</v>
      </c>
      <c r="CQ29" s="30" t="s">
        <v>68</v>
      </c>
      <c r="CR29" s="30" t="s">
        <v>69</v>
      </c>
      <c r="CS29" s="30" t="s">
        <v>70</v>
      </c>
      <c r="CT29" s="30" t="s">
        <v>71</v>
      </c>
      <c r="CU29" s="30" t="s">
        <v>72</v>
      </c>
      <c r="CV29" s="30" t="s">
        <v>73</v>
      </c>
      <c r="CW29" s="30" t="s">
        <v>74</v>
      </c>
      <c r="CX29" s="30" t="s">
        <v>75</v>
      </c>
      <c r="CY29" s="30" t="s">
        <v>76</v>
      </c>
      <c r="CZ29" s="30" t="s">
        <v>77</v>
      </c>
      <c r="DA29" s="30" t="s">
        <v>78</v>
      </c>
      <c r="DB29" s="30" t="s">
        <v>111</v>
      </c>
      <c r="DC29" s="30" t="s">
        <v>67</v>
      </c>
      <c r="DD29" s="30" t="s">
        <v>68</v>
      </c>
      <c r="DE29" s="30" t="s">
        <v>69</v>
      </c>
      <c r="DF29" s="30" t="s">
        <v>70</v>
      </c>
      <c r="DG29" s="30" t="s">
        <v>71</v>
      </c>
      <c r="DH29" s="30" t="s">
        <v>72</v>
      </c>
      <c r="DI29" s="30" t="s">
        <v>73</v>
      </c>
      <c r="DJ29" s="30" t="s">
        <v>74</v>
      </c>
      <c r="DK29" s="30" t="s">
        <v>75</v>
      </c>
      <c r="DL29" s="30" t="s">
        <v>76</v>
      </c>
      <c r="DM29" s="30" t="s">
        <v>77</v>
      </c>
      <c r="DN29" s="30" t="s">
        <v>78</v>
      </c>
      <c r="DO29" s="30" t="s">
        <v>112</v>
      </c>
      <c r="DP29" s="30" t="s">
        <v>67</v>
      </c>
      <c r="DQ29" s="30" t="s">
        <v>68</v>
      </c>
      <c r="DR29" s="30" t="s">
        <v>69</v>
      </c>
      <c r="DS29" s="30" t="s">
        <v>70</v>
      </c>
      <c r="DT29" s="30" t="s">
        <v>71</v>
      </c>
      <c r="DU29" s="30" t="s">
        <v>72</v>
      </c>
      <c r="DV29" s="30" t="s">
        <v>73</v>
      </c>
      <c r="DW29" s="30" t="s">
        <v>74</v>
      </c>
      <c r="DX29" s="30" t="s">
        <v>75</v>
      </c>
      <c r="DY29" s="30" t="s">
        <v>76</v>
      </c>
      <c r="DZ29" s="30" t="s">
        <v>77</v>
      </c>
      <c r="EA29" s="30" t="s">
        <v>78</v>
      </c>
      <c r="EB29" s="30" t="s">
        <v>113</v>
      </c>
      <c r="EC29" s="30" t="s">
        <v>67</v>
      </c>
      <c r="ED29" s="30" t="s">
        <v>68</v>
      </c>
      <c r="EE29" s="30" t="s">
        <v>69</v>
      </c>
      <c r="EF29" s="30" t="s">
        <v>70</v>
      </c>
      <c r="EG29" s="30" t="s">
        <v>71</v>
      </c>
      <c r="EH29" s="30" t="s">
        <v>72</v>
      </c>
      <c r="EI29" s="30" t="s">
        <v>73</v>
      </c>
      <c r="EJ29" s="30" t="s">
        <v>74</v>
      </c>
      <c r="EK29" s="30" t="s">
        <v>75</v>
      </c>
      <c r="EL29" s="30" t="s">
        <v>76</v>
      </c>
      <c r="EM29" s="30" t="s">
        <v>77</v>
      </c>
      <c r="EN29" s="30" t="s">
        <v>78</v>
      </c>
      <c r="EO29" s="30" t="s">
        <v>114</v>
      </c>
      <c r="EP29" s="30" t="s">
        <v>67</v>
      </c>
      <c r="EQ29" s="30" t="s">
        <v>68</v>
      </c>
      <c r="ER29" s="30" t="s">
        <v>69</v>
      </c>
      <c r="ES29" s="30" t="s">
        <v>70</v>
      </c>
      <c r="ET29" s="30" t="s">
        <v>71</v>
      </c>
      <c r="EU29" s="30" t="s">
        <v>72</v>
      </c>
      <c r="EV29" s="30" t="s">
        <v>73</v>
      </c>
      <c r="EW29" s="30" t="s">
        <v>74</v>
      </c>
      <c r="EX29" s="30" t="s">
        <v>75</v>
      </c>
      <c r="EY29" s="30" t="s">
        <v>76</v>
      </c>
      <c r="EZ29" s="30" t="s">
        <v>77</v>
      </c>
      <c r="FA29" s="30" t="s">
        <v>78</v>
      </c>
      <c r="FB29" s="30" t="s">
        <v>115</v>
      </c>
      <c r="FC29" s="30" t="s">
        <v>67</v>
      </c>
      <c r="FD29" s="30" t="s">
        <v>68</v>
      </c>
      <c r="FE29" s="30" t="s">
        <v>69</v>
      </c>
      <c r="FF29" s="30" t="s">
        <v>70</v>
      </c>
      <c r="FG29" s="30" t="s">
        <v>71</v>
      </c>
      <c r="FH29" s="30" t="s">
        <v>72</v>
      </c>
      <c r="FI29" s="30" t="s">
        <v>73</v>
      </c>
      <c r="FJ29" s="30" t="s">
        <v>74</v>
      </c>
      <c r="FK29" s="30" t="s">
        <v>75</v>
      </c>
      <c r="FL29" s="30" t="s">
        <v>76</v>
      </c>
      <c r="FM29" s="30" t="s">
        <v>77</v>
      </c>
      <c r="FN29" s="30" t="s">
        <v>78</v>
      </c>
      <c r="FO29" s="30" t="s">
        <v>116</v>
      </c>
    </row>
    <row r="30" spans="2:171" x14ac:dyDescent="0.3">
      <c r="B30" s="7" t="s">
        <v>46</v>
      </c>
      <c r="C30" s="9">
        <v>46689781</v>
      </c>
      <c r="D30" s="9">
        <v>46689781</v>
      </c>
      <c r="E30" s="9">
        <v>36108344</v>
      </c>
      <c r="F30" s="9">
        <v>36108344</v>
      </c>
      <c r="G30" s="9">
        <v>35108344</v>
      </c>
      <c r="H30" s="9">
        <v>35051835</v>
      </c>
      <c r="I30" s="9">
        <v>35051835</v>
      </c>
      <c r="J30" s="9">
        <v>30460971</v>
      </c>
      <c r="K30" s="9">
        <v>27254831</v>
      </c>
      <c r="L30" s="9">
        <v>27083752</v>
      </c>
      <c r="M30" s="9">
        <v>26230314</v>
      </c>
      <c r="N30" s="9">
        <v>25082082</v>
      </c>
      <c r="O30" s="31">
        <v>25082082</v>
      </c>
      <c r="P30" s="9">
        <v>52447510</v>
      </c>
      <c r="Q30" s="9">
        <v>34707828</v>
      </c>
      <c r="R30" s="9">
        <v>34637698</v>
      </c>
      <c r="S30" s="9">
        <v>34637698</v>
      </c>
      <c r="T30" s="9">
        <v>34577698</v>
      </c>
      <c r="U30" s="9">
        <v>34213379</v>
      </c>
      <c r="V30" s="9">
        <v>33826803</v>
      </c>
      <c r="W30" s="9">
        <v>33964676</v>
      </c>
      <c r="X30" s="9">
        <v>34237560</v>
      </c>
      <c r="Y30" s="9">
        <v>31614904</v>
      </c>
      <c r="Z30" s="9">
        <v>31384850</v>
      </c>
      <c r="AA30" s="9">
        <v>27202285</v>
      </c>
      <c r="AB30" s="31">
        <v>27202285</v>
      </c>
      <c r="AC30" s="9">
        <v>49700606</v>
      </c>
      <c r="AD30" s="9">
        <v>29051988</v>
      </c>
      <c r="AE30" s="9">
        <v>28882887</v>
      </c>
      <c r="AF30" s="9">
        <v>28882887</v>
      </c>
      <c r="AG30" s="9">
        <v>28814489</v>
      </c>
      <c r="AH30" s="9">
        <v>28814489</v>
      </c>
      <c r="AI30" s="9">
        <v>28739993</v>
      </c>
      <c r="AJ30" s="9">
        <v>28639393</v>
      </c>
      <c r="AK30" s="9">
        <v>28639393</v>
      </c>
      <c r="AL30" s="9">
        <v>28573867</v>
      </c>
      <c r="AM30" s="9">
        <v>28561967</v>
      </c>
      <c r="AN30" s="9">
        <v>27769919</v>
      </c>
      <c r="AO30" s="31">
        <v>27769919</v>
      </c>
      <c r="AP30" s="9">
        <v>45980831</v>
      </c>
      <c r="AQ30" s="9">
        <v>29828531</v>
      </c>
      <c r="AR30" s="9">
        <v>29828531</v>
      </c>
      <c r="AS30" s="9">
        <v>29785271</v>
      </c>
      <c r="AT30" s="9">
        <v>29785271</v>
      </c>
      <c r="AU30" s="9">
        <v>29837531</v>
      </c>
      <c r="AV30" s="9">
        <v>29837531</v>
      </c>
      <c r="AW30" s="9">
        <v>29703072</v>
      </c>
      <c r="AX30" s="9">
        <v>29703072</v>
      </c>
      <c r="AY30" s="9">
        <v>29738991</v>
      </c>
      <c r="AZ30" s="9">
        <v>29239385</v>
      </c>
      <c r="BA30" s="9">
        <v>29123116</v>
      </c>
      <c r="BB30" s="31">
        <v>29123116</v>
      </c>
      <c r="BC30" s="9">
        <v>45443730</v>
      </c>
      <c r="BD30" s="9">
        <v>32561425</v>
      </c>
      <c r="BE30" s="9">
        <v>32561425</v>
      </c>
      <c r="BF30" s="9">
        <v>32561425</v>
      </c>
      <c r="BG30" s="9">
        <v>32561425</v>
      </c>
      <c r="BH30" s="9">
        <v>32561425</v>
      </c>
      <c r="BI30" s="9">
        <v>32504329</v>
      </c>
      <c r="BJ30" s="9">
        <v>32732984</v>
      </c>
      <c r="BK30" s="9">
        <v>32732984</v>
      </c>
      <c r="BL30" s="9">
        <v>31962688</v>
      </c>
      <c r="BM30" s="9">
        <v>31506727</v>
      </c>
      <c r="BN30" s="9">
        <v>30554750</v>
      </c>
      <c r="BO30" s="31">
        <v>30554750</v>
      </c>
      <c r="BP30" s="9">
        <v>51220903</v>
      </c>
      <c r="BQ30" s="9">
        <v>51220903</v>
      </c>
      <c r="BR30" s="9">
        <v>36026667</v>
      </c>
      <c r="BS30" s="9">
        <v>36026667</v>
      </c>
      <c r="BT30" s="9">
        <v>36026667</v>
      </c>
      <c r="BU30" s="9">
        <v>36026667</v>
      </c>
      <c r="BV30" s="9">
        <v>34946790</v>
      </c>
      <c r="BW30" s="9">
        <v>34745372</v>
      </c>
      <c r="BX30" s="9">
        <v>36026667</v>
      </c>
      <c r="BY30" s="9">
        <v>51220903</v>
      </c>
      <c r="BZ30" s="9">
        <v>51220903</v>
      </c>
      <c r="CA30" s="9">
        <v>38081494</v>
      </c>
      <c r="CB30" s="31">
        <v>38081494</v>
      </c>
      <c r="CC30" s="9">
        <v>51587816</v>
      </c>
      <c r="CD30" s="9">
        <v>51587816</v>
      </c>
      <c r="CE30" s="9">
        <v>51587816</v>
      </c>
      <c r="CF30" s="9">
        <v>45777900</v>
      </c>
      <c r="CG30" s="9">
        <v>45777900</v>
      </c>
      <c r="CH30" s="9">
        <v>45919780</v>
      </c>
      <c r="CI30" s="9">
        <v>46321227</v>
      </c>
      <c r="CJ30" s="9">
        <v>46321227</v>
      </c>
      <c r="CK30" s="9">
        <v>36664247</v>
      </c>
      <c r="CL30" s="9">
        <v>36102413</v>
      </c>
      <c r="CM30" s="9">
        <v>36087871</v>
      </c>
      <c r="CN30" s="9">
        <v>35129581</v>
      </c>
      <c r="CO30" s="31">
        <v>35129581</v>
      </c>
      <c r="CP30" s="9">
        <v>35339308</v>
      </c>
      <c r="CQ30" s="9">
        <v>34095082</v>
      </c>
      <c r="CR30" s="9">
        <v>30900763</v>
      </c>
      <c r="CS30" s="9">
        <v>30000165</v>
      </c>
      <c r="CT30" s="9">
        <v>28431391</v>
      </c>
      <c r="CU30" s="9">
        <v>28482712</v>
      </c>
      <c r="CV30" s="9">
        <v>28482712</v>
      </c>
      <c r="CW30" s="9">
        <v>28482712</v>
      </c>
      <c r="CX30" s="9">
        <v>28482712</v>
      </c>
      <c r="CY30" s="9">
        <v>26544090</v>
      </c>
      <c r="CZ30" s="9">
        <v>27401071</v>
      </c>
      <c r="DA30" s="9">
        <v>26558777</v>
      </c>
      <c r="DB30" s="31">
        <v>26558777</v>
      </c>
      <c r="DC30" s="9">
        <v>22751821</v>
      </c>
      <c r="DD30" s="9">
        <v>14162616</v>
      </c>
      <c r="DE30" s="9">
        <v>14162616</v>
      </c>
      <c r="DF30" s="9">
        <v>14162616</v>
      </c>
      <c r="DG30" s="9">
        <v>14094265</v>
      </c>
      <c r="DH30" s="9">
        <v>14094265</v>
      </c>
      <c r="DI30" s="9">
        <v>13994333</v>
      </c>
      <c r="DJ30" s="9">
        <v>14199833</v>
      </c>
      <c r="DK30" s="9">
        <v>14199833</v>
      </c>
      <c r="DL30" s="9">
        <v>14215569</v>
      </c>
      <c r="DM30" s="9">
        <v>13257545</v>
      </c>
      <c r="DN30" s="9">
        <v>11513633</v>
      </c>
      <c r="DO30" s="31">
        <v>11513633</v>
      </c>
      <c r="DP30" s="9">
        <v>22326757</v>
      </c>
      <c r="DQ30" s="9">
        <v>12413948</v>
      </c>
      <c r="DR30" s="9">
        <v>12413948</v>
      </c>
      <c r="DS30" s="9">
        <v>12169459</v>
      </c>
      <c r="DT30" s="9">
        <v>11694537</v>
      </c>
      <c r="DU30" s="9">
        <v>11453537</v>
      </c>
      <c r="DV30" s="9">
        <v>11207907</v>
      </c>
      <c r="DW30" s="9">
        <v>11175513</v>
      </c>
      <c r="DX30" s="9">
        <v>11175513</v>
      </c>
      <c r="DY30" s="9">
        <v>11175513</v>
      </c>
      <c r="DZ30" s="9">
        <v>3304471</v>
      </c>
      <c r="EA30" s="9">
        <v>2258817</v>
      </c>
      <c r="EB30" s="31">
        <v>2258817</v>
      </c>
      <c r="EC30" s="9">
        <v>65885700</v>
      </c>
      <c r="ED30" s="9">
        <v>65885700</v>
      </c>
      <c r="EE30" s="9">
        <v>40863396</v>
      </c>
      <c r="EF30" s="9">
        <v>40863396</v>
      </c>
      <c r="EG30" s="9">
        <v>40441434</v>
      </c>
      <c r="EH30" s="9">
        <v>40130157</v>
      </c>
      <c r="EI30" s="9">
        <v>40110894</v>
      </c>
      <c r="EJ30" s="9">
        <v>35322619</v>
      </c>
      <c r="EK30" s="9">
        <v>31954975</v>
      </c>
      <c r="EL30" s="9">
        <v>31882527</v>
      </c>
      <c r="EM30" s="9">
        <v>19631668</v>
      </c>
      <c r="EN30" s="9">
        <v>1858597</v>
      </c>
      <c r="EO30" s="31">
        <v>1858597</v>
      </c>
      <c r="EP30" s="9">
        <v>31496963</v>
      </c>
      <c r="EQ30" s="9">
        <v>21938918</v>
      </c>
      <c r="ER30" s="9">
        <v>17774772</v>
      </c>
      <c r="ES30" s="9">
        <v>17594772</v>
      </c>
      <c r="ET30" s="9">
        <v>17439772</v>
      </c>
      <c r="EU30" s="9">
        <v>16908124</v>
      </c>
      <c r="EV30" s="9">
        <v>10908124</v>
      </c>
      <c r="EW30" s="9">
        <v>10908124</v>
      </c>
      <c r="EX30" s="9">
        <v>10908124</v>
      </c>
      <c r="EY30" s="9">
        <v>4377527</v>
      </c>
      <c r="EZ30" s="9">
        <v>4377527</v>
      </c>
      <c r="FA30" s="9">
        <v>2042428</v>
      </c>
      <c r="FB30" s="31">
        <v>2042428</v>
      </c>
      <c r="FC30" s="9">
        <v>15772873</v>
      </c>
      <c r="FD30" s="9">
        <v>15772873</v>
      </c>
      <c r="FE30" s="9">
        <v>15772873</v>
      </c>
      <c r="FF30" s="9">
        <v>15772873</v>
      </c>
      <c r="FG30" s="9">
        <v>3763881</v>
      </c>
      <c r="FH30" s="9">
        <v>3874066</v>
      </c>
      <c r="FI30" s="9">
        <v>2591940</v>
      </c>
      <c r="FJ30" s="9">
        <v>2591940</v>
      </c>
      <c r="FK30" s="9">
        <v>2591940</v>
      </c>
      <c r="FL30" s="9">
        <v>2591940</v>
      </c>
      <c r="FM30" s="9">
        <v>2591940</v>
      </c>
      <c r="FN30" s="9">
        <v>2591940</v>
      </c>
      <c r="FO30" s="31">
        <v>2591940</v>
      </c>
    </row>
    <row r="31" spans="2:171" x14ac:dyDescent="0.3">
      <c r="B31" s="7" t="s">
        <v>47</v>
      </c>
      <c r="C31" s="9">
        <v>11852830</v>
      </c>
      <c r="D31" s="9">
        <v>11852830</v>
      </c>
      <c r="E31" s="9">
        <v>11852830</v>
      </c>
      <c r="F31" s="9">
        <v>11852830</v>
      </c>
      <c r="G31" s="9">
        <v>11852830</v>
      </c>
      <c r="H31" s="9">
        <v>11852830</v>
      </c>
      <c r="I31" s="9">
        <v>11852830</v>
      </c>
      <c r="J31" s="9">
        <v>11852830</v>
      </c>
      <c r="K31" s="9">
        <v>11852830</v>
      </c>
      <c r="L31" s="9">
        <v>11852830</v>
      </c>
      <c r="M31" s="9">
        <v>11852830</v>
      </c>
      <c r="N31" s="9">
        <v>11623749</v>
      </c>
      <c r="O31" s="31">
        <v>11623749</v>
      </c>
      <c r="P31" s="9">
        <v>12432312</v>
      </c>
      <c r="Q31" s="9">
        <v>15452289</v>
      </c>
      <c r="R31" s="9">
        <v>15452289</v>
      </c>
      <c r="S31" s="9">
        <v>15452289</v>
      </c>
      <c r="T31" s="9">
        <v>15452289</v>
      </c>
      <c r="U31" s="9">
        <v>15452289</v>
      </c>
      <c r="V31" s="9">
        <v>15452289</v>
      </c>
      <c r="W31" s="9">
        <v>15463341</v>
      </c>
      <c r="X31" s="9">
        <v>15463341</v>
      </c>
      <c r="Y31" s="9">
        <v>15653813</v>
      </c>
      <c r="Z31" s="9">
        <v>15653813</v>
      </c>
      <c r="AA31" s="9">
        <v>15653813</v>
      </c>
      <c r="AB31" s="31">
        <v>15653813</v>
      </c>
      <c r="AC31" s="9">
        <v>15376817</v>
      </c>
      <c r="AD31" s="9">
        <v>15376817</v>
      </c>
      <c r="AE31" s="9">
        <v>15545918</v>
      </c>
      <c r="AF31" s="9">
        <v>15545918</v>
      </c>
      <c r="AG31" s="9">
        <v>15545918</v>
      </c>
      <c r="AH31" s="9">
        <v>15545918</v>
      </c>
      <c r="AI31" s="9">
        <v>15545918</v>
      </c>
      <c r="AJ31" s="9">
        <v>16102418</v>
      </c>
      <c r="AK31" s="9">
        <v>16102418</v>
      </c>
      <c r="AL31" s="9">
        <v>16102418</v>
      </c>
      <c r="AM31" s="9">
        <v>16102418</v>
      </c>
      <c r="AN31" s="9">
        <v>16102418</v>
      </c>
      <c r="AO31" s="31">
        <v>16102418</v>
      </c>
      <c r="AP31" s="9">
        <v>19125128</v>
      </c>
      <c r="AQ31" s="9">
        <v>19125128</v>
      </c>
      <c r="AR31" s="9">
        <v>19125128</v>
      </c>
      <c r="AS31" s="9">
        <v>19125128</v>
      </c>
      <c r="AT31" s="9">
        <v>19125128</v>
      </c>
      <c r="AU31" s="9">
        <v>19125128</v>
      </c>
      <c r="AV31" s="9">
        <v>19125128</v>
      </c>
      <c r="AW31" s="9">
        <v>19125128</v>
      </c>
      <c r="AX31" s="9">
        <v>19125128</v>
      </c>
      <c r="AY31" s="9">
        <v>19125128</v>
      </c>
      <c r="AZ31" s="9">
        <v>19125128</v>
      </c>
      <c r="BA31" s="9">
        <v>19125128</v>
      </c>
      <c r="BB31" s="31">
        <v>19125128</v>
      </c>
      <c r="BC31" s="9">
        <v>22875150</v>
      </c>
      <c r="BD31" s="9">
        <v>22875150</v>
      </c>
      <c r="BE31" s="9">
        <v>22875150</v>
      </c>
      <c r="BF31" s="9">
        <v>22875150</v>
      </c>
      <c r="BG31" s="9">
        <v>22875150</v>
      </c>
      <c r="BH31" s="9">
        <v>22875150</v>
      </c>
      <c r="BI31" s="9">
        <v>22875150</v>
      </c>
      <c r="BJ31" s="9">
        <v>22875150</v>
      </c>
      <c r="BK31" s="9">
        <v>22875150</v>
      </c>
      <c r="BL31" s="9">
        <v>22875150</v>
      </c>
      <c r="BM31" s="9">
        <v>22875150</v>
      </c>
      <c r="BN31" s="9">
        <v>20559175</v>
      </c>
      <c r="BO31" s="31">
        <v>20559175</v>
      </c>
      <c r="BP31" s="9">
        <v>23805335</v>
      </c>
      <c r="BQ31" s="9">
        <v>23805335</v>
      </c>
      <c r="BR31" s="9">
        <v>23805335</v>
      </c>
      <c r="BS31" s="9">
        <v>23805335</v>
      </c>
      <c r="BT31" s="9">
        <v>23805335</v>
      </c>
      <c r="BU31" s="9">
        <v>23805335</v>
      </c>
      <c r="BV31" s="9">
        <v>23805335</v>
      </c>
      <c r="BW31" s="9">
        <v>23805335</v>
      </c>
      <c r="BX31" s="9">
        <v>24082775</v>
      </c>
      <c r="BY31" s="9">
        <v>24082775</v>
      </c>
      <c r="BZ31" s="9">
        <v>24082775</v>
      </c>
      <c r="CA31" s="9">
        <v>23199865</v>
      </c>
      <c r="CB31" s="31">
        <v>23199865</v>
      </c>
      <c r="CC31" s="9">
        <v>30005711</v>
      </c>
      <c r="CD31" s="9">
        <v>30005711</v>
      </c>
      <c r="CE31" s="9">
        <v>30005711</v>
      </c>
      <c r="CF31" s="9">
        <v>30005711</v>
      </c>
      <c r="CG31" s="9">
        <v>30005711</v>
      </c>
      <c r="CH31" s="9">
        <v>30005711</v>
      </c>
      <c r="CI31" s="9">
        <v>30005711</v>
      </c>
      <c r="CJ31" s="9">
        <v>30005711</v>
      </c>
      <c r="CK31" s="9">
        <v>24363947</v>
      </c>
      <c r="CL31" s="9">
        <v>24363947</v>
      </c>
      <c r="CM31" s="9">
        <v>24363947</v>
      </c>
      <c r="CN31" s="9">
        <v>23514290</v>
      </c>
      <c r="CO31" s="31">
        <v>23514290</v>
      </c>
      <c r="CP31" s="9">
        <v>28313204</v>
      </c>
      <c r="CQ31" s="9">
        <v>30808704</v>
      </c>
      <c r="CR31" s="9">
        <v>30808704</v>
      </c>
      <c r="CS31" s="9">
        <v>30808704</v>
      </c>
      <c r="CT31" s="9">
        <v>30808704</v>
      </c>
      <c r="CU31" s="9">
        <v>30808704</v>
      </c>
      <c r="CV31" s="9">
        <v>30808704</v>
      </c>
      <c r="CW31" s="9">
        <v>30808704</v>
      </c>
      <c r="CX31" s="9">
        <v>30808704</v>
      </c>
      <c r="CY31" s="9">
        <v>30808704</v>
      </c>
      <c r="CZ31" s="9">
        <v>30808704</v>
      </c>
      <c r="DA31" s="9">
        <v>30377501</v>
      </c>
      <c r="DB31" s="31">
        <v>30377501</v>
      </c>
      <c r="DC31" s="9">
        <v>26279513</v>
      </c>
      <c r="DD31" s="9">
        <v>26279513</v>
      </c>
      <c r="DE31" s="9">
        <v>26279513</v>
      </c>
      <c r="DF31" s="9">
        <v>26279513</v>
      </c>
      <c r="DG31" s="9">
        <v>26279513</v>
      </c>
      <c r="DH31" s="9">
        <v>26279513</v>
      </c>
      <c r="DI31" s="9">
        <v>26279513</v>
      </c>
      <c r="DJ31" s="9">
        <v>26279513</v>
      </c>
      <c r="DK31" s="9">
        <v>26279513</v>
      </c>
      <c r="DL31" s="9">
        <v>26279513</v>
      </c>
      <c r="DM31" s="9">
        <v>23402444</v>
      </c>
      <c r="DN31" s="9">
        <v>23403944</v>
      </c>
      <c r="DO31" s="31">
        <v>23403944</v>
      </c>
      <c r="DP31" s="9">
        <v>23921092</v>
      </c>
      <c r="DQ31" s="9">
        <v>23921092</v>
      </c>
      <c r="DR31" s="9">
        <v>23921092</v>
      </c>
      <c r="DS31" s="9">
        <v>23921092</v>
      </c>
      <c r="DT31" s="9">
        <v>23921092</v>
      </c>
      <c r="DU31" s="9">
        <v>23921092</v>
      </c>
      <c r="DV31" s="9">
        <v>23998690</v>
      </c>
      <c r="DW31" s="9">
        <v>23998690</v>
      </c>
      <c r="DX31" s="9">
        <v>23998690</v>
      </c>
      <c r="DY31" s="9">
        <v>23998690</v>
      </c>
      <c r="DZ31" s="9">
        <v>23228459</v>
      </c>
      <c r="EA31" s="9">
        <v>22242755</v>
      </c>
      <c r="EB31" s="31">
        <v>22242755</v>
      </c>
      <c r="EC31" s="9">
        <v>32623118</v>
      </c>
      <c r="ED31" s="9">
        <v>32623118</v>
      </c>
      <c r="EE31" s="9">
        <v>32623118</v>
      </c>
      <c r="EF31" s="9">
        <v>32623118</v>
      </c>
      <c r="EG31" s="9">
        <v>32623118</v>
      </c>
      <c r="EH31" s="9">
        <v>32623118</v>
      </c>
      <c r="EI31" s="9">
        <v>32623118</v>
      </c>
      <c r="EJ31" s="9">
        <v>32388971</v>
      </c>
      <c r="EK31" s="9">
        <v>31969868</v>
      </c>
      <c r="EL31" s="9">
        <v>31969868</v>
      </c>
      <c r="EM31" s="9">
        <v>28971461</v>
      </c>
      <c r="EN31" s="9">
        <v>27933416</v>
      </c>
      <c r="EO31" s="31">
        <v>27933416</v>
      </c>
      <c r="EP31" s="9">
        <v>31388552</v>
      </c>
      <c r="EQ31" s="9">
        <v>31388552</v>
      </c>
      <c r="ER31" s="9">
        <v>31388552</v>
      </c>
      <c r="ES31" s="9">
        <v>31388552</v>
      </c>
      <c r="ET31" s="9">
        <v>31388552</v>
      </c>
      <c r="EU31" s="9">
        <v>31388552</v>
      </c>
      <c r="EV31" s="9">
        <v>31388552</v>
      </c>
      <c r="EW31" s="9">
        <v>31388552</v>
      </c>
      <c r="EX31" s="9">
        <v>31388552</v>
      </c>
      <c r="EY31" s="9">
        <v>31049772</v>
      </c>
      <c r="EZ31" s="9">
        <v>31049772</v>
      </c>
      <c r="FA31" s="9">
        <v>30251792</v>
      </c>
      <c r="FB31" s="31">
        <v>30251792</v>
      </c>
      <c r="FC31" s="9">
        <v>32099544</v>
      </c>
      <c r="FD31" s="9">
        <v>32099544</v>
      </c>
      <c r="FE31" s="9">
        <v>32099544</v>
      </c>
      <c r="FF31" s="9">
        <v>32099544</v>
      </c>
      <c r="FG31" s="9">
        <v>32099544</v>
      </c>
      <c r="FH31" s="9">
        <v>32099544</v>
      </c>
      <c r="FI31" s="9">
        <v>32099544</v>
      </c>
      <c r="FJ31" s="9">
        <v>32099544</v>
      </c>
      <c r="FK31" s="9">
        <v>32099544</v>
      </c>
      <c r="FL31" s="9">
        <v>32099544</v>
      </c>
      <c r="FM31" s="9">
        <v>32099544</v>
      </c>
      <c r="FN31" s="9">
        <v>32099544</v>
      </c>
      <c r="FO31" s="31">
        <v>32099544</v>
      </c>
    </row>
    <row r="32" spans="2:171" x14ac:dyDescent="0.3">
      <c r="B32" s="7" t="s">
        <v>48</v>
      </c>
      <c r="C32" s="9">
        <v>5502314</v>
      </c>
      <c r="D32" s="9">
        <v>5502314</v>
      </c>
      <c r="E32" s="9">
        <v>5975273</v>
      </c>
      <c r="F32" s="9">
        <v>5975273</v>
      </c>
      <c r="G32" s="9">
        <v>5975273</v>
      </c>
      <c r="H32" s="9">
        <v>5975273</v>
      </c>
      <c r="I32" s="9">
        <v>5975273</v>
      </c>
      <c r="J32" s="9">
        <v>6076123</v>
      </c>
      <c r="K32" s="9">
        <v>6081001</v>
      </c>
      <c r="L32" s="9">
        <v>6070217</v>
      </c>
      <c r="M32" s="9">
        <v>6070217</v>
      </c>
      <c r="N32" s="9">
        <v>5726238</v>
      </c>
      <c r="O32" s="31">
        <v>5726238</v>
      </c>
      <c r="P32" s="9">
        <v>7116496</v>
      </c>
      <c r="Q32" s="9">
        <v>7918169</v>
      </c>
      <c r="R32" s="9">
        <v>7918169</v>
      </c>
      <c r="S32" s="9">
        <v>7918169</v>
      </c>
      <c r="T32" s="9">
        <v>8068747</v>
      </c>
      <c r="U32" s="9">
        <v>8068747</v>
      </c>
      <c r="V32" s="9">
        <v>8068747</v>
      </c>
      <c r="W32" s="9">
        <v>8521337</v>
      </c>
      <c r="X32" s="9">
        <v>8521337</v>
      </c>
      <c r="Y32" s="9">
        <v>8741191</v>
      </c>
      <c r="Z32" s="9">
        <v>8741191</v>
      </c>
      <c r="AA32" s="9">
        <v>8051916</v>
      </c>
      <c r="AB32" s="31">
        <v>8051916</v>
      </c>
      <c r="AC32" s="9">
        <v>7118243</v>
      </c>
      <c r="AD32" s="9">
        <v>8303389</v>
      </c>
      <c r="AE32" s="9">
        <v>9807240</v>
      </c>
      <c r="AF32" s="9">
        <v>9807240</v>
      </c>
      <c r="AG32" s="9">
        <v>9807240</v>
      </c>
      <c r="AH32" s="9">
        <v>9807240</v>
      </c>
      <c r="AI32" s="9">
        <v>10530390</v>
      </c>
      <c r="AJ32" s="9">
        <v>10530390</v>
      </c>
      <c r="AK32" s="9">
        <v>10530390</v>
      </c>
      <c r="AL32" s="9">
        <v>10530390</v>
      </c>
      <c r="AM32" s="9">
        <v>9994370</v>
      </c>
      <c r="AN32" s="9">
        <v>9419196</v>
      </c>
      <c r="AO32" s="31">
        <v>9419196</v>
      </c>
      <c r="AP32" s="9">
        <v>6360483</v>
      </c>
      <c r="AQ32" s="9">
        <v>7408519</v>
      </c>
      <c r="AR32" s="9">
        <v>7408519</v>
      </c>
      <c r="AS32" s="9">
        <v>7408519</v>
      </c>
      <c r="AT32" s="9">
        <v>7408519</v>
      </c>
      <c r="AU32" s="9">
        <v>7542057</v>
      </c>
      <c r="AV32" s="9">
        <v>7685652</v>
      </c>
      <c r="AW32" s="9">
        <v>7685652</v>
      </c>
      <c r="AX32" s="9">
        <v>8741294</v>
      </c>
      <c r="AY32" s="9">
        <v>9731912</v>
      </c>
      <c r="AZ32" s="9">
        <v>9712114</v>
      </c>
      <c r="BA32" s="9">
        <v>9325032</v>
      </c>
      <c r="BB32" s="31">
        <v>9325032</v>
      </c>
      <c r="BC32" s="9">
        <v>8905218</v>
      </c>
      <c r="BD32" s="9">
        <v>9754722</v>
      </c>
      <c r="BE32" s="9">
        <v>9754722</v>
      </c>
      <c r="BF32" s="9">
        <v>9754722</v>
      </c>
      <c r="BG32" s="9">
        <v>9754722</v>
      </c>
      <c r="BH32" s="9">
        <v>9754722</v>
      </c>
      <c r="BI32" s="9">
        <v>9725723</v>
      </c>
      <c r="BJ32" s="9">
        <v>8926953</v>
      </c>
      <c r="BK32" s="9">
        <v>8926953</v>
      </c>
      <c r="BL32" s="9">
        <v>7126953</v>
      </c>
      <c r="BM32" s="9">
        <v>7126953</v>
      </c>
      <c r="BN32" s="9">
        <v>5732079</v>
      </c>
      <c r="BO32" s="31">
        <v>5732079</v>
      </c>
      <c r="BP32" s="9">
        <v>5657692</v>
      </c>
      <c r="BQ32" s="9">
        <v>5657692</v>
      </c>
      <c r="BR32" s="9">
        <v>6371024</v>
      </c>
      <c r="BS32" s="9">
        <v>6371024</v>
      </c>
      <c r="BT32" s="9">
        <v>6220569</v>
      </c>
      <c r="BU32" s="9">
        <v>5955169</v>
      </c>
      <c r="BV32" s="9">
        <v>5955169</v>
      </c>
      <c r="BW32" s="9">
        <v>5256757</v>
      </c>
      <c r="BX32" s="9">
        <v>5256757</v>
      </c>
      <c r="BY32" s="9">
        <v>5256757</v>
      </c>
      <c r="BZ32" s="9">
        <v>5256757</v>
      </c>
      <c r="CA32" s="9">
        <v>3514334</v>
      </c>
      <c r="CB32" s="31">
        <v>3514334</v>
      </c>
      <c r="CC32" s="9">
        <v>8447722</v>
      </c>
      <c r="CD32" s="9">
        <v>8447722</v>
      </c>
      <c r="CE32" s="9">
        <v>8447722</v>
      </c>
      <c r="CF32" s="9">
        <v>7952427</v>
      </c>
      <c r="CG32" s="9">
        <v>7952427</v>
      </c>
      <c r="CH32" s="9">
        <v>7952427</v>
      </c>
      <c r="CI32" s="9">
        <v>7952427</v>
      </c>
      <c r="CJ32" s="9">
        <v>7952427</v>
      </c>
      <c r="CK32" s="9">
        <v>7952427</v>
      </c>
      <c r="CL32" s="9">
        <v>7867785</v>
      </c>
      <c r="CM32" s="9">
        <v>7867785</v>
      </c>
      <c r="CN32" s="9">
        <v>5737629</v>
      </c>
      <c r="CO32" s="31">
        <v>5737629</v>
      </c>
      <c r="CP32" s="9">
        <v>10293909</v>
      </c>
      <c r="CQ32" s="9">
        <v>10084346</v>
      </c>
      <c r="CR32" s="9">
        <v>10084346</v>
      </c>
      <c r="CS32" s="9">
        <v>10084346</v>
      </c>
      <c r="CT32" s="9">
        <v>9752272</v>
      </c>
      <c r="CU32" s="9">
        <v>9660314</v>
      </c>
      <c r="CV32" s="9">
        <v>10182785</v>
      </c>
      <c r="CW32" s="9">
        <v>10182785</v>
      </c>
      <c r="CX32" s="9">
        <v>10182785</v>
      </c>
      <c r="CY32" s="9">
        <v>10341874</v>
      </c>
      <c r="CZ32" s="9">
        <v>9584765</v>
      </c>
      <c r="DA32" s="9">
        <v>8277587</v>
      </c>
      <c r="DB32" s="31">
        <v>8277587</v>
      </c>
      <c r="DC32" s="9">
        <v>8027524</v>
      </c>
      <c r="DD32" s="9">
        <v>8983763</v>
      </c>
      <c r="DE32" s="9">
        <v>8983763</v>
      </c>
      <c r="DF32" s="9">
        <v>8983763</v>
      </c>
      <c r="DG32" s="9">
        <v>8983763</v>
      </c>
      <c r="DH32" s="9">
        <v>8983763</v>
      </c>
      <c r="DI32" s="9">
        <v>8402412</v>
      </c>
      <c r="DJ32" s="9">
        <v>8402412</v>
      </c>
      <c r="DK32" s="9">
        <v>8402412</v>
      </c>
      <c r="DL32" s="9">
        <v>8402412</v>
      </c>
      <c r="DM32" s="9">
        <v>7108557</v>
      </c>
      <c r="DN32" s="9">
        <v>6707203</v>
      </c>
      <c r="DO32" s="31">
        <v>6707203</v>
      </c>
      <c r="DP32" s="9">
        <v>9623696</v>
      </c>
      <c r="DQ32" s="9">
        <v>9643166</v>
      </c>
      <c r="DR32" s="9">
        <v>9643166</v>
      </c>
      <c r="DS32" s="9">
        <v>9643166</v>
      </c>
      <c r="DT32" s="9">
        <v>9643166</v>
      </c>
      <c r="DU32" s="9">
        <v>9643166</v>
      </c>
      <c r="DV32" s="9">
        <v>9643166</v>
      </c>
      <c r="DW32" s="9">
        <v>6911926</v>
      </c>
      <c r="DX32" s="9">
        <v>6911926</v>
      </c>
      <c r="DY32" s="9">
        <v>6911926</v>
      </c>
      <c r="DZ32" s="9">
        <v>5346460</v>
      </c>
      <c r="EA32" s="9">
        <v>5348904</v>
      </c>
      <c r="EB32" s="31">
        <v>5348904</v>
      </c>
      <c r="EC32" s="9">
        <v>7002032</v>
      </c>
      <c r="ED32" s="9">
        <v>7002032</v>
      </c>
      <c r="EE32" s="9">
        <v>7171646</v>
      </c>
      <c r="EF32" s="9">
        <v>7171646</v>
      </c>
      <c r="EG32" s="9">
        <v>6646025</v>
      </c>
      <c r="EH32" s="9">
        <v>6646025</v>
      </c>
      <c r="EI32" s="9">
        <v>6646025</v>
      </c>
      <c r="EJ32" s="9">
        <v>6646025</v>
      </c>
      <c r="EK32" s="9">
        <v>6646025</v>
      </c>
      <c r="EL32" s="9">
        <v>6646025</v>
      </c>
      <c r="EM32" s="9">
        <v>6646025</v>
      </c>
      <c r="EN32" s="9">
        <v>4403210</v>
      </c>
      <c r="EO32" s="31">
        <v>4403210</v>
      </c>
      <c r="EP32" s="9">
        <v>7819491</v>
      </c>
      <c r="EQ32" s="9">
        <v>8230260</v>
      </c>
      <c r="ER32" s="9">
        <v>10011051</v>
      </c>
      <c r="ES32" s="9">
        <v>10424875</v>
      </c>
      <c r="ET32" s="9">
        <v>10424875</v>
      </c>
      <c r="EU32" s="9">
        <v>10424875</v>
      </c>
      <c r="EV32" s="9">
        <v>10424875</v>
      </c>
      <c r="EW32" s="9">
        <v>10424875</v>
      </c>
      <c r="EX32" s="9">
        <v>10424875</v>
      </c>
      <c r="EY32" s="9">
        <v>10350160</v>
      </c>
      <c r="EZ32" s="9">
        <v>10350160</v>
      </c>
      <c r="FA32" s="9">
        <v>9544096</v>
      </c>
      <c r="FB32" s="31">
        <v>9544096</v>
      </c>
      <c r="FC32" s="9">
        <v>2323330</v>
      </c>
      <c r="FD32" s="9">
        <v>2323330</v>
      </c>
      <c r="FE32" s="9">
        <v>2323330</v>
      </c>
      <c r="FF32" s="9">
        <v>2323330</v>
      </c>
      <c r="FG32" s="9">
        <v>2764330</v>
      </c>
      <c r="FH32" s="9">
        <v>3209529</v>
      </c>
      <c r="FI32" s="9">
        <v>3209529</v>
      </c>
      <c r="FJ32" s="9">
        <v>3209529</v>
      </c>
      <c r="FK32" s="9">
        <v>3209529</v>
      </c>
      <c r="FL32" s="9">
        <v>3209529</v>
      </c>
      <c r="FM32" s="9">
        <v>3209529</v>
      </c>
      <c r="FN32" s="9">
        <v>3209529</v>
      </c>
      <c r="FO32" s="31">
        <v>3209529</v>
      </c>
    </row>
    <row r="33" spans="2:171" x14ac:dyDescent="0.3">
      <c r="B33" s="7" t="s">
        <v>49</v>
      </c>
      <c r="C33" s="9">
        <v>17762256</v>
      </c>
      <c r="D33" s="9">
        <v>17762256</v>
      </c>
      <c r="E33" s="9">
        <v>16843046</v>
      </c>
      <c r="F33" s="9">
        <v>15777268</v>
      </c>
      <c r="G33" s="9">
        <v>15328807</v>
      </c>
      <c r="H33" s="9">
        <v>15328807</v>
      </c>
      <c r="I33" s="9">
        <v>15328807</v>
      </c>
      <c r="J33" s="9">
        <v>14379335</v>
      </c>
      <c r="K33" s="9">
        <v>15106156</v>
      </c>
      <c r="L33" s="9">
        <v>12897017</v>
      </c>
      <c r="M33" s="9">
        <v>11231074</v>
      </c>
      <c r="N33" s="9">
        <v>10238076</v>
      </c>
      <c r="O33" s="31">
        <v>10238076</v>
      </c>
      <c r="P33" s="9">
        <v>21803885</v>
      </c>
      <c r="Q33" s="9">
        <v>22132341</v>
      </c>
      <c r="R33" s="9">
        <v>24937185</v>
      </c>
      <c r="S33" s="9">
        <v>25576034</v>
      </c>
      <c r="T33" s="9">
        <v>25728577</v>
      </c>
      <c r="U33" s="9">
        <v>25728577</v>
      </c>
      <c r="V33" s="9">
        <v>25905683</v>
      </c>
      <c r="W33" s="9">
        <v>25905683</v>
      </c>
      <c r="X33" s="9">
        <v>25905683</v>
      </c>
      <c r="Y33" s="9">
        <v>25735021</v>
      </c>
      <c r="Z33" s="9">
        <v>23856857</v>
      </c>
      <c r="AA33" s="9">
        <v>21579945</v>
      </c>
      <c r="AB33" s="31">
        <v>21579945</v>
      </c>
      <c r="AC33" s="9">
        <v>20753826</v>
      </c>
      <c r="AD33" s="9">
        <v>21247771</v>
      </c>
      <c r="AE33" s="9">
        <v>21247771</v>
      </c>
      <c r="AF33" s="9">
        <v>21247771</v>
      </c>
      <c r="AG33" s="9">
        <v>23956472</v>
      </c>
      <c r="AH33" s="9">
        <v>23956472</v>
      </c>
      <c r="AI33" s="9">
        <v>23956472</v>
      </c>
      <c r="AJ33" s="9">
        <v>23956472</v>
      </c>
      <c r="AK33" s="9">
        <v>23956472</v>
      </c>
      <c r="AL33" s="9">
        <v>23956472</v>
      </c>
      <c r="AM33" s="9">
        <v>22883013</v>
      </c>
      <c r="AN33" s="9">
        <v>21082046</v>
      </c>
      <c r="AO33" s="31">
        <v>21082046</v>
      </c>
      <c r="AP33" s="9">
        <v>19705469</v>
      </c>
      <c r="AQ33" s="9">
        <v>20496863</v>
      </c>
      <c r="AR33" s="9">
        <v>20496863</v>
      </c>
      <c r="AS33" s="9">
        <v>20496863</v>
      </c>
      <c r="AT33" s="9">
        <v>18696863</v>
      </c>
      <c r="AU33" s="9">
        <v>18438053</v>
      </c>
      <c r="AV33" s="9">
        <v>18192873</v>
      </c>
      <c r="AW33" s="9">
        <v>18242873</v>
      </c>
      <c r="AX33" s="9">
        <v>15496860</v>
      </c>
      <c r="AY33" s="9">
        <v>15917562</v>
      </c>
      <c r="AZ33" s="9">
        <v>14889946</v>
      </c>
      <c r="BA33" s="9">
        <v>13127480</v>
      </c>
      <c r="BB33" s="31">
        <v>13127480</v>
      </c>
      <c r="BC33" s="9">
        <v>20697782</v>
      </c>
      <c r="BD33" s="9">
        <v>21356232</v>
      </c>
      <c r="BE33" s="9">
        <v>21356232</v>
      </c>
      <c r="BF33" s="9">
        <v>21356232</v>
      </c>
      <c r="BG33" s="9">
        <v>21356232</v>
      </c>
      <c r="BH33" s="9">
        <v>21356232</v>
      </c>
      <c r="BI33" s="9">
        <v>21356232</v>
      </c>
      <c r="BJ33" s="9">
        <v>22033428</v>
      </c>
      <c r="BK33" s="9">
        <v>22033428</v>
      </c>
      <c r="BL33" s="9">
        <v>17880851</v>
      </c>
      <c r="BM33" s="9">
        <v>17880851</v>
      </c>
      <c r="BN33" s="9">
        <v>12103850</v>
      </c>
      <c r="BO33" s="31">
        <v>12103850</v>
      </c>
      <c r="BP33" s="9">
        <v>12609240</v>
      </c>
      <c r="BQ33" s="9">
        <v>13569680</v>
      </c>
      <c r="BR33" s="9">
        <v>13633063</v>
      </c>
      <c r="BS33" s="9">
        <v>13836663</v>
      </c>
      <c r="BT33" s="9">
        <v>13916153</v>
      </c>
      <c r="BU33" s="9">
        <v>14370533</v>
      </c>
      <c r="BV33" s="9">
        <v>15029835</v>
      </c>
      <c r="BW33" s="9">
        <v>15029835</v>
      </c>
      <c r="BX33" s="9">
        <v>15029835</v>
      </c>
      <c r="BY33" s="9">
        <v>15029835</v>
      </c>
      <c r="BZ33" s="9">
        <v>15029835</v>
      </c>
      <c r="CA33" s="9">
        <v>12459105</v>
      </c>
      <c r="CB33" s="31">
        <v>12459105</v>
      </c>
      <c r="CC33" s="9">
        <v>8704861</v>
      </c>
      <c r="CD33" s="9">
        <v>8704861</v>
      </c>
      <c r="CE33" s="9">
        <v>8704861</v>
      </c>
      <c r="CF33" s="9">
        <v>10539515</v>
      </c>
      <c r="CG33" s="9">
        <v>10539515</v>
      </c>
      <c r="CH33" s="9">
        <v>10539515</v>
      </c>
      <c r="CI33" s="9">
        <v>10539515</v>
      </c>
      <c r="CJ33" s="9">
        <v>10539515</v>
      </c>
      <c r="CK33" s="9">
        <v>10539515</v>
      </c>
      <c r="CL33" s="9">
        <v>11158228</v>
      </c>
      <c r="CM33" s="9">
        <v>11158228</v>
      </c>
      <c r="CN33" s="9">
        <v>10127399</v>
      </c>
      <c r="CO33" s="31">
        <v>10127399</v>
      </c>
      <c r="CP33" s="9">
        <v>10606403</v>
      </c>
      <c r="CQ33" s="9">
        <v>10981562</v>
      </c>
      <c r="CR33" s="9">
        <v>10981562</v>
      </c>
      <c r="CS33" s="9">
        <v>10981562</v>
      </c>
      <c r="CT33" s="9">
        <v>9508988</v>
      </c>
      <c r="CU33" s="9">
        <v>10027957</v>
      </c>
      <c r="CV33" s="9">
        <v>9376062</v>
      </c>
      <c r="CW33" s="9">
        <v>9426062</v>
      </c>
      <c r="CX33" s="9">
        <v>9426062</v>
      </c>
      <c r="CY33" s="9">
        <v>9426062</v>
      </c>
      <c r="CZ33" s="9">
        <v>8375529</v>
      </c>
      <c r="DA33" s="9">
        <v>5044955</v>
      </c>
      <c r="DB33" s="31">
        <v>5044955</v>
      </c>
      <c r="DC33" s="9">
        <v>4659283</v>
      </c>
      <c r="DD33" s="9">
        <v>8287823</v>
      </c>
      <c r="DE33" s="9">
        <v>8287823</v>
      </c>
      <c r="DF33" s="9">
        <v>8287823</v>
      </c>
      <c r="DG33" s="9">
        <v>8088031</v>
      </c>
      <c r="DH33" s="9">
        <v>9085876</v>
      </c>
      <c r="DI33" s="9">
        <v>8230787</v>
      </c>
      <c r="DJ33" s="9">
        <v>9146287</v>
      </c>
      <c r="DK33" s="9">
        <v>9160548</v>
      </c>
      <c r="DL33" s="9">
        <v>9229516</v>
      </c>
      <c r="DM33" s="9">
        <v>8217063</v>
      </c>
      <c r="DN33" s="9">
        <v>5987379</v>
      </c>
      <c r="DO33" s="31">
        <v>5987379</v>
      </c>
      <c r="DP33" s="9">
        <v>9013306</v>
      </c>
      <c r="DQ33" s="9">
        <v>9013306</v>
      </c>
      <c r="DR33" s="9">
        <v>9013306</v>
      </c>
      <c r="DS33" s="9">
        <v>9013306</v>
      </c>
      <c r="DT33" s="9">
        <v>9013306</v>
      </c>
      <c r="DU33" s="9">
        <v>9013306</v>
      </c>
      <c r="DV33" s="9">
        <v>9013306</v>
      </c>
      <c r="DW33" s="9">
        <v>9013306</v>
      </c>
      <c r="DX33" s="9">
        <v>9013306</v>
      </c>
      <c r="DY33" s="9">
        <v>9013306</v>
      </c>
      <c r="DZ33" s="9">
        <v>8829146</v>
      </c>
      <c r="EA33" s="9">
        <v>6845802</v>
      </c>
      <c r="EB33" s="31">
        <v>6845802</v>
      </c>
      <c r="EC33" s="9">
        <v>11846836</v>
      </c>
      <c r="ED33" s="9">
        <v>11846836</v>
      </c>
      <c r="EE33" s="9">
        <v>13988953</v>
      </c>
      <c r="EF33" s="9">
        <v>13988953</v>
      </c>
      <c r="EG33" s="9">
        <v>14532621</v>
      </c>
      <c r="EH33" s="9">
        <v>15344415</v>
      </c>
      <c r="EI33" s="9">
        <v>15354765</v>
      </c>
      <c r="EJ33" s="9">
        <v>15354765</v>
      </c>
      <c r="EK33" s="9">
        <v>15735185</v>
      </c>
      <c r="EL33" s="9">
        <v>15735185</v>
      </c>
      <c r="EM33" s="9">
        <v>15739683</v>
      </c>
      <c r="EN33" s="9">
        <v>8998445</v>
      </c>
      <c r="EO33" s="31">
        <v>8998445</v>
      </c>
      <c r="EP33" s="9">
        <v>9956278</v>
      </c>
      <c r="EQ33" s="9">
        <v>9956278</v>
      </c>
      <c r="ER33" s="9">
        <v>11346159</v>
      </c>
      <c r="ES33" s="9">
        <v>11346159</v>
      </c>
      <c r="ET33" s="9">
        <v>11346159</v>
      </c>
      <c r="EU33" s="9">
        <v>11544512</v>
      </c>
      <c r="EV33" s="9">
        <v>11544512</v>
      </c>
      <c r="EW33" s="9">
        <v>11544512</v>
      </c>
      <c r="EX33" s="9">
        <v>11544512</v>
      </c>
      <c r="EY33" s="9">
        <v>11559267</v>
      </c>
      <c r="EZ33" s="9">
        <v>11166267</v>
      </c>
      <c r="FA33" s="9">
        <v>10095312</v>
      </c>
      <c r="FB33" s="31">
        <v>10095312</v>
      </c>
      <c r="FC33" s="9">
        <v>8706346</v>
      </c>
      <c r="FD33" s="9">
        <v>8706346</v>
      </c>
      <c r="FE33" s="9">
        <v>8811028</v>
      </c>
      <c r="FF33" s="9">
        <v>8811028</v>
      </c>
      <c r="FG33" s="9">
        <v>9302509</v>
      </c>
      <c r="FH33" s="9">
        <v>9302509</v>
      </c>
      <c r="FI33" s="9">
        <v>9302509</v>
      </c>
      <c r="FJ33" s="9">
        <v>9302509</v>
      </c>
      <c r="FK33" s="9">
        <v>9302509</v>
      </c>
      <c r="FL33" s="9">
        <v>9302509</v>
      </c>
      <c r="FM33" s="9">
        <v>9302509</v>
      </c>
      <c r="FN33" s="9">
        <v>9302509</v>
      </c>
      <c r="FO33" s="31">
        <v>9302509</v>
      </c>
    </row>
    <row r="34" spans="2:171" x14ac:dyDescent="0.3">
      <c r="B34" s="7" t="s">
        <v>50</v>
      </c>
      <c r="C34" s="9">
        <v>8823051</v>
      </c>
      <c r="D34" s="9">
        <v>8823051</v>
      </c>
      <c r="E34" s="9">
        <v>9505842</v>
      </c>
      <c r="F34" s="9">
        <v>9505842</v>
      </c>
      <c r="G34" s="9">
        <v>9505842</v>
      </c>
      <c r="H34" s="9">
        <v>9505842</v>
      </c>
      <c r="I34" s="9">
        <v>9616562</v>
      </c>
      <c r="J34" s="9">
        <v>10028392</v>
      </c>
      <c r="K34" s="9">
        <v>10028392</v>
      </c>
      <c r="L34" s="9">
        <v>10048392</v>
      </c>
      <c r="M34" s="9">
        <v>10085392</v>
      </c>
      <c r="N34" s="9">
        <v>7373739</v>
      </c>
      <c r="O34" s="31">
        <v>7373739</v>
      </c>
      <c r="P34" s="9">
        <v>9265514</v>
      </c>
      <c r="Q34" s="9">
        <v>15060572</v>
      </c>
      <c r="R34" s="9">
        <v>19686983</v>
      </c>
      <c r="S34" s="9">
        <v>19686983</v>
      </c>
      <c r="T34" s="9">
        <v>16002928</v>
      </c>
      <c r="U34" s="9">
        <v>16002928</v>
      </c>
      <c r="V34" s="9">
        <v>16002928</v>
      </c>
      <c r="W34" s="9">
        <v>16002928</v>
      </c>
      <c r="X34" s="9">
        <v>16002928</v>
      </c>
      <c r="Y34" s="9">
        <v>16020518</v>
      </c>
      <c r="Z34" s="9">
        <v>16020518</v>
      </c>
      <c r="AA34" s="9">
        <v>15294380</v>
      </c>
      <c r="AB34" s="31">
        <v>15294380</v>
      </c>
      <c r="AC34" s="9">
        <v>17751422</v>
      </c>
      <c r="AD34" s="9">
        <v>27457900</v>
      </c>
      <c r="AE34" s="9">
        <v>27457900</v>
      </c>
      <c r="AF34" s="9">
        <v>27457900</v>
      </c>
      <c r="AG34" s="9">
        <v>27457900</v>
      </c>
      <c r="AH34" s="9">
        <v>27457900</v>
      </c>
      <c r="AI34" s="9">
        <v>26307220</v>
      </c>
      <c r="AJ34" s="9">
        <v>26307220</v>
      </c>
      <c r="AK34" s="9">
        <v>26307220</v>
      </c>
      <c r="AL34" s="9">
        <v>26209950</v>
      </c>
      <c r="AM34" s="9">
        <v>24799962</v>
      </c>
      <c r="AN34" s="9">
        <v>24193416</v>
      </c>
      <c r="AO34" s="31">
        <v>24193416</v>
      </c>
      <c r="AP34" s="9">
        <v>23414402</v>
      </c>
      <c r="AQ34" s="9">
        <v>24408861</v>
      </c>
      <c r="AR34" s="9">
        <v>23962611</v>
      </c>
      <c r="AS34" s="9">
        <v>23341783</v>
      </c>
      <c r="AT34" s="9">
        <v>23341783</v>
      </c>
      <c r="AU34" s="9">
        <v>22408598</v>
      </c>
      <c r="AV34" s="9">
        <v>18990965</v>
      </c>
      <c r="AW34" s="9">
        <v>18639711</v>
      </c>
      <c r="AX34" s="9">
        <v>17502371</v>
      </c>
      <c r="AY34" s="9">
        <v>17107364</v>
      </c>
      <c r="AZ34" s="9">
        <v>17068751</v>
      </c>
      <c r="BA34" s="9">
        <v>16553142</v>
      </c>
      <c r="BB34" s="31">
        <v>16553142</v>
      </c>
      <c r="BC34" s="9">
        <v>16518133</v>
      </c>
      <c r="BD34" s="9">
        <v>17451307</v>
      </c>
      <c r="BE34" s="9">
        <v>17451307</v>
      </c>
      <c r="BF34" s="9">
        <v>17451307</v>
      </c>
      <c r="BG34" s="9">
        <v>17451307</v>
      </c>
      <c r="BH34" s="9">
        <v>17451307</v>
      </c>
      <c r="BI34" s="9">
        <v>17451307</v>
      </c>
      <c r="BJ34" s="9">
        <v>17451307</v>
      </c>
      <c r="BK34" s="9">
        <v>17438995</v>
      </c>
      <c r="BL34" s="9">
        <v>16741821</v>
      </c>
      <c r="BM34" s="9">
        <v>16741821</v>
      </c>
      <c r="BN34" s="9">
        <v>14566468</v>
      </c>
      <c r="BO34" s="31">
        <v>14566468</v>
      </c>
      <c r="BP34" s="9">
        <v>9624594</v>
      </c>
      <c r="BQ34" s="9">
        <v>9624594</v>
      </c>
      <c r="BR34" s="9">
        <v>10797605</v>
      </c>
      <c r="BS34" s="9">
        <v>10797605</v>
      </c>
      <c r="BT34" s="9">
        <v>11006605</v>
      </c>
      <c r="BU34" s="9">
        <v>12295984</v>
      </c>
      <c r="BV34" s="9">
        <v>15844488</v>
      </c>
      <c r="BW34" s="9">
        <v>15883036</v>
      </c>
      <c r="BX34" s="9">
        <v>15408225</v>
      </c>
      <c r="BY34" s="9">
        <v>15408225</v>
      </c>
      <c r="BZ34" s="9">
        <v>15408225</v>
      </c>
      <c r="CA34" s="9">
        <v>14279469</v>
      </c>
      <c r="CB34" s="31">
        <v>14279469</v>
      </c>
      <c r="CC34" s="9">
        <v>25370209</v>
      </c>
      <c r="CD34" s="9">
        <v>25370209</v>
      </c>
      <c r="CE34" s="9">
        <v>33570209</v>
      </c>
      <c r="CF34" s="9">
        <v>25324968</v>
      </c>
      <c r="CG34" s="9">
        <v>25324968</v>
      </c>
      <c r="CH34" s="9">
        <v>25324968</v>
      </c>
      <c r="CI34" s="9">
        <v>20467573</v>
      </c>
      <c r="CJ34" s="9">
        <v>20467573</v>
      </c>
      <c r="CK34" s="9">
        <v>21469756</v>
      </c>
      <c r="CL34" s="9">
        <v>21524754</v>
      </c>
      <c r="CM34" s="9">
        <v>21431831</v>
      </c>
      <c r="CN34" s="9">
        <v>17737601</v>
      </c>
      <c r="CO34" s="31">
        <v>17737601</v>
      </c>
      <c r="CP34" s="9">
        <v>41468112</v>
      </c>
      <c r="CQ34" s="9">
        <v>36245332</v>
      </c>
      <c r="CR34" s="9">
        <v>36663632</v>
      </c>
      <c r="CS34" s="9">
        <v>36698206</v>
      </c>
      <c r="CT34" s="9">
        <v>36732779</v>
      </c>
      <c r="CU34" s="9">
        <v>36266351</v>
      </c>
      <c r="CV34" s="9">
        <v>35758811</v>
      </c>
      <c r="CW34" s="9">
        <v>35758811</v>
      </c>
      <c r="CX34" s="9">
        <v>35758811</v>
      </c>
      <c r="CY34" s="9">
        <v>35859421</v>
      </c>
      <c r="CZ34" s="9">
        <v>34878248</v>
      </c>
      <c r="DA34" s="9">
        <v>29916675</v>
      </c>
      <c r="DB34" s="31">
        <v>29916675</v>
      </c>
      <c r="DC34" s="9">
        <v>35548395</v>
      </c>
      <c r="DD34" s="9">
        <v>41225450</v>
      </c>
      <c r="DE34" s="9">
        <v>41757245</v>
      </c>
      <c r="DF34" s="9">
        <v>41757245</v>
      </c>
      <c r="DG34" s="9">
        <v>41771744</v>
      </c>
      <c r="DH34" s="9">
        <v>41771744</v>
      </c>
      <c r="DI34" s="9">
        <v>41815242</v>
      </c>
      <c r="DJ34" s="9">
        <v>40323711</v>
      </c>
      <c r="DK34" s="9">
        <v>32895617</v>
      </c>
      <c r="DL34" s="9">
        <v>32895617</v>
      </c>
      <c r="DM34" s="9">
        <v>28719484</v>
      </c>
      <c r="DN34" s="9">
        <v>26431429</v>
      </c>
      <c r="DO34" s="31">
        <v>26431429</v>
      </c>
      <c r="DP34" s="9">
        <v>30263070</v>
      </c>
      <c r="DQ34" s="9">
        <v>31368555</v>
      </c>
      <c r="DR34" s="9">
        <v>31368555</v>
      </c>
      <c r="DS34" s="9">
        <v>31368555</v>
      </c>
      <c r="DT34" s="9">
        <v>31368555</v>
      </c>
      <c r="DU34" s="9">
        <v>31368555</v>
      </c>
      <c r="DV34" s="9">
        <v>31368555</v>
      </c>
      <c r="DW34" s="9">
        <v>31368555</v>
      </c>
      <c r="DX34" s="9">
        <v>31368555</v>
      </c>
      <c r="DY34" s="9">
        <v>31368555</v>
      </c>
      <c r="DZ34" s="9">
        <v>24948049</v>
      </c>
      <c r="EA34" s="9">
        <v>17979056</v>
      </c>
      <c r="EB34" s="31">
        <v>17979056</v>
      </c>
      <c r="EC34" s="9">
        <v>10878804</v>
      </c>
      <c r="ED34" s="9">
        <v>10878804</v>
      </c>
      <c r="EE34" s="9">
        <v>17648371</v>
      </c>
      <c r="EF34" s="9">
        <v>17845366</v>
      </c>
      <c r="EG34" s="9">
        <v>17871737</v>
      </c>
      <c r="EH34" s="9">
        <v>19717940</v>
      </c>
      <c r="EI34" s="9">
        <v>19717940</v>
      </c>
      <c r="EJ34" s="9">
        <v>19717940</v>
      </c>
      <c r="EK34" s="9">
        <v>19480742</v>
      </c>
      <c r="EL34" s="9">
        <v>19480742</v>
      </c>
      <c r="EM34" s="9">
        <v>18903775</v>
      </c>
      <c r="EN34" s="9">
        <v>15465604</v>
      </c>
      <c r="EO34" s="31">
        <v>15465604</v>
      </c>
      <c r="EP34" s="9">
        <v>13585888</v>
      </c>
      <c r="EQ34" s="9">
        <v>14789146</v>
      </c>
      <c r="ER34" s="9">
        <v>15123006</v>
      </c>
      <c r="ES34" s="9">
        <v>15123006</v>
      </c>
      <c r="ET34" s="9">
        <v>15123006</v>
      </c>
      <c r="EU34" s="9">
        <v>15123006</v>
      </c>
      <c r="EV34" s="9">
        <v>15123006</v>
      </c>
      <c r="EW34" s="9">
        <v>15123006</v>
      </c>
      <c r="EX34" s="9">
        <v>15123006</v>
      </c>
      <c r="EY34" s="9">
        <v>14248096</v>
      </c>
      <c r="EZ34" s="9">
        <v>14248096</v>
      </c>
      <c r="FA34" s="9">
        <v>12638840</v>
      </c>
      <c r="FB34" s="31">
        <v>12638840</v>
      </c>
      <c r="FC34" s="9">
        <v>13197867</v>
      </c>
      <c r="FD34" s="9">
        <v>12480252</v>
      </c>
      <c r="FE34" s="9">
        <v>12480252</v>
      </c>
      <c r="FF34" s="9">
        <v>12480252</v>
      </c>
      <c r="FG34" s="9">
        <v>14209379</v>
      </c>
      <c r="FH34" s="9">
        <v>14209379</v>
      </c>
      <c r="FI34" s="9">
        <v>14209379</v>
      </c>
      <c r="FJ34" s="9">
        <v>14209379</v>
      </c>
      <c r="FK34" s="9">
        <v>14209379</v>
      </c>
      <c r="FL34" s="9">
        <v>14209379</v>
      </c>
      <c r="FM34" s="9">
        <v>14209379</v>
      </c>
      <c r="FN34" s="9">
        <v>14209379</v>
      </c>
      <c r="FO34" s="31">
        <v>14209379</v>
      </c>
    </row>
    <row r="35" spans="2:171" x14ac:dyDescent="0.3">
      <c r="B35" s="7" t="s">
        <v>51</v>
      </c>
      <c r="C35" s="9">
        <v>5303372</v>
      </c>
      <c r="D35" s="9">
        <v>5303372</v>
      </c>
      <c r="E35" s="9">
        <v>6632621</v>
      </c>
      <c r="F35" s="9">
        <v>7095200</v>
      </c>
      <c r="G35" s="9">
        <v>8383749</v>
      </c>
      <c r="H35" s="9">
        <v>8383749</v>
      </c>
      <c r="I35" s="9">
        <v>8383749</v>
      </c>
      <c r="J35" s="9">
        <v>11541278</v>
      </c>
      <c r="K35" s="9">
        <v>11554154</v>
      </c>
      <c r="L35" s="9">
        <v>11554154</v>
      </c>
      <c r="M35" s="9">
        <v>11593154</v>
      </c>
      <c r="N35" s="9">
        <v>9346642</v>
      </c>
      <c r="O35" s="31">
        <v>9346642</v>
      </c>
      <c r="P35" s="9">
        <v>10483676</v>
      </c>
      <c r="Q35" s="9">
        <v>11262255</v>
      </c>
      <c r="R35" s="9">
        <v>11262255</v>
      </c>
      <c r="S35" s="9">
        <v>11262255</v>
      </c>
      <c r="T35" s="9">
        <v>11262255</v>
      </c>
      <c r="U35" s="9">
        <v>11262255</v>
      </c>
      <c r="V35" s="9">
        <v>11262255</v>
      </c>
      <c r="W35" s="9">
        <v>11036169</v>
      </c>
      <c r="X35" s="9">
        <v>11036169</v>
      </c>
      <c r="Y35" s="9">
        <v>11036169</v>
      </c>
      <c r="Z35" s="9">
        <v>10916856</v>
      </c>
      <c r="AA35" s="9">
        <v>4089941</v>
      </c>
      <c r="AB35" s="31">
        <v>4089941</v>
      </c>
      <c r="AC35" s="9">
        <v>7956960</v>
      </c>
      <c r="AD35" s="9">
        <v>9020805</v>
      </c>
      <c r="AE35" s="9">
        <v>10052277</v>
      </c>
      <c r="AF35" s="9">
        <v>10052277</v>
      </c>
      <c r="AG35" s="9">
        <v>10154821</v>
      </c>
      <c r="AH35" s="9">
        <v>10154821</v>
      </c>
      <c r="AI35" s="9">
        <v>10220130</v>
      </c>
      <c r="AJ35" s="9">
        <v>14581092</v>
      </c>
      <c r="AK35" s="9">
        <v>14581092</v>
      </c>
      <c r="AL35" s="9">
        <v>14581092</v>
      </c>
      <c r="AM35" s="9">
        <v>14581092</v>
      </c>
      <c r="AN35" s="9">
        <v>14433260</v>
      </c>
      <c r="AO35" s="31">
        <v>14433260</v>
      </c>
      <c r="AP35" s="9">
        <v>22558714</v>
      </c>
      <c r="AQ35" s="9">
        <v>23324716</v>
      </c>
      <c r="AR35" s="9">
        <v>23324716</v>
      </c>
      <c r="AS35" s="9">
        <v>23324716</v>
      </c>
      <c r="AT35" s="9">
        <v>27372752</v>
      </c>
      <c r="AU35" s="9">
        <v>24657172</v>
      </c>
      <c r="AV35" s="9">
        <v>24657172</v>
      </c>
      <c r="AW35" s="9">
        <v>24721802</v>
      </c>
      <c r="AX35" s="9">
        <v>24721802</v>
      </c>
      <c r="AY35" s="9">
        <v>24737302</v>
      </c>
      <c r="AZ35" s="9">
        <v>24615368</v>
      </c>
      <c r="BA35" s="9">
        <v>19553460</v>
      </c>
      <c r="BB35" s="31">
        <v>19553460</v>
      </c>
      <c r="BC35" s="9">
        <v>26064643</v>
      </c>
      <c r="BD35" s="9">
        <v>26628701</v>
      </c>
      <c r="BE35" s="9">
        <v>26536361</v>
      </c>
      <c r="BF35" s="9">
        <v>23620186</v>
      </c>
      <c r="BG35" s="9">
        <v>23620186</v>
      </c>
      <c r="BH35" s="9">
        <v>20766385</v>
      </c>
      <c r="BI35" s="9">
        <v>19983496</v>
      </c>
      <c r="BJ35" s="9">
        <v>18871332</v>
      </c>
      <c r="BK35" s="9">
        <v>18871332</v>
      </c>
      <c r="BL35" s="9">
        <v>17871332</v>
      </c>
      <c r="BM35" s="9">
        <v>17688332</v>
      </c>
      <c r="BN35" s="9">
        <v>15072183</v>
      </c>
      <c r="BO35" s="31">
        <v>15072183</v>
      </c>
      <c r="BP35" s="9">
        <v>16889432</v>
      </c>
      <c r="BQ35" s="9">
        <v>16889432</v>
      </c>
      <c r="BR35" s="9">
        <v>17238420</v>
      </c>
      <c r="BS35" s="9">
        <v>17238420</v>
      </c>
      <c r="BT35" s="9">
        <v>15942666</v>
      </c>
      <c r="BU35" s="9">
        <v>14567498</v>
      </c>
      <c r="BV35" s="9">
        <v>14533639</v>
      </c>
      <c r="BW35" s="9">
        <v>14542725</v>
      </c>
      <c r="BX35" s="9">
        <v>14294652</v>
      </c>
      <c r="BY35" s="9">
        <v>14294652</v>
      </c>
      <c r="BZ35" s="9">
        <v>14294652</v>
      </c>
      <c r="CA35" s="9">
        <v>14082606</v>
      </c>
      <c r="CB35" s="31">
        <v>14082606</v>
      </c>
      <c r="CC35" s="9">
        <v>17341145</v>
      </c>
      <c r="CD35" s="9">
        <v>17341145</v>
      </c>
      <c r="CE35" s="9">
        <v>17341145</v>
      </c>
      <c r="CF35" s="9">
        <v>18075017</v>
      </c>
      <c r="CG35" s="9">
        <v>18075017</v>
      </c>
      <c r="CH35" s="9">
        <v>18075017</v>
      </c>
      <c r="CI35" s="9">
        <v>18042642</v>
      </c>
      <c r="CJ35" s="9">
        <v>18042642</v>
      </c>
      <c r="CK35" s="9">
        <v>16389750</v>
      </c>
      <c r="CL35" s="9">
        <v>16389750</v>
      </c>
      <c r="CM35" s="9">
        <v>19659750</v>
      </c>
      <c r="CN35" s="9">
        <v>12812259</v>
      </c>
      <c r="CO35" s="31">
        <v>12812259</v>
      </c>
      <c r="CP35" s="9">
        <v>21129078</v>
      </c>
      <c r="CQ35" s="9">
        <v>22568239</v>
      </c>
      <c r="CR35" s="9">
        <v>22568239</v>
      </c>
      <c r="CS35" s="9">
        <v>22774239</v>
      </c>
      <c r="CT35" s="9">
        <v>22814239</v>
      </c>
      <c r="CU35" s="9">
        <v>22814239</v>
      </c>
      <c r="CV35" s="9">
        <v>22814239</v>
      </c>
      <c r="CW35" s="9">
        <v>23235030</v>
      </c>
      <c r="CX35" s="9">
        <v>23235030</v>
      </c>
      <c r="CY35" s="9">
        <v>23235030</v>
      </c>
      <c r="CZ35" s="9">
        <v>18518157</v>
      </c>
      <c r="DA35" s="9">
        <v>15731773</v>
      </c>
      <c r="DB35" s="31">
        <v>15731773</v>
      </c>
      <c r="DC35" s="9">
        <v>24875325</v>
      </c>
      <c r="DD35" s="9">
        <v>31089481</v>
      </c>
      <c r="DE35" s="9">
        <v>27688501</v>
      </c>
      <c r="DF35" s="9">
        <v>27688501</v>
      </c>
      <c r="DG35" s="9">
        <v>27688501</v>
      </c>
      <c r="DH35" s="9">
        <v>27688501</v>
      </c>
      <c r="DI35" s="9">
        <v>25851245</v>
      </c>
      <c r="DJ35" s="9">
        <v>25851245</v>
      </c>
      <c r="DK35" s="9">
        <v>25846245</v>
      </c>
      <c r="DL35" s="9">
        <v>25846245</v>
      </c>
      <c r="DM35" s="9">
        <v>19964707</v>
      </c>
      <c r="DN35" s="9">
        <v>18388246</v>
      </c>
      <c r="DO35" s="31">
        <v>18388246</v>
      </c>
      <c r="DP35" s="9">
        <v>21315123</v>
      </c>
      <c r="DQ35" s="9">
        <v>21455123</v>
      </c>
      <c r="DR35" s="9">
        <v>21455123</v>
      </c>
      <c r="DS35" s="9">
        <v>21455123</v>
      </c>
      <c r="DT35" s="9">
        <v>22632742</v>
      </c>
      <c r="DU35" s="9">
        <v>22632742</v>
      </c>
      <c r="DV35" s="9">
        <v>22688742</v>
      </c>
      <c r="DW35" s="9">
        <v>22688742</v>
      </c>
      <c r="DX35" s="9">
        <v>22688742</v>
      </c>
      <c r="DY35" s="9">
        <v>22688742</v>
      </c>
      <c r="DZ35" s="9">
        <v>23118118</v>
      </c>
      <c r="EA35" s="9">
        <v>24322778</v>
      </c>
      <c r="EB35" s="31">
        <v>24322778</v>
      </c>
      <c r="EC35" s="9">
        <v>21518444</v>
      </c>
      <c r="ED35" s="9">
        <v>21518444</v>
      </c>
      <c r="EE35" s="9">
        <v>17812520</v>
      </c>
      <c r="EF35" s="9">
        <v>17812520</v>
      </c>
      <c r="EG35" s="9">
        <v>17812520</v>
      </c>
      <c r="EH35" s="9">
        <v>17812520</v>
      </c>
      <c r="EI35" s="9">
        <v>17812520</v>
      </c>
      <c r="EJ35" s="9">
        <v>17812520</v>
      </c>
      <c r="EK35" s="9">
        <v>17188321</v>
      </c>
      <c r="EL35" s="9">
        <v>17188321</v>
      </c>
      <c r="EM35" s="9">
        <v>17188321</v>
      </c>
      <c r="EN35" s="9">
        <v>8570431</v>
      </c>
      <c r="EO35" s="31">
        <v>8570431</v>
      </c>
      <c r="EP35" s="9">
        <v>24183340</v>
      </c>
      <c r="EQ35" s="9">
        <v>24535980</v>
      </c>
      <c r="ER35" s="9">
        <v>24535980</v>
      </c>
      <c r="ES35" s="9">
        <v>24535980</v>
      </c>
      <c r="ET35" s="9">
        <v>24535980</v>
      </c>
      <c r="EU35" s="9">
        <v>23536162</v>
      </c>
      <c r="EV35" s="9">
        <v>20536162</v>
      </c>
      <c r="EW35" s="9">
        <v>20536162</v>
      </c>
      <c r="EX35" s="9">
        <v>20536162</v>
      </c>
      <c r="EY35" s="9">
        <v>20589662</v>
      </c>
      <c r="EZ35" s="9">
        <v>20589662</v>
      </c>
      <c r="FA35" s="9">
        <v>15483238</v>
      </c>
      <c r="FB35" s="31">
        <v>15483238</v>
      </c>
      <c r="FC35" s="9">
        <v>9416801</v>
      </c>
      <c r="FD35" s="9">
        <v>5916801</v>
      </c>
      <c r="FE35" s="9">
        <v>5916801</v>
      </c>
      <c r="FF35" s="9">
        <v>5916801</v>
      </c>
      <c r="FG35" s="9">
        <v>5916801</v>
      </c>
      <c r="FH35" s="9">
        <v>9175869</v>
      </c>
      <c r="FI35" s="9">
        <v>9175869</v>
      </c>
      <c r="FJ35" s="9">
        <v>9175869</v>
      </c>
      <c r="FK35" s="9">
        <v>9175869</v>
      </c>
      <c r="FL35" s="9">
        <v>9175869</v>
      </c>
      <c r="FM35" s="9">
        <v>9175869</v>
      </c>
      <c r="FN35" s="9">
        <v>9175869</v>
      </c>
      <c r="FO35" s="31">
        <v>9175869</v>
      </c>
    </row>
    <row r="36" spans="2:171" x14ac:dyDescent="0.3">
      <c r="B36" s="7" t="s">
        <v>52</v>
      </c>
      <c r="C36" s="9">
        <v>16064354</v>
      </c>
      <c r="D36" s="9">
        <v>16064354</v>
      </c>
      <c r="E36" s="9">
        <v>16064354</v>
      </c>
      <c r="F36" s="9">
        <v>16064354</v>
      </c>
      <c r="G36" s="9">
        <v>14464354</v>
      </c>
      <c r="H36" s="9">
        <v>14438110</v>
      </c>
      <c r="I36" s="9">
        <v>14199670</v>
      </c>
      <c r="J36" s="9">
        <v>13832426</v>
      </c>
      <c r="K36" s="9">
        <v>14068983</v>
      </c>
      <c r="L36" s="9">
        <v>14068983</v>
      </c>
      <c r="M36" s="9">
        <v>14068983</v>
      </c>
      <c r="N36" s="9">
        <v>15762470</v>
      </c>
      <c r="O36" s="31">
        <v>15762470</v>
      </c>
      <c r="P36" s="9">
        <v>19283793</v>
      </c>
      <c r="Q36" s="9">
        <v>19861023</v>
      </c>
      <c r="R36" s="9">
        <v>19863023</v>
      </c>
      <c r="S36" s="9">
        <v>19930814</v>
      </c>
      <c r="T36" s="9">
        <v>21712910</v>
      </c>
      <c r="U36" s="9">
        <v>21712910</v>
      </c>
      <c r="V36" s="9">
        <v>21836318</v>
      </c>
      <c r="W36" s="9">
        <v>16295088</v>
      </c>
      <c r="X36" s="9">
        <v>16277488</v>
      </c>
      <c r="Y36" s="9">
        <v>16228128</v>
      </c>
      <c r="Z36" s="9">
        <v>16228128</v>
      </c>
      <c r="AA36" s="9">
        <v>13034803</v>
      </c>
      <c r="AB36" s="31">
        <v>13034803</v>
      </c>
      <c r="AC36" s="9">
        <v>18570059</v>
      </c>
      <c r="AD36" s="9">
        <v>18623459</v>
      </c>
      <c r="AE36" s="9">
        <v>18623459</v>
      </c>
      <c r="AF36" s="9">
        <v>18700786</v>
      </c>
      <c r="AG36" s="9">
        <v>18988098</v>
      </c>
      <c r="AH36" s="9">
        <v>18988098</v>
      </c>
      <c r="AI36" s="9">
        <v>19620339</v>
      </c>
      <c r="AJ36" s="9">
        <v>19149477</v>
      </c>
      <c r="AK36" s="9">
        <v>19149477</v>
      </c>
      <c r="AL36" s="9">
        <v>19158377</v>
      </c>
      <c r="AM36" s="9">
        <v>18658871</v>
      </c>
      <c r="AN36" s="9">
        <v>18073209</v>
      </c>
      <c r="AO36" s="31">
        <v>18073209</v>
      </c>
      <c r="AP36" s="9">
        <v>27391856</v>
      </c>
      <c r="AQ36" s="9">
        <v>27433256</v>
      </c>
      <c r="AR36" s="9">
        <v>27433256</v>
      </c>
      <c r="AS36" s="9">
        <v>26321074</v>
      </c>
      <c r="AT36" s="9">
        <v>22321074</v>
      </c>
      <c r="AU36" s="9">
        <v>20513352</v>
      </c>
      <c r="AV36" s="9">
        <v>21017110</v>
      </c>
      <c r="AW36" s="9">
        <v>21017110</v>
      </c>
      <c r="AX36" s="9">
        <v>21113163</v>
      </c>
      <c r="AY36" s="9">
        <v>21230101</v>
      </c>
      <c r="AZ36" s="9">
        <v>20389893</v>
      </c>
      <c r="BA36" s="9">
        <v>20127284</v>
      </c>
      <c r="BB36" s="31">
        <v>20127284</v>
      </c>
      <c r="BC36" s="9">
        <v>16967208</v>
      </c>
      <c r="BD36" s="9">
        <v>17005608</v>
      </c>
      <c r="BE36" s="9">
        <v>17005608</v>
      </c>
      <c r="BF36" s="9">
        <v>17005608</v>
      </c>
      <c r="BG36" s="9">
        <v>17005608</v>
      </c>
      <c r="BH36" s="9">
        <v>20812835</v>
      </c>
      <c r="BI36" s="9">
        <v>20864674</v>
      </c>
      <c r="BJ36" s="9">
        <v>20948585</v>
      </c>
      <c r="BK36" s="9">
        <v>20948585</v>
      </c>
      <c r="BL36" s="9">
        <v>20927435</v>
      </c>
      <c r="BM36" s="9">
        <v>20927435</v>
      </c>
      <c r="BN36" s="9">
        <v>16701870</v>
      </c>
      <c r="BO36" s="31">
        <v>16701870</v>
      </c>
      <c r="BP36" s="9">
        <v>14997280</v>
      </c>
      <c r="BQ36" s="9">
        <v>14997280</v>
      </c>
      <c r="BR36" s="9">
        <v>15034080</v>
      </c>
      <c r="BS36" s="9">
        <v>15034080</v>
      </c>
      <c r="BT36" s="9">
        <v>15034080</v>
      </c>
      <c r="BU36" s="9">
        <v>15034080</v>
      </c>
      <c r="BV36" s="9">
        <v>14052695</v>
      </c>
      <c r="BW36" s="9">
        <v>14059646</v>
      </c>
      <c r="BX36" s="9">
        <v>14106446</v>
      </c>
      <c r="BY36" s="9">
        <v>14106446</v>
      </c>
      <c r="BZ36" s="9">
        <v>14106446</v>
      </c>
      <c r="CA36" s="9">
        <v>11002790</v>
      </c>
      <c r="CB36" s="31">
        <v>11002790</v>
      </c>
      <c r="CC36" s="9">
        <v>15408322</v>
      </c>
      <c r="CD36" s="9">
        <v>15408322</v>
      </c>
      <c r="CE36" s="9">
        <v>15408322</v>
      </c>
      <c r="CF36" s="9">
        <v>14908322</v>
      </c>
      <c r="CG36" s="9">
        <v>14908322</v>
      </c>
      <c r="CH36" s="9">
        <v>14908322</v>
      </c>
      <c r="CI36" s="9">
        <v>15293629</v>
      </c>
      <c r="CJ36" s="9">
        <v>15293629</v>
      </c>
      <c r="CK36" s="9">
        <v>15385629</v>
      </c>
      <c r="CL36" s="9">
        <v>15390229</v>
      </c>
      <c r="CM36" s="9">
        <v>15390229</v>
      </c>
      <c r="CN36" s="9">
        <v>11446802</v>
      </c>
      <c r="CO36" s="31">
        <v>11446802</v>
      </c>
      <c r="CP36" s="9">
        <v>22488189</v>
      </c>
      <c r="CQ36" s="9">
        <v>20626973</v>
      </c>
      <c r="CR36" s="9">
        <v>18390489</v>
      </c>
      <c r="CS36" s="9">
        <v>18727330</v>
      </c>
      <c r="CT36" s="9">
        <v>19034787</v>
      </c>
      <c r="CU36" s="9">
        <v>19143744</v>
      </c>
      <c r="CV36" s="9">
        <v>19143744</v>
      </c>
      <c r="CW36" s="9">
        <v>19143744</v>
      </c>
      <c r="CX36" s="9">
        <v>19561023</v>
      </c>
      <c r="CY36" s="9">
        <v>19561023</v>
      </c>
      <c r="CZ36" s="9">
        <v>19550402</v>
      </c>
      <c r="DA36" s="9">
        <v>12602298</v>
      </c>
      <c r="DB36" s="31">
        <v>12602298</v>
      </c>
      <c r="DC36" s="9">
        <v>29291800</v>
      </c>
      <c r="DD36" s="9">
        <v>34195489</v>
      </c>
      <c r="DE36" s="9">
        <v>34195489</v>
      </c>
      <c r="DF36" s="9">
        <v>34195489</v>
      </c>
      <c r="DG36" s="9">
        <v>34245489</v>
      </c>
      <c r="DH36" s="9">
        <v>34245489</v>
      </c>
      <c r="DI36" s="9">
        <v>34245489</v>
      </c>
      <c r="DJ36" s="9">
        <v>34245489</v>
      </c>
      <c r="DK36" s="9">
        <v>34062778</v>
      </c>
      <c r="DL36" s="9">
        <v>33922765</v>
      </c>
      <c r="DM36" s="9">
        <v>25336066</v>
      </c>
      <c r="DN36" s="9">
        <v>12697850</v>
      </c>
      <c r="DO36" s="31">
        <v>12697850</v>
      </c>
      <c r="DP36" s="9">
        <v>36352142</v>
      </c>
      <c r="DQ36" s="9">
        <v>36370290</v>
      </c>
      <c r="DR36" s="9">
        <v>36370290</v>
      </c>
      <c r="DS36" s="9">
        <v>36370290</v>
      </c>
      <c r="DT36" s="9">
        <v>36370290</v>
      </c>
      <c r="DU36" s="9">
        <v>36361716</v>
      </c>
      <c r="DV36" s="9">
        <v>36391716</v>
      </c>
      <c r="DW36" s="9">
        <v>36391716</v>
      </c>
      <c r="DX36" s="9">
        <v>36391716</v>
      </c>
      <c r="DY36" s="9">
        <v>36391716</v>
      </c>
      <c r="DZ36" s="9">
        <v>35187465</v>
      </c>
      <c r="EA36" s="9">
        <v>21098315</v>
      </c>
      <c r="EB36" s="31">
        <v>21098315</v>
      </c>
      <c r="EC36" s="9">
        <v>38254690</v>
      </c>
      <c r="ED36" s="9">
        <v>38254690</v>
      </c>
      <c r="EE36" s="9">
        <v>38299930</v>
      </c>
      <c r="EF36" s="9">
        <v>38299930</v>
      </c>
      <c r="EG36" s="9">
        <v>37058319</v>
      </c>
      <c r="EH36" s="9">
        <v>31127009</v>
      </c>
      <c r="EI36" s="9">
        <v>31127009</v>
      </c>
      <c r="EJ36" s="9">
        <v>31127009</v>
      </c>
      <c r="EK36" s="9">
        <v>30852784</v>
      </c>
      <c r="EL36" s="9">
        <v>31053963</v>
      </c>
      <c r="EM36" s="9">
        <v>27696869</v>
      </c>
      <c r="EN36" s="9">
        <v>18466482</v>
      </c>
      <c r="EO36" s="31">
        <v>18466482</v>
      </c>
      <c r="EP36" s="9">
        <v>27966487</v>
      </c>
      <c r="EQ36" s="9">
        <v>27966487</v>
      </c>
      <c r="ER36" s="9">
        <v>27966487</v>
      </c>
      <c r="ES36" s="9">
        <v>27966487</v>
      </c>
      <c r="ET36" s="9">
        <v>27966487</v>
      </c>
      <c r="EU36" s="9">
        <v>27958887</v>
      </c>
      <c r="EV36" s="9">
        <v>27958887</v>
      </c>
      <c r="EW36" s="9">
        <v>27958887</v>
      </c>
      <c r="EX36" s="9">
        <v>27958887</v>
      </c>
      <c r="EY36" s="9">
        <v>24576889</v>
      </c>
      <c r="EZ36" s="9">
        <v>24265859</v>
      </c>
      <c r="FA36" s="9">
        <v>18613719</v>
      </c>
      <c r="FB36" s="31">
        <v>18613719</v>
      </c>
      <c r="FC36" s="9">
        <v>30615904</v>
      </c>
      <c r="FD36" s="9">
        <v>26615904</v>
      </c>
      <c r="FE36" s="9">
        <v>26615904</v>
      </c>
      <c r="FF36" s="9">
        <v>26615904</v>
      </c>
      <c r="FG36" s="9">
        <v>26615904</v>
      </c>
      <c r="FH36" s="9">
        <v>24556836</v>
      </c>
      <c r="FI36" s="9">
        <v>24556836</v>
      </c>
      <c r="FJ36" s="9">
        <v>24556836</v>
      </c>
      <c r="FK36" s="9">
        <v>24556836</v>
      </c>
      <c r="FL36" s="9">
        <v>24556836</v>
      </c>
      <c r="FM36" s="9">
        <v>24556836</v>
      </c>
      <c r="FN36" s="9">
        <v>24556836</v>
      </c>
      <c r="FO36" s="31">
        <v>24556836</v>
      </c>
    </row>
    <row r="37" spans="2:171" x14ac:dyDescent="0.3">
      <c r="B37" s="7" t="s">
        <v>53</v>
      </c>
      <c r="C37" s="9">
        <v>18833256</v>
      </c>
      <c r="D37" s="9">
        <v>18833256</v>
      </c>
      <c r="E37" s="9">
        <v>23731558</v>
      </c>
      <c r="F37" s="9">
        <v>23731558</v>
      </c>
      <c r="G37" s="9">
        <v>25990242</v>
      </c>
      <c r="H37" s="9">
        <v>26046751</v>
      </c>
      <c r="I37" s="9">
        <v>26046751</v>
      </c>
      <c r="J37" s="9">
        <v>27425407</v>
      </c>
      <c r="K37" s="9">
        <v>27959179</v>
      </c>
      <c r="L37" s="9">
        <v>29929355</v>
      </c>
      <c r="M37" s="9">
        <v>29929355</v>
      </c>
      <c r="N37" s="9">
        <v>26931572</v>
      </c>
      <c r="O37" s="31">
        <v>26931572</v>
      </c>
      <c r="P37" s="9">
        <v>34473321</v>
      </c>
      <c r="Q37" s="9">
        <v>38317295</v>
      </c>
      <c r="R37" s="9">
        <v>38317295</v>
      </c>
      <c r="S37" s="9">
        <v>38317295</v>
      </c>
      <c r="T37" s="9">
        <v>38317295</v>
      </c>
      <c r="U37" s="9">
        <v>38495890</v>
      </c>
      <c r="V37" s="9">
        <v>38495890</v>
      </c>
      <c r="W37" s="9">
        <v>38495890</v>
      </c>
      <c r="X37" s="9">
        <v>38495890</v>
      </c>
      <c r="Y37" s="9">
        <v>37978006</v>
      </c>
      <c r="Z37" s="9">
        <v>38164607</v>
      </c>
      <c r="AA37" s="9">
        <v>35142226</v>
      </c>
      <c r="AB37" s="31">
        <v>35142226</v>
      </c>
      <c r="AC37" s="9">
        <v>32958542</v>
      </c>
      <c r="AD37" s="9">
        <v>37919651</v>
      </c>
      <c r="AE37" s="9">
        <v>37919651</v>
      </c>
      <c r="AF37" s="9">
        <v>37919651</v>
      </c>
      <c r="AG37" s="9">
        <v>38074183</v>
      </c>
      <c r="AH37" s="9">
        <v>38074183</v>
      </c>
      <c r="AI37" s="9">
        <v>34426571</v>
      </c>
      <c r="AJ37" s="9">
        <v>34544571</v>
      </c>
      <c r="AK37" s="9">
        <v>34544571</v>
      </c>
      <c r="AL37" s="9">
        <v>31386419</v>
      </c>
      <c r="AM37" s="9">
        <v>31411870</v>
      </c>
      <c r="AN37" s="9">
        <v>30142222</v>
      </c>
      <c r="AO37" s="31">
        <v>30142222</v>
      </c>
      <c r="AP37" s="9">
        <v>41283218</v>
      </c>
      <c r="AQ37" s="9">
        <v>46964338</v>
      </c>
      <c r="AR37" s="9">
        <v>46589212</v>
      </c>
      <c r="AS37" s="9">
        <v>46589212</v>
      </c>
      <c r="AT37" s="9">
        <v>44014691</v>
      </c>
      <c r="AU37" s="9">
        <v>44463135</v>
      </c>
      <c r="AV37" s="9">
        <v>45427885</v>
      </c>
      <c r="AW37" s="9">
        <v>44378695</v>
      </c>
      <c r="AX37" s="9">
        <v>44387659</v>
      </c>
      <c r="AY37" s="9">
        <v>44297659</v>
      </c>
      <c r="AZ37" s="9">
        <v>41556873</v>
      </c>
      <c r="BA37" s="9">
        <v>38915790</v>
      </c>
      <c r="BB37" s="31">
        <v>38915790</v>
      </c>
      <c r="BC37" s="9">
        <v>30569054</v>
      </c>
      <c r="BD37" s="9">
        <v>33820152</v>
      </c>
      <c r="BE37" s="9">
        <v>33820152</v>
      </c>
      <c r="BF37" s="9">
        <v>33820152</v>
      </c>
      <c r="BG37" s="9">
        <v>33820152</v>
      </c>
      <c r="BH37" s="9">
        <v>33820152</v>
      </c>
      <c r="BI37" s="9">
        <v>33758144</v>
      </c>
      <c r="BJ37" s="9">
        <v>33477644</v>
      </c>
      <c r="BK37" s="9">
        <v>33130707</v>
      </c>
      <c r="BL37" s="9">
        <v>31630707</v>
      </c>
      <c r="BM37" s="9">
        <v>31606728</v>
      </c>
      <c r="BN37" s="9">
        <v>27912775</v>
      </c>
      <c r="BO37" s="31">
        <v>27912775</v>
      </c>
      <c r="BP37" s="9">
        <v>28738435</v>
      </c>
      <c r="BQ37" s="9">
        <v>28738435</v>
      </c>
      <c r="BR37" s="9">
        <v>32660016</v>
      </c>
      <c r="BS37" s="9">
        <v>32660016</v>
      </c>
      <c r="BT37" s="9">
        <v>32660016</v>
      </c>
      <c r="BU37" s="9">
        <v>32660016</v>
      </c>
      <c r="BV37" s="9">
        <v>32278214</v>
      </c>
      <c r="BW37" s="9">
        <v>32282208</v>
      </c>
      <c r="BX37" s="9">
        <v>32453284</v>
      </c>
      <c r="BY37" s="9">
        <v>32453284</v>
      </c>
      <c r="BZ37" s="9">
        <v>32453284</v>
      </c>
      <c r="CA37" s="9">
        <v>32820875</v>
      </c>
      <c r="CB37" s="31">
        <v>32820875</v>
      </c>
      <c r="CC37" s="9">
        <v>33362165</v>
      </c>
      <c r="CD37" s="9">
        <v>33362165</v>
      </c>
      <c r="CE37" s="9">
        <v>33362165</v>
      </c>
      <c r="CF37" s="9">
        <v>34938757</v>
      </c>
      <c r="CG37" s="9">
        <v>34938757</v>
      </c>
      <c r="CH37" s="9">
        <v>35708483</v>
      </c>
      <c r="CI37" s="9">
        <v>35948235</v>
      </c>
      <c r="CJ37" s="9">
        <v>35948235</v>
      </c>
      <c r="CK37" s="9">
        <v>35948235</v>
      </c>
      <c r="CL37" s="9">
        <v>37738172</v>
      </c>
      <c r="CM37" s="9">
        <v>35365279</v>
      </c>
      <c r="CN37" s="9">
        <v>34255045</v>
      </c>
      <c r="CO37" s="31">
        <v>34255045</v>
      </c>
      <c r="CP37" s="9">
        <v>62699377</v>
      </c>
      <c r="CQ37" s="9">
        <v>59024248</v>
      </c>
      <c r="CR37" s="9">
        <v>60396733</v>
      </c>
      <c r="CS37" s="9">
        <v>61299623</v>
      </c>
      <c r="CT37" s="9">
        <v>61366769</v>
      </c>
      <c r="CU37" s="9">
        <v>63349580</v>
      </c>
      <c r="CV37" s="9">
        <v>63349580</v>
      </c>
      <c r="CW37" s="9">
        <v>63259012</v>
      </c>
      <c r="CX37" s="9">
        <v>62320472</v>
      </c>
      <c r="CY37" s="9">
        <v>55598596</v>
      </c>
      <c r="CZ37" s="9">
        <v>55550496</v>
      </c>
      <c r="DA37" s="9">
        <v>41461609</v>
      </c>
      <c r="DB37" s="31">
        <v>41461609</v>
      </c>
      <c r="DC37" s="9">
        <v>43170852</v>
      </c>
      <c r="DD37" s="9">
        <v>52549754</v>
      </c>
      <c r="DE37" s="9">
        <v>52549754</v>
      </c>
      <c r="DF37" s="9">
        <v>52549754</v>
      </c>
      <c r="DG37" s="9">
        <v>52549754</v>
      </c>
      <c r="DH37" s="9">
        <v>52549754</v>
      </c>
      <c r="DI37" s="9">
        <v>52549754</v>
      </c>
      <c r="DJ37" s="9">
        <v>51105545</v>
      </c>
      <c r="DK37" s="9">
        <v>38395230</v>
      </c>
      <c r="DL37" s="9">
        <v>38337494</v>
      </c>
      <c r="DM37" s="9">
        <v>36725387</v>
      </c>
      <c r="DN37" s="9">
        <v>35464491</v>
      </c>
      <c r="DO37" s="31">
        <v>35464491</v>
      </c>
      <c r="DP37" s="9">
        <v>40478579</v>
      </c>
      <c r="DQ37" s="9">
        <v>42614131</v>
      </c>
      <c r="DR37" s="9">
        <v>42614131</v>
      </c>
      <c r="DS37" s="9">
        <v>42858620</v>
      </c>
      <c r="DT37" s="9">
        <v>42976422</v>
      </c>
      <c r="DU37" s="9">
        <v>43076422</v>
      </c>
      <c r="DV37" s="9">
        <v>43076422</v>
      </c>
      <c r="DW37" s="9">
        <v>44994598</v>
      </c>
      <c r="DX37" s="9">
        <v>44994598</v>
      </c>
      <c r="DY37" s="9">
        <v>44994598</v>
      </c>
      <c r="DZ37" s="9">
        <v>46728628</v>
      </c>
      <c r="EA37" s="9">
        <v>45394938</v>
      </c>
      <c r="EB37" s="31">
        <v>45394938</v>
      </c>
      <c r="EC37" s="9">
        <v>44262543</v>
      </c>
      <c r="ED37" s="9">
        <v>44262543</v>
      </c>
      <c r="EE37" s="9">
        <v>48159048</v>
      </c>
      <c r="EF37" s="9">
        <v>48159048</v>
      </c>
      <c r="EG37" s="9">
        <v>48260848</v>
      </c>
      <c r="EH37" s="9">
        <v>48260848</v>
      </c>
      <c r="EI37" s="9">
        <v>48260848</v>
      </c>
      <c r="EJ37" s="9">
        <v>52963275</v>
      </c>
      <c r="EK37" s="9">
        <v>54672379</v>
      </c>
      <c r="EL37" s="9">
        <v>54187315</v>
      </c>
      <c r="EM37" s="9">
        <v>52019214</v>
      </c>
      <c r="EN37" s="9">
        <v>37750186</v>
      </c>
      <c r="EO37" s="31">
        <v>37750186</v>
      </c>
      <c r="EP37" s="9">
        <v>42009797</v>
      </c>
      <c r="EQ37" s="9">
        <v>52978932</v>
      </c>
      <c r="ER37" s="9">
        <v>54382452</v>
      </c>
      <c r="ES37" s="9">
        <v>56213503</v>
      </c>
      <c r="ET37" s="9">
        <v>56213503</v>
      </c>
      <c r="EU37" s="9">
        <v>56953012</v>
      </c>
      <c r="EV37" s="9">
        <v>56953012</v>
      </c>
      <c r="EW37" s="9">
        <v>56953012</v>
      </c>
      <c r="EX37" s="9">
        <v>56953012</v>
      </c>
      <c r="EY37" s="9">
        <v>57115499</v>
      </c>
      <c r="EZ37" s="9">
        <v>57115499</v>
      </c>
      <c r="FA37" s="9">
        <v>58076198</v>
      </c>
      <c r="FB37" s="31">
        <v>58076198</v>
      </c>
      <c r="FC37" s="9">
        <v>55214851</v>
      </c>
      <c r="FD37" s="9">
        <v>55906268</v>
      </c>
      <c r="FE37" s="9">
        <v>56878200</v>
      </c>
      <c r="FF37" s="9">
        <v>56878200</v>
      </c>
      <c r="FG37" s="9">
        <v>59441918</v>
      </c>
      <c r="FH37" s="9">
        <v>59526130</v>
      </c>
      <c r="FI37" s="9">
        <v>59526130</v>
      </c>
      <c r="FJ37" s="9">
        <v>59526130</v>
      </c>
      <c r="FK37" s="9">
        <v>59526130</v>
      </c>
      <c r="FL37" s="9">
        <v>59526130</v>
      </c>
      <c r="FM37" s="9">
        <v>59526130</v>
      </c>
      <c r="FN37" s="9">
        <v>59526130</v>
      </c>
      <c r="FO37" s="31">
        <v>59526130</v>
      </c>
    </row>
    <row r="38" spans="2:171" x14ac:dyDescent="0.3">
      <c r="B38" s="7" t="s">
        <v>54</v>
      </c>
      <c r="C38" s="9">
        <v>58929368</v>
      </c>
      <c r="D38" s="9">
        <v>58929368</v>
      </c>
      <c r="E38" s="9">
        <v>61299428</v>
      </c>
      <c r="F38" s="9">
        <v>61299428</v>
      </c>
      <c r="G38" s="9">
        <v>61035428</v>
      </c>
      <c r="H38" s="9">
        <v>68835428</v>
      </c>
      <c r="I38" s="9">
        <v>68835428</v>
      </c>
      <c r="J38" s="9">
        <v>68835428</v>
      </c>
      <c r="K38" s="9">
        <v>66996084</v>
      </c>
      <c r="L38" s="9">
        <v>66996084</v>
      </c>
      <c r="M38" s="9">
        <v>64608849</v>
      </c>
      <c r="N38" s="9">
        <v>58609167</v>
      </c>
      <c r="O38" s="31">
        <v>58609167</v>
      </c>
      <c r="P38" s="9">
        <v>63938761</v>
      </c>
      <c r="Q38" s="9">
        <v>66340139</v>
      </c>
      <c r="R38" s="9">
        <v>66340139</v>
      </c>
      <c r="S38" s="9">
        <v>66340139</v>
      </c>
      <c r="T38" s="9">
        <v>69049481</v>
      </c>
      <c r="U38" s="9">
        <v>69091853</v>
      </c>
      <c r="V38" s="9">
        <v>69091853</v>
      </c>
      <c r="W38" s="9">
        <v>69100103</v>
      </c>
      <c r="X38" s="9">
        <v>69375103</v>
      </c>
      <c r="Y38" s="9">
        <v>75090311</v>
      </c>
      <c r="Z38" s="9">
        <v>78353961</v>
      </c>
      <c r="AA38" s="9">
        <v>78751322</v>
      </c>
      <c r="AB38" s="31">
        <v>78751322</v>
      </c>
      <c r="AC38" s="9">
        <v>60602895</v>
      </c>
      <c r="AD38" s="9">
        <v>63153473</v>
      </c>
      <c r="AE38" s="9">
        <v>63153473</v>
      </c>
      <c r="AF38" s="9">
        <v>63153473</v>
      </c>
      <c r="AG38" s="9">
        <v>64307218</v>
      </c>
      <c r="AH38" s="9">
        <v>64307218</v>
      </c>
      <c r="AI38" s="9">
        <v>64178967</v>
      </c>
      <c r="AJ38" s="9">
        <v>64060967</v>
      </c>
      <c r="AK38" s="9">
        <v>64060967</v>
      </c>
      <c r="AL38" s="9">
        <v>63775967</v>
      </c>
      <c r="AM38" s="9">
        <v>63749839</v>
      </c>
      <c r="AN38" s="9">
        <v>62651641</v>
      </c>
      <c r="AO38" s="31">
        <v>62651641</v>
      </c>
      <c r="AP38" s="9">
        <v>56615435</v>
      </c>
      <c r="AQ38" s="9">
        <v>62385158</v>
      </c>
      <c r="AR38" s="9">
        <v>62385158</v>
      </c>
      <c r="AS38" s="9">
        <v>62385158</v>
      </c>
      <c r="AT38" s="9">
        <v>67437677</v>
      </c>
      <c r="AU38" s="9">
        <v>68574813</v>
      </c>
      <c r="AV38" s="9">
        <v>68574813</v>
      </c>
      <c r="AW38" s="9">
        <v>68596763</v>
      </c>
      <c r="AX38" s="9">
        <v>69045256</v>
      </c>
      <c r="AY38" s="9">
        <v>68724707</v>
      </c>
      <c r="AZ38" s="9">
        <v>68359363</v>
      </c>
      <c r="BA38" s="9">
        <v>66642401</v>
      </c>
      <c r="BB38" s="31">
        <v>66642401</v>
      </c>
      <c r="BC38" s="9">
        <v>45393646</v>
      </c>
      <c r="BD38" s="9">
        <v>48998646</v>
      </c>
      <c r="BE38" s="9">
        <v>48998646</v>
      </c>
      <c r="BF38" s="9">
        <v>51246966</v>
      </c>
      <c r="BG38" s="9">
        <v>51246966</v>
      </c>
      <c r="BH38" s="9">
        <v>55888503</v>
      </c>
      <c r="BI38" s="9">
        <v>56119392</v>
      </c>
      <c r="BJ38" s="9">
        <v>56287885</v>
      </c>
      <c r="BK38" s="9">
        <v>56578626</v>
      </c>
      <c r="BL38" s="9">
        <v>60353589</v>
      </c>
      <c r="BM38" s="9">
        <v>60242577</v>
      </c>
      <c r="BN38" s="9">
        <v>58209053</v>
      </c>
      <c r="BO38" s="31">
        <v>58209053</v>
      </c>
      <c r="BP38" s="9">
        <v>50282027</v>
      </c>
      <c r="BQ38" s="9">
        <v>50282027</v>
      </c>
      <c r="BR38" s="9">
        <v>53009671</v>
      </c>
      <c r="BS38" s="9">
        <v>53009671</v>
      </c>
      <c r="BT38" s="9">
        <v>53009671</v>
      </c>
      <c r="BU38" s="9">
        <v>57977327</v>
      </c>
      <c r="BV38" s="9">
        <v>58340687</v>
      </c>
      <c r="BW38" s="9">
        <v>58388581</v>
      </c>
      <c r="BX38" s="9">
        <v>58458181</v>
      </c>
      <c r="BY38" s="9">
        <v>58458181</v>
      </c>
      <c r="BZ38" s="9">
        <v>58084101</v>
      </c>
      <c r="CA38" s="9">
        <v>51683997</v>
      </c>
      <c r="CB38" s="31">
        <v>51683997</v>
      </c>
      <c r="CC38" s="9">
        <v>68935312</v>
      </c>
      <c r="CD38" s="9">
        <v>68935312</v>
      </c>
      <c r="CE38" s="9">
        <v>68935312</v>
      </c>
      <c r="CF38" s="9">
        <v>75620186</v>
      </c>
      <c r="CG38" s="9">
        <v>75620186</v>
      </c>
      <c r="CH38" s="9">
        <v>75844049</v>
      </c>
      <c r="CI38" s="9">
        <v>80679015</v>
      </c>
      <c r="CJ38" s="9">
        <v>80679015</v>
      </c>
      <c r="CK38" s="9">
        <v>80774930</v>
      </c>
      <c r="CL38" s="9">
        <v>79030699</v>
      </c>
      <c r="CM38" s="9">
        <v>77186172</v>
      </c>
      <c r="CN38" s="9">
        <v>64493832</v>
      </c>
      <c r="CO38" s="31">
        <v>64493832</v>
      </c>
      <c r="CP38" s="9">
        <v>121451476</v>
      </c>
      <c r="CQ38" s="9">
        <v>129722304</v>
      </c>
      <c r="CR38" s="9">
        <v>126707424</v>
      </c>
      <c r="CS38" s="9">
        <v>126938685</v>
      </c>
      <c r="CT38" s="9">
        <v>132323787</v>
      </c>
      <c r="CU38" s="9">
        <v>128389149</v>
      </c>
      <c r="CV38" s="9">
        <v>125484432</v>
      </c>
      <c r="CW38" s="9">
        <v>125153718</v>
      </c>
      <c r="CX38" s="9">
        <v>123524150</v>
      </c>
      <c r="CY38" s="9">
        <v>122714026</v>
      </c>
      <c r="CZ38" s="9">
        <v>109967510</v>
      </c>
      <c r="DA38" s="9">
        <v>95169709</v>
      </c>
      <c r="DB38" s="31">
        <v>95169709</v>
      </c>
      <c r="DC38" s="9">
        <v>100098472</v>
      </c>
      <c r="DD38" s="9">
        <v>121303403</v>
      </c>
      <c r="DE38" s="9">
        <v>121303403</v>
      </c>
      <c r="DF38" s="9">
        <v>120570587</v>
      </c>
      <c r="DG38" s="9">
        <v>120556703</v>
      </c>
      <c r="DH38" s="9">
        <v>119765730</v>
      </c>
      <c r="DI38" s="9">
        <v>120443102</v>
      </c>
      <c r="DJ38" s="9">
        <v>118390115</v>
      </c>
      <c r="DK38" s="9">
        <v>118390115</v>
      </c>
      <c r="DL38" s="9">
        <v>115077894</v>
      </c>
      <c r="DM38" s="9">
        <v>101166870</v>
      </c>
      <c r="DN38" s="9">
        <v>94520917</v>
      </c>
      <c r="DO38" s="31">
        <v>94520917</v>
      </c>
      <c r="DP38" s="9">
        <v>105488522</v>
      </c>
      <c r="DQ38" s="9">
        <v>108633999</v>
      </c>
      <c r="DR38" s="9">
        <v>108633999</v>
      </c>
      <c r="DS38" s="9">
        <v>108633999</v>
      </c>
      <c r="DT38" s="9">
        <v>108633999</v>
      </c>
      <c r="DU38" s="9">
        <v>108774999</v>
      </c>
      <c r="DV38" s="9">
        <v>108897149</v>
      </c>
      <c r="DW38" s="9">
        <v>108897149</v>
      </c>
      <c r="DX38" s="9">
        <v>108897149</v>
      </c>
      <c r="DY38" s="9">
        <v>108897149</v>
      </c>
      <c r="DZ38" s="9">
        <v>92376604</v>
      </c>
      <c r="EA38" s="9">
        <v>73346177</v>
      </c>
      <c r="EB38" s="31">
        <v>73346177</v>
      </c>
      <c r="EC38" s="9">
        <v>87253576</v>
      </c>
      <c r="ED38" s="9">
        <v>87253576</v>
      </c>
      <c r="EE38" s="9">
        <v>93927139</v>
      </c>
      <c r="EF38" s="9">
        <v>93927139</v>
      </c>
      <c r="EG38" s="9">
        <v>94027910</v>
      </c>
      <c r="EH38" s="9">
        <v>94051385</v>
      </c>
      <c r="EI38" s="9">
        <v>96196920</v>
      </c>
      <c r="EJ38" s="9">
        <v>101535195</v>
      </c>
      <c r="EK38" s="9">
        <v>101582093</v>
      </c>
      <c r="EL38" s="9">
        <v>101562510</v>
      </c>
      <c r="EM38" s="9">
        <v>100432485</v>
      </c>
      <c r="EN38" s="9">
        <v>86087430</v>
      </c>
      <c r="EO38" s="31">
        <v>86087430</v>
      </c>
      <c r="EP38" s="9">
        <v>74587862</v>
      </c>
      <c r="EQ38" s="9">
        <v>76570114</v>
      </c>
      <c r="ER38" s="9">
        <v>76595114</v>
      </c>
      <c r="ES38" s="9">
        <v>76595114</v>
      </c>
      <c r="ET38" s="9">
        <v>76595114</v>
      </c>
      <c r="EU38" s="9">
        <v>80153860</v>
      </c>
      <c r="EV38" s="9">
        <v>80153860</v>
      </c>
      <c r="EW38" s="9">
        <v>80153860</v>
      </c>
      <c r="EX38" s="9">
        <v>80153860</v>
      </c>
      <c r="EY38" s="9">
        <v>80236491</v>
      </c>
      <c r="EZ38" s="9">
        <v>80236491</v>
      </c>
      <c r="FA38" s="9">
        <v>81413921</v>
      </c>
      <c r="FB38" s="31">
        <v>81413921</v>
      </c>
      <c r="FC38" s="9">
        <v>90590002</v>
      </c>
      <c r="FD38" s="9">
        <v>90590002</v>
      </c>
      <c r="FE38" s="9">
        <v>90590002</v>
      </c>
      <c r="FF38" s="9">
        <v>90590002</v>
      </c>
      <c r="FG38" s="9">
        <v>92970431</v>
      </c>
      <c r="FH38" s="9">
        <v>92970431</v>
      </c>
      <c r="FI38" s="9">
        <v>93624803</v>
      </c>
      <c r="FJ38" s="9">
        <v>93624803</v>
      </c>
      <c r="FK38" s="9">
        <v>93624803</v>
      </c>
      <c r="FL38" s="9">
        <v>93624803</v>
      </c>
      <c r="FM38" s="9">
        <v>93624803</v>
      </c>
      <c r="FN38" s="9">
        <v>93624803</v>
      </c>
      <c r="FO38" s="31">
        <v>93624803</v>
      </c>
    </row>
    <row r="39" spans="2:171" x14ac:dyDescent="0.3">
      <c r="B39" s="7" t="s">
        <v>55</v>
      </c>
      <c r="C39" s="9">
        <v>26277535</v>
      </c>
      <c r="D39" s="9">
        <v>26277535</v>
      </c>
      <c r="E39" s="9">
        <v>26748312</v>
      </c>
      <c r="F39" s="9">
        <v>26748312</v>
      </c>
      <c r="G39" s="9">
        <v>26748312</v>
      </c>
      <c r="H39" s="9">
        <v>26748312</v>
      </c>
      <c r="I39" s="9">
        <v>26748312</v>
      </c>
      <c r="J39" s="9">
        <v>26726738</v>
      </c>
      <c r="K39" s="9">
        <v>26292618</v>
      </c>
      <c r="L39" s="9">
        <v>26329678</v>
      </c>
      <c r="M39" s="9">
        <v>26998781</v>
      </c>
      <c r="N39" s="9">
        <v>24040927</v>
      </c>
      <c r="O39" s="31">
        <v>24040927</v>
      </c>
      <c r="P39" s="9">
        <v>18864208</v>
      </c>
      <c r="Q39" s="9">
        <v>19338496</v>
      </c>
      <c r="R39" s="9">
        <v>19338496</v>
      </c>
      <c r="S39" s="9">
        <v>19338496</v>
      </c>
      <c r="T39" s="9">
        <v>19338496</v>
      </c>
      <c r="U39" s="9">
        <v>19524220</v>
      </c>
      <c r="V39" s="9">
        <v>19524220</v>
      </c>
      <c r="W39" s="9">
        <v>19839063</v>
      </c>
      <c r="X39" s="9">
        <v>19845063</v>
      </c>
      <c r="Y39" s="9">
        <v>19607579</v>
      </c>
      <c r="Z39" s="9">
        <v>19607579</v>
      </c>
      <c r="AA39" s="9">
        <v>17888887</v>
      </c>
      <c r="AB39" s="31">
        <v>17888887</v>
      </c>
      <c r="AC39" s="9">
        <v>16417514</v>
      </c>
      <c r="AD39" s="9">
        <v>16997144</v>
      </c>
      <c r="AE39" s="9">
        <v>16997144</v>
      </c>
      <c r="AF39" s="9">
        <v>16997144</v>
      </c>
      <c r="AG39" s="9">
        <v>17037144</v>
      </c>
      <c r="AH39" s="9">
        <v>17037144</v>
      </c>
      <c r="AI39" s="9">
        <v>16028382</v>
      </c>
      <c r="AJ39" s="9">
        <v>16028382</v>
      </c>
      <c r="AK39" s="9">
        <v>16028382</v>
      </c>
      <c r="AL39" s="9">
        <v>16175789</v>
      </c>
      <c r="AM39" s="9">
        <v>16038369</v>
      </c>
      <c r="AN39" s="9">
        <v>13977385</v>
      </c>
      <c r="AO39" s="31">
        <v>13977385</v>
      </c>
      <c r="AP39" s="9">
        <v>7822380</v>
      </c>
      <c r="AQ39" s="9">
        <v>10397259</v>
      </c>
      <c r="AR39" s="9">
        <v>11033081</v>
      </c>
      <c r="AS39" s="9">
        <v>11363963</v>
      </c>
      <c r="AT39" s="9">
        <v>12077458</v>
      </c>
      <c r="AU39" s="9">
        <v>13068971</v>
      </c>
      <c r="AV39" s="9">
        <v>12819084</v>
      </c>
      <c r="AW39" s="9">
        <v>12819084</v>
      </c>
      <c r="AX39" s="9">
        <v>13047301</v>
      </c>
      <c r="AY39" s="9">
        <v>12557081</v>
      </c>
      <c r="AZ39" s="9">
        <v>12476081</v>
      </c>
      <c r="BA39" s="9">
        <v>12055519</v>
      </c>
      <c r="BB39" s="31">
        <v>12055519</v>
      </c>
      <c r="BC39" s="9">
        <v>14195819</v>
      </c>
      <c r="BD39" s="9">
        <v>14956513</v>
      </c>
      <c r="BE39" s="9">
        <v>14956513</v>
      </c>
      <c r="BF39" s="9">
        <v>14956513</v>
      </c>
      <c r="BG39" s="9">
        <v>14956513</v>
      </c>
      <c r="BH39" s="9">
        <v>14956513</v>
      </c>
      <c r="BI39" s="9">
        <v>15542566</v>
      </c>
      <c r="BJ39" s="9">
        <v>15677746</v>
      </c>
      <c r="BK39" s="9">
        <v>15677746</v>
      </c>
      <c r="BL39" s="9">
        <v>15677746</v>
      </c>
      <c r="BM39" s="9">
        <v>15677746</v>
      </c>
      <c r="BN39" s="9">
        <v>14104034</v>
      </c>
      <c r="BO39" s="31">
        <v>14104034</v>
      </c>
      <c r="BP39" s="9">
        <v>10934837</v>
      </c>
      <c r="BQ39" s="9">
        <v>10934837</v>
      </c>
      <c r="BR39" s="9">
        <v>11287404</v>
      </c>
      <c r="BS39" s="9">
        <v>11287404</v>
      </c>
      <c r="BT39" s="9">
        <v>11287404</v>
      </c>
      <c r="BU39" s="9">
        <v>9987404</v>
      </c>
      <c r="BV39" s="9">
        <v>9197242</v>
      </c>
      <c r="BW39" s="9">
        <v>12512242</v>
      </c>
      <c r="BX39" s="9">
        <v>12589806</v>
      </c>
      <c r="BY39" s="9">
        <v>12589806</v>
      </c>
      <c r="BZ39" s="9">
        <v>12589806</v>
      </c>
      <c r="CA39" s="9">
        <v>12717694</v>
      </c>
      <c r="CB39" s="31">
        <v>12717694</v>
      </c>
      <c r="CC39" s="9">
        <v>12638831</v>
      </c>
      <c r="CD39" s="9">
        <v>12638831</v>
      </c>
      <c r="CE39" s="9">
        <v>14888831</v>
      </c>
      <c r="CF39" s="9">
        <v>15345095</v>
      </c>
      <c r="CG39" s="9">
        <v>15345095</v>
      </c>
      <c r="CH39" s="9">
        <v>15345095</v>
      </c>
      <c r="CI39" s="9">
        <v>15345095</v>
      </c>
      <c r="CJ39" s="9">
        <v>15345095</v>
      </c>
      <c r="CK39" s="9">
        <v>15345095</v>
      </c>
      <c r="CL39" s="9">
        <v>16871832</v>
      </c>
      <c r="CM39" s="9">
        <v>16871832</v>
      </c>
      <c r="CN39" s="9">
        <v>14102964</v>
      </c>
      <c r="CO39" s="31">
        <v>14102964</v>
      </c>
      <c r="CP39" s="9">
        <v>14249499</v>
      </c>
      <c r="CQ39" s="9">
        <v>10546312</v>
      </c>
      <c r="CR39" s="9">
        <v>12796312</v>
      </c>
      <c r="CS39" s="9">
        <v>15015842</v>
      </c>
      <c r="CT39" s="9">
        <v>15685395</v>
      </c>
      <c r="CU39" s="9">
        <v>15785389</v>
      </c>
      <c r="CV39" s="9">
        <v>15787719</v>
      </c>
      <c r="CW39" s="9">
        <v>15831289</v>
      </c>
      <c r="CX39" s="9">
        <v>16583631</v>
      </c>
      <c r="CY39" s="9">
        <v>16483631</v>
      </c>
      <c r="CZ39" s="9">
        <v>13839062</v>
      </c>
      <c r="DA39" s="9">
        <v>9678227</v>
      </c>
      <c r="DB39" s="31">
        <v>9678227</v>
      </c>
      <c r="DC39" s="9">
        <v>11870060</v>
      </c>
      <c r="DD39" s="9">
        <v>13917678</v>
      </c>
      <c r="DE39" s="9">
        <v>14847860</v>
      </c>
      <c r="DF39" s="9">
        <v>14847860</v>
      </c>
      <c r="DG39" s="9">
        <v>14847860</v>
      </c>
      <c r="DH39" s="9">
        <v>15300817</v>
      </c>
      <c r="DI39" s="9">
        <v>15300817</v>
      </c>
      <c r="DJ39" s="9">
        <v>16297538</v>
      </c>
      <c r="DK39" s="9">
        <v>16297538</v>
      </c>
      <c r="DL39" s="9">
        <v>16297538</v>
      </c>
      <c r="DM39" s="9">
        <v>11021810</v>
      </c>
      <c r="DN39" s="9">
        <v>7220234</v>
      </c>
      <c r="DO39" s="31">
        <v>7220234</v>
      </c>
      <c r="DP39" s="9">
        <v>16473882</v>
      </c>
      <c r="DQ39" s="9">
        <v>16473882</v>
      </c>
      <c r="DR39" s="9">
        <v>16473882</v>
      </c>
      <c r="DS39" s="9">
        <v>16473882</v>
      </c>
      <c r="DT39" s="9">
        <v>16473882</v>
      </c>
      <c r="DU39" s="9">
        <v>16649669</v>
      </c>
      <c r="DV39" s="9">
        <v>16649669</v>
      </c>
      <c r="DW39" s="9">
        <v>16649669</v>
      </c>
      <c r="DX39" s="9">
        <v>16649669</v>
      </c>
      <c r="DY39" s="9">
        <v>16649669</v>
      </c>
      <c r="DZ39" s="9">
        <v>16911235</v>
      </c>
      <c r="EA39" s="9">
        <v>9607053</v>
      </c>
      <c r="EB39" s="31">
        <v>9607053</v>
      </c>
      <c r="EC39" s="9">
        <v>16690085</v>
      </c>
      <c r="ED39" s="9">
        <v>16690085</v>
      </c>
      <c r="EE39" s="9">
        <v>16690085</v>
      </c>
      <c r="EF39" s="9">
        <v>16556501</v>
      </c>
      <c r="EG39" s="9">
        <v>14974879</v>
      </c>
      <c r="EH39" s="9">
        <v>14803771</v>
      </c>
      <c r="EI39" s="9">
        <v>12925518</v>
      </c>
      <c r="EJ39" s="9">
        <v>12925518</v>
      </c>
      <c r="EK39" s="9">
        <v>11911329</v>
      </c>
      <c r="EL39" s="9">
        <v>12498650</v>
      </c>
      <c r="EM39" s="9">
        <v>12535400</v>
      </c>
      <c r="EN39" s="9">
        <v>5515173</v>
      </c>
      <c r="EO39" s="31">
        <v>5515173</v>
      </c>
      <c r="EP39" s="9">
        <v>17865780</v>
      </c>
      <c r="EQ39" s="9">
        <v>17865780</v>
      </c>
      <c r="ER39" s="9">
        <v>17865780</v>
      </c>
      <c r="ES39" s="9">
        <v>17865780</v>
      </c>
      <c r="ET39" s="9">
        <v>17865780</v>
      </c>
      <c r="EU39" s="9">
        <v>17865780</v>
      </c>
      <c r="EV39" s="9">
        <v>17865780</v>
      </c>
      <c r="EW39" s="9">
        <v>17865780</v>
      </c>
      <c r="EX39" s="9">
        <v>17865780</v>
      </c>
      <c r="EY39" s="9">
        <v>16353696</v>
      </c>
      <c r="EZ39" s="9">
        <v>14508227</v>
      </c>
      <c r="FA39" s="9">
        <v>9555042</v>
      </c>
      <c r="FB39" s="31">
        <v>9555042</v>
      </c>
      <c r="FC39" s="9">
        <v>14196992</v>
      </c>
      <c r="FD39" s="9">
        <v>14196992</v>
      </c>
      <c r="FE39" s="9">
        <v>14196992</v>
      </c>
      <c r="FF39" s="9">
        <v>14196992</v>
      </c>
      <c r="FG39" s="9">
        <v>14196992</v>
      </c>
      <c r="FH39" s="9">
        <v>14707834</v>
      </c>
      <c r="FI39" s="9">
        <v>15769553</v>
      </c>
      <c r="FJ39" s="9">
        <v>15769553</v>
      </c>
      <c r="FK39" s="9">
        <v>15769553</v>
      </c>
      <c r="FL39" s="9">
        <v>15769553</v>
      </c>
      <c r="FM39" s="9">
        <v>15769553</v>
      </c>
      <c r="FN39" s="9">
        <v>15769553</v>
      </c>
      <c r="FO39" s="31">
        <v>15769553</v>
      </c>
    </row>
    <row r="40" spans="2:171" x14ac:dyDescent="0.3">
      <c r="B40" s="7" t="s">
        <v>56</v>
      </c>
      <c r="C40" s="9">
        <v>18959297</v>
      </c>
      <c r="D40" s="9">
        <v>18959297</v>
      </c>
      <c r="E40" s="9">
        <v>19317682</v>
      </c>
      <c r="F40" s="9">
        <v>19317682</v>
      </c>
      <c r="G40" s="9">
        <v>19317682</v>
      </c>
      <c r="H40" s="9">
        <v>19317682</v>
      </c>
      <c r="I40" s="9">
        <v>19317682</v>
      </c>
      <c r="J40" s="9">
        <v>17427743</v>
      </c>
      <c r="K40" s="9">
        <v>14211891</v>
      </c>
      <c r="L40" s="9">
        <v>14221791</v>
      </c>
      <c r="M40" s="9">
        <v>11511175</v>
      </c>
      <c r="N40" s="9">
        <v>11912008</v>
      </c>
      <c r="O40" s="31">
        <v>11912008</v>
      </c>
      <c r="P40" s="9">
        <v>28078883</v>
      </c>
      <c r="Q40" s="9">
        <v>27662312</v>
      </c>
      <c r="R40" s="9">
        <v>24925916</v>
      </c>
      <c r="S40" s="9">
        <v>23490672</v>
      </c>
      <c r="T40" s="9">
        <v>23490672</v>
      </c>
      <c r="U40" s="9">
        <v>23701391</v>
      </c>
      <c r="V40" s="9">
        <v>24524439</v>
      </c>
      <c r="W40" s="9">
        <v>24586738</v>
      </c>
      <c r="X40" s="9">
        <v>24586738</v>
      </c>
      <c r="Y40" s="9">
        <v>24586738</v>
      </c>
      <c r="Z40" s="9">
        <v>24583209</v>
      </c>
      <c r="AA40" s="9">
        <v>22379587</v>
      </c>
      <c r="AB40" s="31">
        <v>22379587</v>
      </c>
      <c r="AC40" s="9">
        <v>27091258</v>
      </c>
      <c r="AD40" s="9">
        <v>27371836</v>
      </c>
      <c r="AE40" s="9">
        <v>27371836</v>
      </c>
      <c r="AF40" s="9">
        <v>27371836</v>
      </c>
      <c r="AG40" s="9">
        <v>24871836</v>
      </c>
      <c r="AH40" s="9">
        <v>24871836</v>
      </c>
      <c r="AI40" s="9">
        <v>25203264</v>
      </c>
      <c r="AJ40" s="9">
        <v>25203264</v>
      </c>
      <c r="AK40" s="9">
        <v>25203264</v>
      </c>
      <c r="AL40" s="9">
        <v>25363764</v>
      </c>
      <c r="AM40" s="9">
        <v>25363764</v>
      </c>
      <c r="AN40" s="9">
        <v>25497404</v>
      </c>
      <c r="AO40" s="31">
        <v>25497404</v>
      </c>
      <c r="AP40" s="9">
        <v>41060039</v>
      </c>
      <c r="AQ40" s="9">
        <v>41469511</v>
      </c>
      <c r="AR40" s="9">
        <v>41469511</v>
      </c>
      <c r="AS40" s="9">
        <v>41469511</v>
      </c>
      <c r="AT40" s="9">
        <v>36763321</v>
      </c>
      <c r="AU40" s="9">
        <v>38373607</v>
      </c>
      <c r="AV40" s="9">
        <v>37223431</v>
      </c>
      <c r="AW40" s="9">
        <v>33725901</v>
      </c>
      <c r="AX40" s="9">
        <v>33390089</v>
      </c>
      <c r="AY40" s="9">
        <v>32241794</v>
      </c>
      <c r="AZ40" s="9">
        <v>32210326</v>
      </c>
      <c r="BA40" s="9">
        <v>26016012</v>
      </c>
      <c r="BB40" s="31">
        <v>26016012</v>
      </c>
      <c r="BC40" s="9">
        <v>44459639</v>
      </c>
      <c r="BD40" s="9">
        <v>44483207</v>
      </c>
      <c r="BE40" s="9">
        <v>44483207</v>
      </c>
      <c r="BF40" s="9">
        <v>44483207</v>
      </c>
      <c r="BG40" s="9">
        <v>44483207</v>
      </c>
      <c r="BH40" s="9">
        <v>44483207</v>
      </c>
      <c r="BI40" s="9">
        <v>44459639</v>
      </c>
      <c r="BJ40" s="9">
        <v>44459639</v>
      </c>
      <c r="BK40" s="9">
        <v>44459639</v>
      </c>
      <c r="BL40" s="9">
        <v>41459639</v>
      </c>
      <c r="BM40" s="9">
        <v>41459639</v>
      </c>
      <c r="BN40" s="9">
        <v>29944592</v>
      </c>
      <c r="BO40" s="31">
        <v>29944592</v>
      </c>
      <c r="BP40" s="9">
        <v>36664986</v>
      </c>
      <c r="BQ40" s="9">
        <v>35704546</v>
      </c>
      <c r="BR40" s="9">
        <v>35704546</v>
      </c>
      <c r="BS40" s="9">
        <v>35704546</v>
      </c>
      <c r="BT40" s="9">
        <v>35704546</v>
      </c>
      <c r="BU40" s="9">
        <v>34871320</v>
      </c>
      <c r="BV40" s="9">
        <v>33717390</v>
      </c>
      <c r="BW40" s="9">
        <v>34207244</v>
      </c>
      <c r="BX40" s="9">
        <v>33707244</v>
      </c>
      <c r="BY40" s="9">
        <v>33707244</v>
      </c>
      <c r="BZ40" s="9">
        <v>33617481</v>
      </c>
      <c r="CA40" s="9">
        <v>30614544</v>
      </c>
      <c r="CB40" s="31">
        <v>30614544</v>
      </c>
      <c r="CC40" s="9">
        <v>28819307</v>
      </c>
      <c r="CD40" s="9">
        <v>28819307</v>
      </c>
      <c r="CE40" s="9">
        <v>28819307</v>
      </c>
      <c r="CF40" s="9">
        <v>29046589</v>
      </c>
      <c r="CG40" s="9">
        <v>29046589</v>
      </c>
      <c r="CH40" s="9">
        <v>29046589</v>
      </c>
      <c r="CI40" s="9">
        <v>29046589</v>
      </c>
      <c r="CJ40" s="9">
        <v>29046589</v>
      </c>
      <c r="CK40" s="9">
        <v>29447160</v>
      </c>
      <c r="CL40" s="9">
        <v>29447160</v>
      </c>
      <c r="CM40" s="9">
        <v>29374095</v>
      </c>
      <c r="CN40" s="9">
        <v>23515061</v>
      </c>
      <c r="CO40" s="31">
        <v>23515061</v>
      </c>
      <c r="CP40" s="9">
        <v>38209083</v>
      </c>
      <c r="CQ40" s="9">
        <v>41100597</v>
      </c>
      <c r="CR40" s="9">
        <v>41100597</v>
      </c>
      <c r="CS40" s="9">
        <v>39600597</v>
      </c>
      <c r="CT40" s="9">
        <v>39025073</v>
      </c>
      <c r="CU40" s="9">
        <v>37516423</v>
      </c>
      <c r="CV40" s="9">
        <v>37516423</v>
      </c>
      <c r="CW40" s="9">
        <v>37460264</v>
      </c>
      <c r="CX40" s="9">
        <v>38573604</v>
      </c>
      <c r="CY40" s="9">
        <v>37732094</v>
      </c>
      <c r="CZ40" s="9">
        <v>32604846</v>
      </c>
      <c r="DA40" s="9">
        <v>24635036</v>
      </c>
      <c r="DB40" s="31">
        <v>24635036</v>
      </c>
      <c r="DC40" s="9">
        <v>41575245</v>
      </c>
      <c r="DD40" s="9">
        <v>44644684</v>
      </c>
      <c r="DE40" s="9">
        <v>44911603</v>
      </c>
      <c r="DF40" s="9">
        <v>44911603</v>
      </c>
      <c r="DG40" s="9">
        <v>44911603</v>
      </c>
      <c r="DH40" s="9">
        <v>44911603</v>
      </c>
      <c r="DI40" s="9">
        <v>44911603</v>
      </c>
      <c r="DJ40" s="9">
        <v>44911603</v>
      </c>
      <c r="DK40" s="9">
        <v>37982134</v>
      </c>
      <c r="DL40" s="9">
        <v>39377760</v>
      </c>
      <c r="DM40" s="9">
        <v>27569422</v>
      </c>
      <c r="DN40" s="9">
        <v>20988334</v>
      </c>
      <c r="DO40" s="31">
        <v>20988334</v>
      </c>
      <c r="DP40" s="9">
        <v>34076619</v>
      </c>
      <c r="DQ40" s="9">
        <v>34076619</v>
      </c>
      <c r="DR40" s="9">
        <v>34076619</v>
      </c>
      <c r="DS40" s="9">
        <v>34076619</v>
      </c>
      <c r="DT40" s="9">
        <v>34076619</v>
      </c>
      <c r="DU40" s="9">
        <v>34076619</v>
      </c>
      <c r="DV40" s="9">
        <v>34076619</v>
      </c>
      <c r="DW40" s="9">
        <v>34076619</v>
      </c>
      <c r="DX40" s="9">
        <v>34076619</v>
      </c>
      <c r="DY40" s="9">
        <v>34076619</v>
      </c>
      <c r="DZ40" s="9">
        <v>26897358</v>
      </c>
      <c r="EA40" s="9">
        <v>16700770</v>
      </c>
      <c r="EB40" s="31">
        <v>16700770</v>
      </c>
      <c r="EC40" s="9">
        <v>28318956</v>
      </c>
      <c r="ED40" s="9">
        <v>28318956</v>
      </c>
      <c r="EE40" s="9">
        <v>28318956</v>
      </c>
      <c r="EF40" s="9">
        <v>28318956</v>
      </c>
      <c r="EG40" s="9">
        <v>28007698</v>
      </c>
      <c r="EH40" s="9">
        <v>28007698</v>
      </c>
      <c r="EI40" s="9">
        <v>26950239</v>
      </c>
      <c r="EJ40" s="9">
        <v>26950239</v>
      </c>
      <c r="EK40" s="9">
        <v>26321544</v>
      </c>
      <c r="EL40" s="9">
        <v>26321544</v>
      </c>
      <c r="EM40" s="9">
        <v>26138228</v>
      </c>
      <c r="EN40" s="9">
        <v>20053849</v>
      </c>
      <c r="EO40" s="31">
        <v>20053849</v>
      </c>
      <c r="EP40" s="9">
        <v>30628977</v>
      </c>
      <c r="EQ40" s="9">
        <v>30628977</v>
      </c>
      <c r="ER40" s="9">
        <v>30628977</v>
      </c>
      <c r="ES40" s="9">
        <v>30628977</v>
      </c>
      <c r="ET40" s="9">
        <v>30628977</v>
      </c>
      <c r="EU40" s="9">
        <v>30628977</v>
      </c>
      <c r="EV40" s="9">
        <v>27628977</v>
      </c>
      <c r="EW40" s="9">
        <v>27628977</v>
      </c>
      <c r="EX40" s="9">
        <v>27628977</v>
      </c>
      <c r="EY40" s="9">
        <v>24859588</v>
      </c>
      <c r="EZ40" s="9">
        <v>24859588</v>
      </c>
      <c r="FA40" s="9">
        <v>17628176</v>
      </c>
      <c r="FB40" s="31">
        <v>17628176</v>
      </c>
      <c r="FC40" s="9">
        <v>25030745</v>
      </c>
      <c r="FD40" s="9">
        <v>25030745</v>
      </c>
      <c r="FE40" s="9">
        <v>25030745</v>
      </c>
      <c r="FF40" s="9">
        <v>25030745</v>
      </c>
      <c r="FG40" s="9">
        <v>25030745</v>
      </c>
      <c r="FH40" s="9">
        <v>24845745</v>
      </c>
      <c r="FI40" s="9">
        <v>24845745</v>
      </c>
      <c r="FJ40" s="9">
        <v>24845745</v>
      </c>
      <c r="FK40" s="9">
        <v>24845745</v>
      </c>
      <c r="FL40" s="9">
        <v>24845745</v>
      </c>
      <c r="FM40" s="9">
        <v>24845745</v>
      </c>
      <c r="FN40" s="9">
        <v>24845745</v>
      </c>
      <c r="FO40" s="31">
        <v>24845745</v>
      </c>
    </row>
    <row r="41" spans="2:171" x14ac:dyDescent="0.3">
      <c r="B41" s="7" t="s">
        <v>57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31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31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31">
        <v>0</v>
      </c>
      <c r="AP41" s="9">
        <v>0</v>
      </c>
      <c r="AQ41" s="9">
        <v>0</v>
      </c>
      <c r="AR41" s="9">
        <v>0</v>
      </c>
      <c r="AS41" s="9">
        <v>0</v>
      </c>
      <c r="AT41" s="9">
        <v>0</v>
      </c>
      <c r="AU41" s="9">
        <v>0</v>
      </c>
      <c r="AV41" s="9">
        <v>0</v>
      </c>
      <c r="AW41" s="9">
        <v>0</v>
      </c>
      <c r="AX41" s="9">
        <v>0</v>
      </c>
      <c r="AY41" s="9">
        <v>0</v>
      </c>
      <c r="AZ41" s="9">
        <v>0</v>
      </c>
      <c r="BA41" s="9">
        <v>0</v>
      </c>
      <c r="BB41" s="31">
        <v>0</v>
      </c>
      <c r="BC41" s="9">
        <v>0</v>
      </c>
      <c r="BD41" s="9">
        <v>0</v>
      </c>
      <c r="BE41" s="9">
        <v>0</v>
      </c>
      <c r="BF41" s="9">
        <v>0</v>
      </c>
      <c r="BG41" s="9">
        <v>0</v>
      </c>
      <c r="BH41" s="9">
        <v>0</v>
      </c>
      <c r="BI41" s="9">
        <v>0</v>
      </c>
      <c r="BJ41" s="9">
        <v>0</v>
      </c>
      <c r="BK41" s="9">
        <v>0</v>
      </c>
      <c r="BL41" s="9">
        <v>0</v>
      </c>
      <c r="BM41" s="9">
        <v>0</v>
      </c>
      <c r="BN41" s="9">
        <v>0</v>
      </c>
      <c r="BO41" s="31">
        <v>0</v>
      </c>
      <c r="BP41" s="9">
        <v>3063155</v>
      </c>
      <c r="BQ41" s="9">
        <v>3063155</v>
      </c>
      <c r="BR41" s="9">
        <v>3063155</v>
      </c>
      <c r="BS41" s="9">
        <v>3063155</v>
      </c>
      <c r="BT41" s="9">
        <v>3063155</v>
      </c>
      <c r="BU41" s="9">
        <v>3063155</v>
      </c>
      <c r="BV41" s="9">
        <v>3063155</v>
      </c>
      <c r="BW41" s="9">
        <v>3018835</v>
      </c>
      <c r="BX41" s="9">
        <v>2944526</v>
      </c>
      <c r="BY41" s="9">
        <v>2944526</v>
      </c>
      <c r="BZ41" s="9">
        <v>2944526</v>
      </c>
      <c r="CA41" s="9">
        <v>1577035</v>
      </c>
      <c r="CB41" s="31">
        <v>1577035</v>
      </c>
      <c r="CC41" s="9">
        <v>7620030</v>
      </c>
      <c r="CD41" s="9">
        <v>7620030</v>
      </c>
      <c r="CE41" s="9">
        <v>7620030</v>
      </c>
      <c r="CF41" s="9">
        <v>7620030</v>
      </c>
      <c r="CG41" s="9">
        <v>7620030</v>
      </c>
      <c r="CH41" s="9">
        <v>7620030</v>
      </c>
      <c r="CI41" s="9">
        <v>9971216</v>
      </c>
      <c r="CJ41" s="9">
        <v>9971216</v>
      </c>
      <c r="CK41" s="9">
        <v>10446130</v>
      </c>
      <c r="CL41" s="9">
        <v>10481188</v>
      </c>
      <c r="CM41" s="9">
        <v>10481188</v>
      </c>
      <c r="CN41" s="9">
        <v>8072817</v>
      </c>
      <c r="CO41" s="31">
        <v>8072817</v>
      </c>
      <c r="CP41" s="9">
        <v>26096695</v>
      </c>
      <c r="CQ41" s="9">
        <v>30290020</v>
      </c>
      <c r="CR41" s="9">
        <v>30290020</v>
      </c>
      <c r="CS41" s="9">
        <v>29448401</v>
      </c>
      <c r="CT41" s="9">
        <v>31148401</v>
      </c>
      <c r="CU41" s="9">
        <v>30456420</v>
      </c>
      <c r="CV41" s="9">
        <v>30468420</v>
      </c>
      <c r="CW41" s="9">
        <v>30456420</v>
      </c>
      <c r="CX41" s="9">
        <v>30456420</v>
      </c>
      <c r="CY41" s="9">
        <v>30456420</v>
      </c>
      <c r="CZ41" s="9">
        <v>27581404</v>
      </c>
      <c r="DA41" s="9">
        <v>24250403</v>
      </c>
      <c r="DB41" s="31">
        <v>24250403</v>
      </c>
      <c r="DC41" s="9">
        <v>36920320</v>
      </c>
      <c r="DD41" s="9">
        <v>39555349</v>
      </c>
      <c r="DE41" s="9">
        <v>39555349</v>
      </c>
      <c r="DF41" s="9">
        <v>40193554</v>
      </c>
      <c r="DG41" s="9">
        <v>40193554</v>
      </c>
      <c r="DH41" s="9">
        <v>39518691</v>
      </c>
      <c r="DI41" s="9">
        <v>37297808</v>
      </c>
      <c r="DJ41" s="9">
        <v>37247808</v>
      </c>
      <c r="DK41" s="9">
        <v>31996367</v>
      </c>
      <c r="DL41" s="9">
        <v>31996367</v>
      </c>
      <c r="DM41" s="9">
        <v>21418055</v>
      </c>
      <c r="DN41" s="9">
        <v>20235644</v>
      </c>
      <c r="DO41" s="31">
        <v>20235644</v>
      </c>
      <c r="DP41" s="9">
        <v>23700733</v>
      </c>
      <c r="DQ41" s="9">
        <v>23700733</v>
      </c>
      <c r="DR41" s="9">
        <v>23700733</v>
      </c>
      <c r="DS41" s="9">
        <v>24725452</v>
      </c>
      <c r="DT41" s="9">
        <v>24923952</v>
      </c>
      <c r="DU41" s="9">
        <v>24923952</v>
      </c>
      <c r="DV41" s="9">
        <v>24923952</v>
      </c>
      <c r="DW41" s="9">
        <v>24923952</v>
      </c>
      <c r="DX41" s="9">
        <v>24923952</v>
      </c>
      <c r="DY41" s="9">
        <v>24923952</v>
      </c>
      <c r="DZ41" s="9">
        <v>25399952</v>
      </c>
      <c r="EA41" s="9">
        <v>23943054</v>
      </c>
      <c r="EB41" s="31">
        <v>23943054</v>
      </c>
      <c r="EC41" s="9">
        <v>23113535</v>
      </c>
      <c r="ED41" s="9">
        <v>23113535</v>
      </c>
      <c r="EE41" s="9">
        <v>23113535</v>
      </c>
      <c r="EF41" s="9">
        <v>23113535</v>
      </c>
      <c r="EG41" s="9">
        <v>23113535</v>
      </c>
      <c r="EH41" s="9">
        <v>25829486</v>
      </c>
      <c r="EI41" s="9">
        <v>26688903</v>
      </c>
      <c r="EJ41" s="9">
        <v>26688903</v>
      </c>
      <c r="EK41" s="9">
        <v>25705903</v>
      </c>
      <c r="EL41" s="9">
        <v>25705903</v>
      </c>
      <c r="EM41" s="9">
        <v>25705903</v>
      </c>
      <c r="EN41" s="9">
        <v>19120001</v>
      </c>
      <c r="EO41" s="31">
        <v>19120001</v>
      </c>
      <c r="EP41" s="9">
        <v>22079448</v>
      </c>
      <c r="EQ41" s="9">
        <v>22079448</v>
      </c>
      <c r="ER41" s="9">
        <v>22079448</v>
      </c>
      <c r="ES41" s="9">
        <v>22079448</v>
      </c>
      <c r="ET41" s="9">
        <v>22234448</v>
      </c>
      <c r="EU41" s="9">
        <v>22234448</v>
      </c>
      <c r="EV41" s="9">
        <v>22234448</v>
      </c>
      <c r="EW41" s="9">
        <v>22234448</v>
      </c>
      <c r="EX41" s="9">
        <v>22234448</v>
      </c>
      <c r="EY41" s="9">
        <v>21553827</v>
      </c>
      <c r="EZ41" s="9">
        <v>21553827</v>
      </c>
      <c r="FA41" s="9">
        <v>21538828</v>
      </c>
      <c r="FB41" s="31">
        <v>21538828</v>
      </c>
      <c r="FC41" s="9">
        <v>24086756</v>
      </c>
      <c r="FD41" s="9">
        <v>21586756</v>
      </c>
      <c r="FE41" s="9">
        <v>21586756</v>
      </c>
      <c r="FF41" s="9">
        <v>21586756</v>
      </c>
      <c r="FG41" s="9">
        <v>21586756</v>
      </c>
      <c r="FH41" s="9">
        <v>21586756</v>
      </c>
      <c r="FI41" s="9">
        <v>20525037</v>
      </c>
      <c r="FJ41" s="9">
        <v>20525037</v>
      </c>
      <c r="FK41" s="9">
        <v>20525037</v>
      </c>
      <c r="FL41" s="9">
        <v>20525037</v>
      </c>
      <c r="FM41" s="9">
        <v>20525037</v>
      </c>
      <c r="FN41" s="9">
        <v>20525037</v>
      </c>
      <c r="FO41" s="31">
        <v>20525037</v>
      </c>
    </row>
    <row r="42" spans="2:171" x14ac:dyDescent="0.3">
      <c r="B42" s="7" t="s">
        <v>58</v>
      </c>
      <c r="C42" s="9">
        <v>49314354</v>
      </c>
      <c r="D42" s="9">
        <v>49314354</v>
      </c>
      <c r="E42" s="9">
        <v>49741699</v>
      </c>
      <c r="F42" s="9">
        <v>49741699</v>
      </c>
      <c r="G42" s="9">
        <v>49641699</v>
      </c>
      <c r="H42" s="9">
        <v>49641699</v>
      </c>
      <c r="I42" s="9">
        <v>49641699</v>
      </c>
      <c r="J42" s="9">
        <v>49641699</v>
      </c>
      <c r="K42" s="9">
        <v>51895364</v>
      </c>
      <c r="L42" s="9">
        <v>51895364</v>
      </c>
      <c r="M42" s="9">
        <v>51916494</v>
      </c>
      <c r="N42" s="9">
        <v>51700292</v>
      </c>
      <c r="O42" s="31">
        <v>51700292</v>
      </c>
      <c r="P42" s="9">
        <v>70718333</v>
      </c>
      <c r="Q42" s="9">
        <v>68447760</v>
      </c>
      <c r="R42" s="9">
        <v>63821349</v>
      </c>
      <c r="S42" s="9">
        <v>63821349</v>
      </c>
      <c r="T42" s="9">
        <v>63821349</v>
      </c>
      <c r="U42" s="9">
        <v>63763062</v>
      </c>
      <c r="V42" s="9">
        <v>63763062</v>
      </c>
      <c r="W42" s="9">
        <v>63096363</v>
      </c>
      <c r="X42" s="9">
        <v>60588370</v>
      </c>
      <c r="Y42" s="9">
        <v>57626144</v>
      </c>
      <c r="Z42" s="9">
        <v>57372753</v>
      </c>
      <c r="AA42" s="9">
        <v>53708565</v>
      </c>
      <c r="AB42" s="31">
        <v>53708565</v>
      </c>
      <c r="AC42" s="9">
        <v>51886359</v>
      </c>
      <c r="AD42" s="9">
        <v>51853900</v>
      </c>
      <c r="AE42" s="9">
        <v>49318577</v>
      </c>
      <c r="AF42" s="9">
        <v>48352636</v>
      </c>
      <c r="AG42" s="9">
        <v>47728510</v>
      </c>
      <c r="AH42" s="9">
        <v>47728510</v>
      </c>
      <c r="AI42" s="9">
        <v>47101829</v>
      </c>
      <c r="AJ42" s="9">
        <v>47101829</v>
      </c>
      <c r="AK42" s="9">
        <v>47101829</v>
      </c>
      <c r="AL42" s="9">
        <v>47237829</v>
      </c>
      <c r="AM42" s="9">
        <v>47427094</v>
      </c>
      <c r="AN42" s="9">
        <v>48151520</v>
      </c>
      <c r="AO42" s="31">
        <v>48151520</v>
      </c>
      <c r="AP42" s="9">
        <v>59883317</v>
      </c>
      <c r="AQ42" s="9">
        <v>60201940</v>
      </c>
      <c r="AR42" s="9">
        <v>60201940</v>
      </c>
      <c r="AS42" s="9">
        <v>60201940</v>
      </c>
      <c r="AT42" s="9">
        <v>67225673</v>
      </c>
      <c r="AU42" s="9">
        <v>67190851</v>
      </c>
      <c r="AV42" s="9">
        <v>66465607</v>
      </c>
      <c r="AW42" s="9">
        <v>65844451</v>
      </c>
      <c r="AX42" s="9">
        <v>65849031</v>
      </c>
      <c r="AY42" s="9">
        <v>65285469</v>
      </c>
      <c r="AZ42" s="9">
        <v>62668349</v>
      </c>
      <c r="BA42" s="9">
        <v>61082143</v>
      </c>
      <c r="BB42" s="31">
        <v>61082143</v>
      </c>
      <c r="BC42" s="9">
        <v>54929952</v>
      </c>
      <c r="BD42" s="9">
        <v>55049152</v>
      </c>
      <c r="BE42" s="9">
        <v>55049152</v>
      </c>
      <c r="BF42" s="9">
        <v>55049152</v>
      </c>
      <c r="BG42" s="9">
        <v>54646244</v>
      </c>
      <c r="BH42" s="9">
        <v>49010976</v>
      </c>
      <c r="BI42" s="9">
        <v>48967776</v>
      </c>
      <c r="BJ42" s="9">
        <v>50035450</v>
      </c>
      <c r="BK42" s="9">
        <v>50035450</v>
      </c>
      <c r="BL42" s="9">
        <v>50119906</v>
      </c>
      <c r="BM42" s="9">
        <v>50119906</v>
      </c>
      <c r="BN42" s="9">
        <v>44635724</v>
      </c>
      <c r="BO42" s="31">
        <v>44635724</v>
      </c>
      <c r="BP42" s="9">
        <v>33228726</v>
      </c>
      <c r="BQ42" s="9">
        <v>33228726</v>
      </c>
      <c r="BR42" s="9">
        <v>33294549</v>
      </c>
      <c r="BS42" s="9">
        <v>33294549</v>
      </c>
      <c r="BT42" s="9">
        <v>33294549</v>
      </c>
      <c r="BU42" s="9">
        <v>31994549</v>
      </c>
      <c r="BV42" s="9">
        <v>34004964</v>
      </c>
      <c r="BW42" s="9">
        <v>34014688</v>
      </c>
      <c r="BX42" s="9">
        <v>34014688</v>
      </c>
      <c r="BY42" s="9">
        <v>34014688</v>
      </c>
      <c r="BZ42" s="9">
        <v>34014688</v>
      </c>
      <c r="CA42" s="9">
        <v>34665138</v>
      </c>
      <c r="CB42" s="31">
        <v>34665138</v>
      </c>
      <c r="CC42" s="9">
        <v>34241496</v>
      </c>
      <c r="CD42" s="9">
        <v>34241496</v>
      </c>
      <c r="CE42" s="9">
        <v>34241496</v>
      </c>
      <c r="CF42" s="9">
        <v>33885894</v>
      </c>
      <c r="CG42" s="9">
        <v>33885894</v>
      </c>
      <c r="CH42" s="9">
        <v>36467194</v>
      </c>
      <c r="CI42" s="9">
        <v>31609800</v>
      </c>
      <c r="CJ42" s="9">
        <v>31609800</v>
      </c>
      <c r="CK42" s="9">
        <v>30602697</v>
      </c>
      <c r="CL42" s="9">
        <v>30602697</v>
      </c>
      <c r="CM42" s="9">
        <v>30587937</v>
      </c>
      <c r="CN42" s="9">
        <v>29234031</v>
      </c>
      <c r="CO42" s="31">
        <v>29234031</v>
      </c>
      <c r="CP42" s="9">
        <v>47480114</v>
      </c>
      <c r="CQ42" s="9">
        <v>46808523</v>
      </c>
      <c r="CR42" s="9">
        <v>46838561</v>
      </c>
      <c r="CS42" s="9">
        <v>46859061</v>
      </c>
      <c r="CT42" s="9">
        <v>48764408</v>
      </c>
      <c r="CU42" s="9">
        <v>51014336</v>
      </c>
      <c r="CV42" s="9">
        <v>51014336</v>
      </c>
      <c r="CW42" s="9">
        <v>51000336</v>
      </c>
      <c r="CX42" s="9">
        <v>51070336</v>
      </c>
      <c r="CY42" s="9">
        <v>51066806</v>
      </c>
      <c r="CZ42" s="9">
        <v>50450459</v>
      </c>
      <c r="DA42" s="9">
        <v>50960348</v>
      </c>
      <c r="DB42" s="31">
        <v>50960348</v>
      </c>
      <c r="DC42" s="9">
        <v>40895295</v>
      </c>
      <c r="DD42" s="9">
        <v>42599913</v>
      </c>
      <c r="DE42" s="9">
        <v>44538916</v>
      </c>
      <c r="DF42" s="9">
        <v>44538916</v>
      </c>
      <c r="DG42" s="9">
        <v>44610581</v>
      </c>
      <c r="DH42" s="9">
        <v>44610581</v>
      </c>
      <c r="DI42" s="9">
        <v>46801119</v>
      </c>
      <c r="DJ42" s="9">
        <v>46908560</v>
      </c>
      <c r="DK42" s="9">
        <v>43111435</v>
      </c>
      <c r="DL42" s="9">
        <v>43042467</v>
      </c>
      <c r="DM42" s="9">
        <v>37591875</v>
      </c>
      <c r="DN42" s="9">
        <v>34363905</v>
      </c>
      <c r="DO42" s="31">
        <v>34363905</v>
      </c>
      <c r="DP42" s="9">
        <v>51373264</v>
      </c>
      <c r="DQ42" s="9">
        <v>51373264</v>
      </c>
      <c r="DR42" s="9">
        <v>51373264</v>
      </c>
      <c r="DS42" s="9">
        <v>51373264</v>
      </c>
      <c r="DT42" s="9">
        <v>51373264</v>
      </c>
      <c r="DU42" s="9">
        <v>51373264</v>
      </c>
      <c r="DV42" s="9">
        <v>51508435</v>
      </c>
      <c r="DW42" s="9">
        <v>52353893</v>
      </c>
      <c r="DX42" s="9">
        <v>52353893</v>
      </c>
      <c r="DY42" s="9">
        <v>52353893</v>
      </c>
      <c r="DZ42" s="9">
        <v>51000922</v>
      </c>
      <c r="EA42" s="9">
        <v>46007599</v>
      </c>
      <c r="EB42" s="31">
        <v>46007599</v>
      </c>
      <c r="EC42" s="9">
        <v>52751667</v>
      </c>
      <c r="ED42" s="9">
        <v>52751667</v>
      </c>
      <c r="EE42" s="9">
        <v>52751667</v>
      </c>
      <c r="EF42" s="9">
        <v>52751667</v>
      </c>
      <c r="EG42" s="9">
        <v>57337319</v>
      </c>
      <c r="EH42" s="9">
        <v>57405826</v>
      </c>
      <c r="EI42" s="9">
        <v>57956571</v>
      </c>
      <c r="EJ42" s="9">
        <v>57956571</v>
      </c>
      <c r="EK42" s="9">
        <v>61190275</v>
      </c>
      <c r="EL42" s="9">
        <v>61303735</v>
      </c>
      <c r="EM42" s="9">
        <v>61308735</v>
      </c>
      <c r="EN42" s="9">
        <v>52850218</v>
      </c>
      <c r="EO42" s="31">
        <v>52850218</v>
      </c>
      <c r="EP42" s="9">
        <v>51417843</v>
      </c>
      <c r="EQ42" s="9">
        <v>51517443</v>
      </c>
      <c r="ER42" s="9">
        <v>55313770</v>
      </c>
      <c r="ES42" s="9">
        <v>55553881</v>
      </c>
      <c r="ET42" s="9">
        <v>56534745</v>
      </c>
      <c r="EU42" s="9">
        <v>61534745</v>
      </c>
      <c r="EV42" s="9">
        <v>61534745</v>
      </c>
      <c r="EW42" s="9">
        <v>63834745</v>
      </c>
      <c r="EX42" s="9">
        <v>63834745</v>
      </c>
      <c r="EY42" s="9">
        <v>64880577</v>
      </c>
      <c r="EZ42" s="9">
        <v>70760325</v>
      </c>
      <c r="FA42" s="9">
        <v>70312669</v>
      </c>
      <c r="FB42" s="31">
        <v>70312669</v>
      </c>
      <c r="FC42" s="9">
        <v>69100458</v>
      </c>
      <c r="FD42" s="9">
        <v>69100458</v>
      </c>
      <c r="FE42" s="9">
        <v>69100458</v>
      </c>
      <c r="FF42" s="9">
        <v>69100458</v>
      </c>
      <c r="FG42" s="9">
        <v>69434215</v>
      </c>
      <c r="FH42" s="9">
        <v>69434215</v>
      </c>
      <c r="FI42" s="9">
        <v>69434215</v>
      </c>
      <c r="FJ42" s="9">
        <v>69434215</v>
      </c>
      <c r="FK42" s="9">
        <v>69434215</v>
      </c>
      <c r="FL42" s="9">
        <v>69434215</v>
      </c>
      <c r="FM42" s="9">
        <v>69434215</v>
      </c>
      <c r="FN42" s="9">
        <v>69434215</v>
      </c>
      <c r="FO42" s="31">
        <v>69434215</v>
      </c>
    </row>
    <row r="43" spans="2:171" x14ac:dyDescent="0.3">
      <c r="B43" s="7" t="s">
        <v>59</v>
      </c>
      <c r="C43" s="9">
        <v>24778757</v>
      </c>
      <c r="D43" s="9">
        <v>24778757</v>
      </c>
      <c r="E43" s="9">
        <v>24792079</v>
      </c>
      <c r="F43" s="9">
        <v>24792079</v>
      </c>
      <c r="G43" s="9">
        <v>23045967</v>
      </c>
      <c r="H43" s="9">
        <v>23045967</v>
      </c>
      <c r="I43" s="9">
        <v>23045967</v>
      </c>
      <c r="J43" s="9">
        <v>22601659</v>
      </c>
      <c r="K43" s="9">
        <v>24069017</v>
      </c>
      <c r="L43" s="9">
        <v>24088083</v>
      </c>
      <c r="M43" s="9">
        <v>24117689</v>
      </c>
      <c r="N43" s="9">
        <v>22853097</v>
      </c>
      <c r="O43" s="31">
        <v>22853097</v>
      </c>
      <c r="P43" s="9">
        <v>37063011</v>
      </c>
      <c r="Q43" s="9">
        <v>37710881</v>
      </c>
      <c r="R43" s="9">
        <v>37710881</v>
      </c>
      <c r="S43" s="9">
        <v>39094557</v>
      </c>
      <c r="T43" s="9">
        <v>38835185</v>
      </c>
      <c r="U43" s="9">
        <v>38835185</v>
      </c>
      <c r="V43" s="9">
        <v>38835185</v>
      </c>
      <c r="W43" s="9">
        <v>38342160</v>
      </c>
      <c r="X43" s="9">
        <v>38402160</v>
      </c>
      <c r="Y43" s="9">
        <v>33282155</v>
      </c>
      <c r="Z43" s="9">
        <v>33536235</v>
      </c>
      <c r="AA43" s="9">
        <v>31766678</v>
      </c>
      <c r="AB43" s="31">
        <v>31766678</v>
      </c>
      <c r="AC43" s="9">
        <v>36934807</v>
      </c>
      <c r="AD43" s="9">
        <v>39403550</v>
      </c>
      <c r="AE43" s="9">
        <v>39403550</v>
      </c>
      <c r="AF43" s="9">
        <v>39403550</v>
      </c>
      <c r="AG43" s="9">
        <v>39453550</v>
      </c>
      <c r="AH43" s="9">
        <v>39453550</v>
      </c>
      <c r="AI43" s="9">
        <v>41789401</v>
      </c>
      <c r="AJ43" s="9">
        <v>41789401</v>
      </c>
      <c r="AK43" s="9">
        <v>41789401</v>
      </c>
      <c r="AL43" s="9">
        <v>42309220</v>
      </c>
      <c r="AM43" s="9">
        <v>42749318</v>
      </c>
      <c r="AN43" s="9">
        <v>42244358</v>
      </c>
      <c r="AO43" s="31">
        <v>42244358</v>
      </c>
      <c r="AP43" s="9">
        <v>37348326</v>
      </c>
      <c r="AQ43" s="9">
        <v>40079063</v>
      </c>
      <c r="AR43" s="9">
        <v>40079063</v>
      </c>
      <c r="AS43" s="9">
        <v>40079063</v>
      </c>
      <c r="AT43" s="9">
        <v>40078063</v>
      </c>
      <c r="AU43" s="9">
        <v>40419981</v>
      </c>
      <c r="AV43" s="9">
        <v>40438632</v>
      </c>
      <c r="AW43" s="9">
        <v>42486063</v>
      </c>
      <c r="AX43" s="9">
        <v>42486063</v>
      </c>
      <c r="AY43" s="9">
        <v>42380063</v>
      </c>
      <c r="AZ43" s="9">
        <v>41900965</v>
      </c>
      <c r="BA43" s="9">
        <v>34608750</v>
      </c>
      <c r="BB43" s="31">
        <v>34608750</v>
      </c>
      <c r="BC43" s="9">
        <v>35129087</v>
      </c>
      <c r="BD43" s="9">
        <v>36458894</v>
      </c>
      <c r="BE43" s="9">
        <v>36458894</v>
      </c>
      <c r="BF43" s="9">
        <v>36458894</v>
      </c>
      <c r="BG43" s="9">
        <v>36458894</v>
      </c>
      <c r="BH43" s="9">
        <v>36458894</v>
      </c>
      <c r="BI43" s="9">
        <v>36458894</v>
      </c>
      <c r="BJ43" s="9">
        <v>37140681</v>
      </c>
      <c r="BK43" s="9">
        <v>37140681</v>
      </c>
      <c r="BL43" s="9">
        <v>37140681</v>
      </c>
      <c r="BM43" s="9">
        <v>37140681</v>
      </c>
      <c r="BN43" s="9">
        <v>30568395</v>
      </c>
      <c r="BO43" s="31">
        <v>30568395</v>
      </c>
      <c r="BP43" s="9">
        <v>42601193</v>
      </c>
      <c r="BQ43" s="9">
        <v>42601193</v>
      </c>
      <c r="BR43" s="9">
        <v>42601193</v>
      </c>
      <c r="BS43" s="9">
        <v>42601193</v>
      </c>
      <c r="BT43" s="9">
        <v>42601193</v>
      </c>
      <c r="BU43" s="9">
        <v>43518359</v>
      </c>
      <c r="BV43" s="9">
        <v>43592616</v>
      </c>
      <c r="BW43" s="9">
        <v>43622616</v>
      </c>
      <c r="BX43" s="9">
        <v>43622616</v>
      </c>
      <c r="BY43" s="9">
        <v>43622616</v>
      </c>
      <c r="BZ43" s="9">
        <v>43622616</v>
      </c>
      <c r="CA43" s="9">
        <v>43760619</v>
      </c>
      <c r="CB43" s="31">
        <v>43760619</v>
      </c>
      <c r="CC43" s="9">
        <v>36381316</v>
      </c>
      <c r="CD43" s="9">
        <v>36381316</v>
      </c>
      <c r="CE43" s="9">
        <v>36381316</v>
      </c>
      <c r="CF43" s="9">
        <v>43629375</v>
      </c>
      <c r="CG43" s="9">
        <v>43629375</v>
      </c>
      <c r="CH43" s="9">
        <v>40034251</v>
      </c>
      <c r="CI43" s="9">
        <v>40034251</v>
      </c>
      <c r="CJ43" s="9">
        <v>40034251</v>
      </c>
      <c r="CK43" s="9">
        <v>40034251</v>
      </c>
      <c r="CL43" s="9">
        <v>40034251</v>
      </c>
      <c r="CM43" s="9">
        <v>40034251</v>
      </c>
      <c r="CN43" s="9">
        <v>39232088</v>
      </c>
      <c r="CO43" s="31">
        <v>39232088</v>
      </c>
      <c r="CP43" s="9">
        <v>39627096</v>
      </c>
      <c r="CQ43" s="9">
        <v>47554865</v>
      </c>
      <c r="CR43" s="9">
        <v>47841231</v>
      </c>
      <c r="CS43" s="9">
        <v>46883758</v>
      </c>
      <c r="CT43" s="9">
        <v>47694518</v>
      </c>
      <c r="CU43" s="9">
        <v>47407812</v>
      </c>
      <c r="CV43" s="9">
        <v>47407812</v>
      </c>
      <c r="CW43" s="9">
        <v>47407812</v>
      </c>
      <c r="CX43" s="9">
        <v>47407812</v>
      </c>
      <c r="CY43" s="9">
        <v>48624906</v>
      </c>
      <c r="CZ43" s="9">
        <v>55571871</v>
      </c>
      <c r="DA43" s="9">
        <v>43086424</v>
      </c>
      <c r="DB43" s="31">
        <v>43086424</v>
      </c>
      <c r="DC43" s="9">
        <v>26390042</v>
      </c>
      <c r="DD43" s="9">
        <v>32646316</v>
      </c>
      <c r="DE43" s="9">
        <v>31150252</v>
      </c>
      <c r="DF43" s="9">
        <v>31150252</v>
      </c>
      <c r="DG43" s="9">
        <v>31106983</v>
      </c>
      <c r="DH43" s="9">
        <v>31106983</v>
      </c>
      <c r="DI43" s="9">
        <v>30755092</v>
      </c>
      <c r="DJ43" s="9">
        <v>33656157</v>
      </c>
      <c r="DK43" s="9">
        <v>33656157</v>
      </c>
      <c r="DL43" s="9">
        <v>33656157</v>
      </c>
      <c r="DM43" s="9">
        <v>30153019</v>
      </c>
      <c r="DN43" s="9">
        <v>23972510</v>
      </c>
      <c r="DO43" s="31">
        <v>23972510</v>
      </c>
      <c r="DP43" s="9">
        <v>30128321</v>
      </c>
      <c r="DQ43" s="9">
        <v>30534738</v>
      </c>
      <c r="DR43" s="9">
        <v>30534738</v>
      </c>
      <c r="DS43" s="9">
        <v>30534738</v>
      </c>
      <c r="DT43" s="9">
        <v>30534738</v>
      </c>
      <c r="DU43" s="9">
        <v>30534738</v>
      </c>
      <c r="DV43" s="9">
        <v>30622218</v>
      </c>
      <c r="DW43" s="9">
        <v>30622218</v>
      </c>
      <c r="DX43" s="9">
        <v>30622218</v>
      </c>
      <c r="DY43" s="9">
        <v>30622218</v>
      </c>
      <c r="DZ43" s="9">
        <v>23521092</v>
      </c>
      <c r="EA43" s="9">
        <v>20238360</v>
      </c>
      <c r="EB43" s="31">
        <v>20238360</v>
      </c>
      <c r="EC43" s="9">
        <v>30054838</v>
      </c>
      <c r="ED43" s="9">
        <v>30054838</v>
      </c>
      <c r="EE43" s="9">
        <v>31282527</v>
      </c>
      <c r="EF43" s="9">
        <v>31282527</v>
      </c>
      <c r="EG43" s="9">
        <v>31409727</v>
      </c>
      <c r="EH43" s="9">
        <v>31409727</v>
      </c>
      <c r="EI43" s="9">
        <v>31418490</v>
      </c>
      <c r="EJ43" s="9">
        <v>31418490</v>
      </c>
      <c r="EK43" s="9">
        <v>36356084</v>
      </c>
      <c r="EL43" s="9">
        <v>36296984</v>
      </c>
      <c r="EM43" s="9">
        <v>36296984</v>
      </c>
      <c r="EN43" s="9">
        <v>36728957</v>
      </c>
      <c r="EO43" s="31">
        <v>36728957</v>
      </c>
      <c r="EP43" s="9">
        <v>33768075</v>
      </c>
      <c r="EQ43" s="9">
        <v>35204845</v>
      </c>
      <c r="ER43" s="9">
        <v>35894043</v>
      </c>
      <c r="ES43" s="9">
        <v>35894043</v>
      </c>
      <c r="ET43" s="9">
        <v>35894043</v>
      </c>
      <c r="EU43" s="9">
        <v>39784839</v>
      </c>
      <c r="EV43" s="9">
        <v>39784839</v>
      </c>
      <c r="EW43" s="9">
        <v>39784839</v>
      </c>
      <c r="EX43" s="9">
        <v>39784839</v>
      </c>
      <c r="EY43" s="9">
        <v>39784839</v>
      </c>
      <c r="EZ43" s="9">
        <v>39784839</v>
      </c>
      <c r="FA43" s="9">
        <v>38538359</v>
      </c>
      <c r="FB43" s="31">
        <v>38538359</v>
      </c>
      <c r="FC43" s="9">
        <v>19941082</v>
      </c>
      <c r="FD43" s="9">
        <v>19941082</v>
      </c>
      <c r="FE43" s="9">
        <v>19941082</v>
      </c>
      <c r="FF43" s="9">
        <v>19941082</v>
      </c>
      <c r="FG43" s="9">
        <v>21783783</v>
      </c>
      <c r="FH43" s="9">
        <v>21338584</v>
      </c>
      <c r="FI43" s="9">
        <v>21338584</v>
      </c>
      <c r="FJ43" s="9">
        <v>21338584</v>
      </c>
      <c r="FK43" s="9">
        <v>21338584</v>
      </c>
      <c r="FL43" s="9">
        <v>21338584</v>
      </c>
      <c r="FM43" s="9">
        <v>21338584</v>
      </c>
      <c r="FN43" s="9">
        <v>21338584</v>
      </c>
      <c r="FO43" s="31">
        <v>21338584</v>
      </c>
    </row>
    <row r="44" spans="2:171" x14ac:dyDescent="0.3">
      <c r="B44" s="7" t="s">
        <v>60</v>
      </c>
      <c r="C44" s="9">
        <v>10105857</v>
      </c>
      <c r="D44" s="9">
        <v>10105857</v>
      </c>
      <c r="E44" s="9">
        <v>10371801</v>
      </c>
      <c r="F44" s="9">
        <v>10975000</v>
      </c>
      <c r="G44" s="9">
        <v>11903432</v>
      </c>
      <c r="H44" s="9">
        <v>11903432</v>
      </c>
      <c r="I44" s="9">
        <v>12031152</v>
      </c>
      <c r="J44" s="9">
        <v>12232681</v>
      </c>
      <c r="K44" s="9">
        <v>13132461</v>
      </c>
      <c r="L44" s="9">
        <v>14386514</v>
      </c>
      <c r="M44" s="9">
        <v>14431955</v>
      </c>
      <c r="N44" s="9">
        <v>13948112</v>
      </c>
      <c r="O44" s="31">
        <v>13948112</v>
      </c>
      <c r="P44" s="9">
        <v>15006631</v>
      </c>
      <c r="Q44" s="9">
        <v>15531309</v>
      </c>
      <c r="R44" s="9">
        <v>15531309</v>
      </c>
      <c r="S44" s="9">
        <v>15531309</v>
      </c>
      <c r="T44" s="9">
        <v>15531309</v>
      </c>
      <c r="U44" s="9">
        <v>14467569</v>
      </c>
      <c r="V44" s="9">
        <v>13558613</v>
      </c>
      <c r="W44" s="9">
        <v>13689833</v>
      </c>
      <c r="X44" s="9">
        <v>13689833</v>
      </c>
      <c r="Y44" s="9">
        <v>13746333</v>
      </c>
      <c r="Z44" s="9">
        <v>13746333</v>
      </c>
      <c r="AA44" s="9">
        <v>11396403</v>
      </c>
      <c r="AB44" s="31">
        <v>11396403</v>
      </c>
      <c r="AC44" s="9">
        <v>8772648</v>
      </c>
      <c r="AD44" s="9">
        <v>9130922</v>
      </c>
      <c r="AE44" s="9">
        <v>9130922</v>
      </c>
      <c r="AF44" s="9">
        <v>9280449</v>
      </c>
      <c r="AG44" s="9">
        <v>9328927</v>
      </c>
      <c r="AH44" s="9">
        <v>9328927</v>
      </c>
      <c r="AI44" s="9">
        <v>10974123</v>
      </c>
      <c r="AJ44" s="9">
        <v>10974123</v>
      </c>
      <c r="AK44" s="9">
        <v>11017793</v>
      </c>
      <c r="AL44" s="9">
        <v>11037793</v>
      </c>
      <c r="AM44" s="9">
        <v>11015955</v>
      </c>
      <c r="AN44" s="9">
        <v>11015955</v>
      </c>
      <c r="AO44" s="31">
        <v>11015955</v>
      </c>
      <c r="AP44" s="9">
        <v>9451838</v>
      </c>
      <c r="AQ44" s="9">
        <v>10924798</v>
      </c>
      <c r="AR44" s="9">
        <v>11886824</v>
      </c>
      <c r="AS44" s="9">
        <v>12001670</v>
      </c>
      <c r="AT44" s="9">
        <v>12526814</v>
      </c>
      <c r="AU44" s="9">
        <v>12087414</v>
      </c>
      <c r="AV44" s="9">
        <v>12087414</v>
      </c>
      <c r="AW44" s="9">
        <v>12089875</v>
      </c>
      <c r="AX44" s="9">
        <v>12089875</v>
      </c>
      <c r="AY44" s="9">
        <v>12100875</v>
      </c>
      <c r="AZ44" s="9">
        <v>11981502</v>
      </c>
      <c r="BA44" s="9">
        <v>11058601</v>
      </c>
      <c r="BB44" s="31">
        <v>11058601</v>
      </c>
      <c r="BC44" s="9">
        <v>18225631</v>
      </c>
      <c r="BD44" s="9">
        <v>19225631</v>
      </c>
      <c r="BE44" s="9">
        <v>19225631</v>
      </c>
      <c r="BF44" s="9">
        <v>19225631</v>
      </c>
      <c r="BG44" s="9">
        <v>19225631</v>
      </c>
      <c r="BH44" s="9">
        <v>19225631</v>
      </c>
      <c r="BI44" s="9">
        <v>19225631</v>
      </c>
      <c r="BJ44" s="9">
        <v>18739669</v>
      </c>
      <c r="BK44" s="9">
        <v>18739669</v>
      </c>
      <c r="BL44" s="9">
        <v>18039669</v>
      </c>
      <c r="BM44" s="9">
        <v>17610357</v>
      </c>
      <c r="BN44" s="9">
        <v>15698443</v>
      </c>
      <c r="BO44" s="31">
        <v>15698443</v>
      </c>
      <c r="BP44" s="9">
        <v>15979102</v>
      </c>
      <c r="BQ44" s="9">
        <v>15979102</v>
      </c>
      <c r="BR44" s="9">
        <v>16072167</v>
      </c>
      <c r="BS44" s="9">
        <v>16072167</v>
      </c>
      <c r="BT44" s="9">
        <v>16072167</v>
      </c>
      <c r="BU44" s="9">
        <v>15372167</v>
      </c>
      <c r="BV44" s="9">
        <v>15372167</v>
      </c>
      <c r="BW44" s="9">
        <v>15521748</v>
      </c>
      <c r="BX44" s="9">
        <v>15584769</v>
      </c>
      <c r="BY44" s="9">
        <v>15584769</v>
      </c>
      <c r="BZ44" s="9">
        <v>15586769</v>
      </c>
      <c r="CA44" s="9">
        <v>15483977</v>
      </c>
      <c r="CB44" s="31">
        <v>15483977</v>
      </c>
      <c r="CC44" s="9">
        <v>16443798</v>
      </c>
      <c r="CD44" s="9">
        <v>16443798</v>
      </c>
      <c r="CE44" s="9">
        <v>16443798</v>
      </c>
      <c r="CF44" s="9">
        <v>11143798</v>
      </c>
      <c r="CG44" s="9">
        <v>11143798</v>
      </c>
      <c r="CH44" s="9">
        <v>11143798</v>
      </c>
      <c r="CI44" s="9">
        <v>11143798</v>
      </c>
      <c r="CJ44" s="9">
        <v>11143798</v>
      </c>
      <c r="CK44" s="9">
        <v>11143798</v>
      </c>
      <c r="CL44" s="9">
        <v>11143798</v>
      </c>
      <c r="CM44" s="9">
        <v>10896624</v>
      </c>
      <c r="CN44" s="9">
        <v>9519362</v>
      </c>
      <c r="CO44" s="31">
        <v>9519362</v>
      </c>
      <c r="CP44" s="9">
        <v>20649564</v>
      </c>
      <c r="CQ44" s="9">
        <v>16814763</v>
      </c>
      <c r="CR44" s="9">
        <v>22285572</v>
      </c>
      <c r="CS44" s="9">
        <v>22285572</v>
      </c>
      <c r="CT44" s="9">
        <v>14609091</v>
      </c>
      <c r="CU44" s="9">
        <v>15388049</v>
      </c>
      <c r="CV44" s="9">
        <v>17930371</v>
      </c>
      <c r="CW44" s="9">
        <v>17919451</v>
      </c>
      <c r="CX44" s="9">
        <v>17919451</v>
      </c>
      <c r="CY44" s="9">
        <v>17922981</v>
      </c>
      <c r="CZ44" s="9">
        <v>17587981</v>
      </c>
      <c r="DA44" s="9">
        <v>14338421</v>
      </c>
      <c r="DB44" s="31">
        <v>14338421</v>
      </c>
      <c r="DC44" s="9">
        <v>29463592</v>
      </c>
      <c r="DD44" s="9">
        <v>32222606</v>
      </c>
      <c r="DE44" s="9">
        <v>32222606</v>
      </c>
      <c r="DF44" s="9">
        <v>32222606</v>
      </c>
      <c r="DG44" s="9">
        <v>32222606</v>
      </c>
      <c r="DH44" s="9">
        <v>32222606</v>
      </c>
      <c r="DI44" s="9">
        <v>30325222</v>
      </c>
      <c r="DJ44" s="9">
        <v>30325222</v>
      </c>
      <c r="DK44" s="9">
        <v>23177772</v>
      </c>
      <c r="DL44" s="9">
        <v>23177772</v>
      </c>
      <c r="DM44" s="9">
        <v>20376650</v>
      </c>
      <c r="DN44" s="9">
        <v>18334752</v>
      </c>
      <c r="DO44" s="31">
        <v>18334752</v>
      </c>
      <c r="DP44" s="9">
        <v>34989760</v>
      </c>
      <c r="DQ44" s="9">
        <v>34989760</v>
      </c>
      <c r="DR44" s="9">
        <v>34989760</v>
      </c>
      <c r="DS44" s="9">
        <v>33800482</v>
      </c>
      <c r="DT44" s="9">
        <v>30874894</v>
      </c>
      <c r="DU44" s="9">
        <v>30699107</v>
      </c>
      <c r="DV44" s="9">
        <v>30436338</v>
      </c>
      <c r="DW44" s="9">
        <v>30436338</v>
      </c>
      <c r="DX44" s="9">
        <v>30436338</v>
      </c>
      <c r="DY44" s="9">
        <v>30436338</v>
      </c>
      <c r="DZ44" s="9">
        <v>21760124</v>
      </c>
      <c r="EA44" s="9">
        <v>10583667</v>
      </c>
      <c r="EB44" s="31">
        <v>10583667</v>
      </c>
      <c r="EC44" s="9">
        <v>21614756</v>
      </c>
      <c r="ED44" s="9">
        <v>21614756</v>
      </c>
      <c r="EE44" s="9">
        <v>25085426</v>
      </c>
      <c r="EF44" s="9">
        <v>25022015</v>
      </c>
      <c r="EG44" s="9">
        <v>24451976</v>
      </c>
      <c r="EH44" s="9">
        <v>23099237</v>
      </c>
      <c r="EI44" s="9">
        <v>22144605</v>
      </c>
      <c r="EJ44" s="9">
        <v>19996116</v>
      </c>
      <c r="EK44" s="9">
        <v>18783276</v>
      </c>
      <c r="EL44" s="9">
        <v>18783276</v>
      </c>
      <c r="EM44" s="9">
        <v>16286502</v>
      </c>
      <c r="EN44" s="9">
        <v>13330524</v>
      </c>
      <c r="EO44" s="31">
        <v>13330524</v>
      </c>
      <c r="EP44" s="9">
        <v>24407573</v>
      </c>
      <c r="EQ44" s="9">
        <v>24407573</v>
      </c>
      <c r="ER44" s="9">
        <v>20199526</v>
      </c>
      <c r="ES44" s="9">
        <v>19621185</v>
      </c>
      <c r="ET44" s="9">
        <v>19621185</v>
      </c>
      <c r="EU44" s="9">
        <v>19621185</v>
      </c>
      <c r="EV44" s="9">
        <v>19621185</v>
      </c>
      <c r="EW44" s="9">
        <v>17321185</v>
      </c>
      <c r="EX44" s="9">
        <v>17321185</v>
      </c>
      <c r="EY44" s="9">
        <v>16366982</v>
      </c>
      <c r="EZ44" s="9">
        <v>16366982</v>
      </c>
      <c r="FA44" s="9">
        <v>9559039</v>
      </c>
      <c r="FB44" s="31">
        <v>9559039</v>
      </c>
      <c r="FC44" s="9">
        <v>26486066</v>
      </c>
      <c r="FD44" s="9">
        <v>20486066</v>
      </c>
      <c r="FE44" s="9">
        <v>20381384</v>
      </c>
      <c r="FF44" s="9">
        <v>20381384</v>
      </c>
      <c r="FG44" s="9">
        <v>21613538</v>
      </c>
      <c r="FH44" s="9">
        <v>20281537</v>
      </c>
      <c r="FI44" s="9">
        <v>20281537</v>
      </c>
      <c r="FJ44" s="9">
        <v>20281537</v>
      </c>
      <c r="FK44" s="9">
        <v>20281537</v>
      </c>
      <c r="FL44" s="9">
        <v>20281537</v>
      </c>
      <c r="FM44" s="9">
        <v>20281537</v>
      </c>
      <c r="FN44" s="9">
        <v>20281537</v>
      </c>
      <c r="FO44" s="31">
        <v>20281537</v>
      </c>
    </row>
    <row r="45" spans="2:171" x14ac:dyDescent="0.3">
      <c r="B45" s="7" t="s">
        <v>61</v>
      </c>
      <c r="C45" s="9">
        <v>14786598</v>
      </c>
      <c r="D45" s="9">
        <v>14786598</v>
      </c>
      <c r="E45" s="9">
        <v>15995695</v>
      </c>
      <c r="F45" s="9">
        <v>15995695</v>
      </c>
      <c r="G45" s="9">
        <v>17212293</v>
      </c>
      <c r="H45" s="9">
        <v>17238537</v>
      </c>
      <c r="I45" s="9">
        <v>17238537</v>
      </c>
      <c r="J45" s="9">
        <v>17343250</v>
      </c>
      <c r="K45" s="9">
        <v>17968810</v>
      </c>
      <c r="L45" s="9">
        <v>17668927</v>
      </c>
      <c r="M45" s="9">
        <v>17680948</v>
      </c>
      <c r="N45" s="9">
        <v>17531466</v>
      </c>
      <c r="O45" s="31">
        <v>17531466</v>
      </c>
      <c r="P45" s="9">
        <v>18601361</v>
      </c>
      <c r="Q45" s="9">
        <v>20281845</v>
      </c>
      <c r="R45" s="9">
        <v>21781845</v>
      </c>
      <c r="S45" s="9">
        <v>21781845</v>
      </c>
      <c r="T45" s="9">
        <v>21781845</v>
      </c>
      <c r="U45" s="9">
        <v>22845585</v>
      </c>
      <c r="V45" s="9">
        <v>22845585</v>
      </c>
      <c r="W45" s="9">
        <v>23351585</v>
      </c>
      <c r="X45" s="9">
        <v>23351585</v>
      </c>
      <c r="Y45" s="9">
        <v>23253275</v>
      </c>
      <c r="Z45" s="9">
        <v>23138555</v>
      </c>
      <c r="AA45" s="9">
        <v>21519945</v>
      </c>
      <c r="AB45" s="31">
        <v>21519945</v>
      </c>
      <c r="AC45" s="9">
        <v>15586123</v>
      </c>
      <c r="AD45" s="9">
        <v>17394161</v>
      </c>
      <c r="AE45" s="9">
        <v>17394161</v>
      </c>
      <c r="AF45" s="9">
        <v>17394161</v>
      </c>
      <c r="AG45" s="9">
        <v>17394161</v>
      </c>
      <c r="AH45" s="9">
        <v>17394161</v>
      </c>
      <c r="AI45" s="9">
        <v>17634186</v>
      </c>
      <c r="AJ45" s="9">
        <v>21619258</v>
      </c>
      <c r="AK45" s="9">
        <v>21619258</v>
      </c>
      <c r="AL45" s="9">
        <v>21689873</v>
      </c>
      <c r="AM45" s="9">
        <v>22130094</v>
      </c>
      <c r="AN45" s="9">
        <v>21852843</v>
      </c>
      <c r="AO45" s="31">
        <v>21852843</v>
      </c>
      <c r="AP45" s="9">
        <v>18727684</v>
      </c>
      <c r="AQ45" s="9">
        <v>18978520</v>
      </c>
      <c r="AR45" s="9">
        <v>17177913</v>
      </c>
      <c r="AS45" s="9">
        <v>16809379</v>
      </c>
      <c r="AT45" s="9">
        <v>16809379</v>
      </c>
      <c r="AU45" s="9">
        <v>17152258</v>
      </c>
      <c r="AV45" s="9">
        <v>17152258</v>
      </c>
      <c r="AW45" s="9">
        <v>18523758</v>
      </c>
      <c r="AX45" s="9">
        <v>18523758</v>
      </c>
      <c r="AY45" s="9">
        <v>18523758</v>
      </c>
      <c r="AZ45" s="9">
        <v>18523758</v>
      </c>
      <c r="BA45" s="9">
        <v>18133751</v>
      </c>
      <c r="BB45" s="31">
        <v>18133751</v>
      </c>
      <c r="BC45" s="9">
        <v>20592601</v>
      </c>
      <c r="BD45" s="9">
        <v>21692601</v>
      </c>
      <c r="BE45" s="9">
        <v>21692601</v>
      </c>
      <c r="BF45" s="9">
        <v>21692601</v>
      </c>
      <c r="BG45" s="9">
        <v>21692601</v>
      </c>
      <c r="BH45" s="9">
        <v>21692601</v>
      </c>
      <c r="BI45" s="9">
        <v>21692601</v>
      </c>
      <c r="BJ45" s="9">
        <v>20913523</v>
      </c>
      <c r="BK45" s="9">
        <v>20913523</v>
      </c>
      <c r="BL45" s="9">
        <v>18364567</v>
      </c>
      <c r="BM45" s="9">
        <v>18364567</v>
      </c>
      <c r="BN45" s="9">
        <v>16740627</v>
      </c>
      <c r="BO45" s="31">
        <v>16740627</v>
      </c>
      <c r="BP45" s="9">
        <v>20891252</v>
      </c>
      <c r="BQ45" s="9">
        <v>20891252</v>
      </c>
      <c r="BR45" s="9">
        <v>19165368</v>
      </c>
      <c r="BS45" s="9">
        <v>19165368</v>
      </c>
      <c r="BT45" s="9">
        <v>19165368</v>
      </c>
      <c r="BU45" s="9">
        <v>18836553</v>
      </c>
      <c r="BV45" s="9">
        <v>18836553</v>
      </c>
      <c r="BW45" s="9">
        <v>18677215</v>
      </c>
      <c r="BX45" s="9">
        <v>18728097</v>
      </c>
      <c r="BY45" s="9">
        <v>18728097</v>
      </c>
      <c r="BZ45" s="9">
        <v>18728097</v>
      </c>
      <c r="CA45" s="9">
        <v>18663289</v>
      </c>
      <c r="CB45" s="31">
        <v>18663289</v>
      </c>
      <c r="CC45" s="9">
        <v>27675314</v>
      </c>
      <c r="CD45" s="9">
        <v>27675314</v>
      </c>
      <c r="CE45" s="9">
        <v>27675314</v>
      </c>
      <c r="CF45" s="9">
        <v>27069236</v>
      </c>
      <c r="CG45" s="9">
        <v>27069236</v>
      </c>
      <c r="CH45" s="9">
        <v>27089471</v>
      </c>
      <c r="CI45" s="9">
        <v>27089471</v>
      </c>
      <c r="CJ45" s="9">
        <v>27089471</v>
      </c>
      <c r="CK45" s="9">
        <v>27162810</v>
      </c>
      <c r="CL45" s="9">
        <v>25367875</v>
      </c>
      <c r="CM45" s="9">
        <v>25367875</v>
      </c>
      <c r="CN45" s="9">
        <v>18602374</v>
      </c>
      <c r="CO45" s="31">
        <v>18602374</v>
      </c>
      <c r="CP45" s="9">
        <v>35490972</v>
      </c>
      <c r="CQ45" s="9">
        <v>35570986</v>
      </c>
      <c r="CR45" s="9">
        <v>35950671</v>
      </c>
      <c r="CS45" s="9">
        <v>36197967</v>
      </c>
      <c r="CT45" s="9">
        <v>36059125</v>
      </c>
      <c r="CU45" s="9">
        <v>37177468</v>
      </c>
      <c r="CV45" s="9">
        <v>37177468</v>
      </c>
      <c r="CW45" s="9">
        <v>37177468</v>
      </c>
      <c r="CX45" s="9">
        <v>37177468</v>
      </c>
      <c r="CY45" s="9">
        <v>36797468</v>
      </c>
      <c r="CZ45" s="9">
        <v>29953458</v>
      </c>
      <c r="DA45" s="9">
        <v>23812324</v>
      </c>
      <c r="DB45" s="31">
        <v>23812324</v>
      </c>
      <c r="DC45" s="9">
        <v>28701287</v>
      </c>
      <c r="DD45" s="9">
        <v>31588212</v>
      </c>
      <c r="DE45" s="9">
        <v>32817357</v>
      </c>
      <c r="DF45" s="9">
        <v>32817357</v>
      </c>
      <c r="DG45" s="9">
        <v>32981716</v>
      </c>
      <c r="DH45" s="9">
        <v>32981716</v>
      </c>
      <c r="DI45" s="9">
        <v>33158944</v>
      </c>
      <c r="DJ45" s="9">
        <v>33158944</v>
      </c>
      <c r="DK45" s="9">
        <v>29588365</v>
      </c>
      <c r="DL45" s="9">
        <v>29630365</v>
      </c>
      <c r="DM45" s="9">
        <v>27837224</v>
      </c>
      <c r="DN45" s="9">
        <v>24477657</v>
      </c>
      <c r="DO45" s="31">
        <v>24477657</v>
      </c>
      <c r="DP45" s="9">
        <v>21698957</v>
      </c>
      <c r="DQ45" s="9">
        <v>23809291</v>
      </c>
      <c r="DR45" s="9">
        <v>23809291</v>
      </c>
      <c r="DS45" s="9">
        <v>23809291</v>
      </c>
      <c r="DT45" s="9">
        <v>23809291</v>
      </c>
      <c r="DU45" s="9">
        <v>23809291</v>
      </c>
      <c r="DV45" s="9">
        <v>23809291</v>
      </c>
      <c r="DW45" s="9">
        <v>23809291</v>
      </c>
      <c r="DX45" s="9">
        <v>23809291</v>
      </c>
      <c r="DY45" s="9">
        <v>23809291</v>
      </c>
      <c r="DZ45" s="9">
        <v>19188762</v>
      </c>
      <c r="EA45" s="9">
        <v>18810220</v>
      </c>
      <c r="EB45" s="31">
        <v>18810220</v>
      </c>
      <c r="EC45" s="9">
        <v>27536485</v>
      </c>
      <c r="ED45" s="9">
        <v>27536485</v>
      </c>
      <c r="EE45" s="9">
        <v>27802859</v>
      </c>
      <c r="EF45" s="9">
        <v>27802859</v>
      </c>
      <c r="EG45" s="9">
        <v>27802859</v>
      </c>
      <c r="EH45" s="9">
        <v>27802859</v>
      </c>
      <c r="EI45" s="9">
        <v>27802859</v>
      </c>
      <c r="EJ45" s="9">
        <v>27802859</v>
      </c>
      <c r="EK45" s="9">
        <v>26759664</v>
      </c>
      <c r="EL45" s="9">
        <v>26759664</v>
      </c>
      <c r="EM45" s="9">
        <v>25442818</v>
      </c>
      <c r="EN45" s="9">
        <v>17300120</v>
      </c>
      <c r="EO45" s="31">
        <v>17300120</v>
      </c>
      <c r="EP45" s="9">
        <v>21901695</v>
      </c>
      <c r="EQ45" s="9">
        <v>23883040</v>
      </c>
      <c r="ER45" s="9">
        <v>23883040</v>
      </c>
      <c r="ES45" s="9">
        <v>23883040</v>
      </c>
      <c r="ET45" s="9">
        <v>23883040</v>
      </c>
      <c r="EU45" s="9">
        <v>20324294</v>
      </c>
      <c r="EV45" s="9">
        <v>20324294</v>
      </c>
      <c r="EW45" s="9">
        <v>20324294</v>
      </c>
      <c r="EX45" s="9">
        <v>20324294</v>
      </c>
      <c r="EY45" s="9">
        <v>16716316</v>
      </c>
      <c r="EZ45" s="9">
        <v>15529632</v>
      </c>
      <c r="FA45" s="9">
        <v>14458089</v>
      </c>
      <c r="FB45" s="31">
        <v>14458089</v>
      </c>
      <c r="FC45" s="9">
        <v>14354883</v>
      </c>
      <c r="FD45" s="9">
        <v>14354883</v>
      </c>
      <c r="FE45" s="9">
        <v>14354883</v>
      </c>
      <c r="FF45" s="9">
        <v>14354883</v>
      </c>
      <c r="FG45" s="9">
        <v>14887377</v>
      </c>
      <c r="FH45" s="9">
        <v>14986549</v>
      </c>
      <c r="FI45" s="9">
        <v>14986549</v>
      </c>
      <c r="FJ45" s="9">
        <v>14986549</v>
      </c>
      <c r="FK45" s="9">
        <v>14986549</v>
      </c>
      <c r="FL45" s="9">
        <v>14986549</v>
      </c>
      <c r="FM45" s="9">
        <v>14986549</v>
      </c>
      <c r="FN45" s="9">
        <v>14986549</v>
      </c>
      <c r="FO45" s="31">
        <v>14986549</v>
      </c>
    </row>
    <row r="46" spans="2:171" x14ac:dyDescent="0.3">
      <c r="B46" s="7" t="s">
        <v>62</v>
      </c>
      <c r="C46" s="9">
        <v>5392166</v>
      </c>
      <c r="D46" s="9">
        <v>5392166</v>
      </c>
      <c r="E46" s="9">
        <v>5496178</v>
      </c>
      <c r="F46" s="9">
        <v>5496178</v>
      </c>
      <c r="G46" s="9">
        <v>5496178</v>
      </c>
      <c r="H46" s="9">
        <v>5496178</v>
      </c>
      <c r="I46" s="9">
        <v>5496178</v>
      </c>
      <c r="J46" s="9">
        <v>5079437</v>
      </c>
      <c r="K46" s="9">
        <v>5261807</v>
      </c>
      <c r="L46" s="9">
        <v>5581936</v>
      </c>
      <c r="M46" s="9">
        <v>5581936</v>
      </c>
      <c r="N46" s="9">
        <v>3640100</v>
      </c>
      <c r="O46" s="31">
        <v>3640100</v>
      </c>
      <c r="P46" s="9">
        <v>5699415</v>
      </c>
      <c r="Q46" s="9">
        <v>7232915</v>
      </c>
      <c r="R46" s="9">
        <v>7285676</v>
      </c>
      <c r="S46" s="9">
        <v>7285676</v>
      </c>
      <c r="T46" s="9">
        <v>7285676</v>
      </c>
      <c r="U46" s="9">
        <v>7434582</v>
      </c>
      <c r="V46" s="9">
        <v>7606552</v>
      </c>
      <c r="W46" s="9">
        <v>7633782</v>
      </c>
      <c r="X46" s="9">
        <v>7448852</v>
      </c>
      <c r="Y46" s="9">
        <v>7605753</v>
      </c>
      <c r="Z46" s="9">
        <v>7605753</v>
      </c>
      <c r="AA46" s="9">
        <v>3826980</v>
      </c>
      <c r="AB46" s="31">
        <v>3826980</v>
      </c>
      <c r="AC46" s="9">
        <v>3539833</v>
      </c>
      <c r="AD46" s="9">
        <v>4083603</v>
      </c>
      <c r="AE46" s="9">
        <v>4083603</v>
      </c>
      <c r="AF46" s="9">
        <v>4822690</v>
      </c>
      <c r="AG46" s="9">
        <v>6359648</v>
      </c>
      <c r="AH46" s="9">
        <v>6359648</v>
      </c>
      <c r="AI46" s="9">
        <v>6515348</v>
      </c>
      <c r="AJ46" s="9">
        <v>6553665</v>
      </c>
      <c r="AK46" s="9">
        <v>6553665</v>
      </c>
      <c r="AL46" s="9">
        <v>6387817</v>
      </c>
      <c r="AM46" s="9">
        <v>6387817</v>
      </c>
      <c r="AN46" s="9">
        <v>5372703</v>
      </c>
      <c r="AO46" s="31">
        <v>5372703</v>
      </c>
      <c r="AP46" s="9">
        <v>5128170</v>
      </c>
      <c r="AQ46" s="9">
        <v>5628627</v>
      </c>
      <c r="AR46" s="9">
        <v>5628627</v>
      </c>
      <c r="AS46" s="9">
        <v>5628627</v>
      </c>
      <c r="AT46" s="9">
        <v>5628627</v>
      </c>
      <c r="AU46" s="9">
        <v>6728763</v>
      </c>
      <c r="AV46" s="9">
        <v>7472297</v>
      </c>
      <c r="AW46" s="9">
        <v>7522797</v>
      </c>
      <c r="AX46" s="9">
        <v>7522797</v>
      </c>
      <c r="AY46" s="9">
        <v>7522797</v>
      </c>
      <c r="AZ46" s="9">
        <v>7563797</v>
      </c>
      <c r="BA46" s="9">
        <v>5152825</v>
      </c>
      <c r="BB46" s="31">
        <v>5152825</v>
      </c>
      <c r="BC46" s="9">
        <v>8270637</v>
      </c>
      <c r="BD46" s="9">
        <v>8850205</v>
      </c>
      <c r="BE46" s="9">
        <v>8942545</v>
      </c>
      <c r="BF46" s="9">
        <v>9610400</v>
      </c>
      <c r="BG46" s="9">
        <v>9610400</v>
      </c>
      <c r="BH46" s="9">
        <v>9650705</v>
      </c>
      <c r="BI46" s="9">
        <v>9752406</v>
      </c>
      <c r="BJ46" s="9">
        <v>10165984</v>
      </c>
      <c r="BK46" s="9">
        <v>10234492</v>
      </c>
      <c r="BL46" s="9">
        <v>10337091</v>
      </c>
      <c r="BM46" s="9">
        <v>10337091</v>
      </c>
      <c r="BN46" s="9">
        <v>6101604</v>
      </c>
      <c r="BO46" s="31">
        <v>6101604</v>
      </c>
      <c r="BP46" s="9">
        <v>3270747</v>
      </c>
      <c r="BQ46" s="9">
        <v>3270747</v>
      </c>
      <c r="BR46" s="9">
        <v>5872626</v>
      </c>
      <c r="BS46" s="9">
        <v>5872626</v>
      </c>
      <c r="BT46" s="9">
        <v>6879890</v>
      </c>
      <c r="BU46" s="9">
        <v>7074275</v>
      </c>
      <c r="BV46" s="9">
        <v>7071862</v>
      </c>
      <c r="BW46" s="9">
        <v>7071862</v>
      </c>
      <c r="BX46" s="9">
        <v>6993652</v>
      </c>
      <c r="BY46" s="9">
        <v>6993652</v>
      </c>
      <c r="BZ46" s="9">
        <v>7081415</v>
      </c>
      <c r="CA46" s="9">
        <v>5829258</v>
      </c>
      <c r="CB46" s="31">
        <v>5829258</v>
      </c>
      <c r="CC46" s="9">
        <v>7655072</v>
      </c>
      <c r="CD46" s="9">
        <v>7655072</v>
      </c>
      <c r="CE46" s="9">
        <v>7655072</v>
      </c>
      <c r="CF46" s="9">
        <v>7050307</v>
      </c>
      <c r="CG46" s="9">
        <v>7050307</v>
      </c>
      <c r="CH46" s="9">
        <v>7254634</v>
      </c>
      <c r="CI46" s="9">
        <v>9782153</v>
      </c>
      <c r="CJ46" s="9">
        <v>9782153</v>
      </c>
      <c r="CK46" s="9">
        <v>9978152</v>
      </c>
      <c r="CL46" s="9">
        <v>9978152</v>
      </c>
      <c r="CM46" s="9">
        <v>9978152</v>
      </c>
      <c r="CN46" s="9">
        <v>6924407</v>
      </c>
      <c r="CO46" s="31">
        <v>6924407</v>
      </c>
      <c r="CP46" s="9">
        <v>12792533</v>
      </c>
      <c r="CQ46" s="9">
        <v>12652191</v>
      </c>
      <c r="CR46" s="9">
        <v>12652191</v>
      </c>
      <c r="CS46" s="9">
        <v>12652191</v>
      </c>
      <c r="CT46" s="9">
        <v>12468744</v>
      </c>
      <c r="CU46" s="9">
        <v>11115840</v>
      </c>
      <c r="CV46" s="9">
        <v>12100869</v>
      </c>
      <c r="CW46" s="9">
        <v>12100869</v>
      </c>
      <c r="CX46" s="9">
        <v>12100869</v>
      </c>
      <c r="CY46" s="9">
        <v>13362040</v>
      </c>
      <c r="CZ46" s="9">
        <v>12117369</v>
      </c>
      <c r="DA46" s="9">
        <v>9734933</v>
      </c>
      <c r="DB46" s="31">
        <v>9734933</v>
      </c>
      <c r="DC46" s="9">
        <v>7213147</v>
      </c>
      <c r="DD46" s="9">
        <v>8126083</v>
      </c>
      <c r="DE46" s="9">
        <v>8126083</v>
      </c>
      <c r="DF46" s="9">
        <v>8220694</v>
      </c>
      <c r="DG46" s="9">
        <v>8271882</v>
      </c>
      <c r="DH46" s="9">
        <v>8286916</v>
      </c>
      <c r="DI46" s="9">
        <v>8286916</v>
      </c>
      <c r="DJ46" s="9">
        <v>8286916</v>
      </c>
      <c r="DK46" s="9">
        <v>8286916</v>
      </c>
      <c r="DL46" s="9">
        <v>9750211</v>
      </c>
      <c r="DM46" s="9">
        <v>7376607</v>
      </c>
      <c r="DN46" s="9">
        <v>5191120</v>
      </c>
      <c r="DO46" s="31">
        <v>5191120</v>
      </c>
      <c r="DP46" s="9">
        <v>8696258</v>
      </c>
      <c r="DQ46" s="9">
        <v>8696258</v>
      </c>
      <c r="DR46" s="9">
        <v>8696258</v>
      </c>
      <c r="DS46" s="9">
        <v>8860817</v>
      </c>
      <c r="DT46" s="9">
        <v>8889917</v>
      </c>
      <c r="DU46" s="9">
        <v>8889917</v>
      </c>
      <c r="DV46" s="9">
        <v>8889917</v>
      </c>
      <c r="DW46" s="9">
        <v>8889917</v>
      </c>
      <c r="DX46" s="9">
        <v>8889917</v>
      </c>
      <c r="DY46" s="9">
        <v>8889917</v>
      </c>
      <c r="DZ46" s="9">
        <v>8889917</v>
      </c>
      <c r="EA46" s="9">
        <v>5694857</v>
      </c>
      <c r="EB46" s="31">
        <v>5694857</v>
      </c>
      <c r="EC46" s="9">
        <v>18841858</v>
      </c>
      <c r="ED46" s="9">
        <v>18841858</v>
      </c>
      <c r="EE46" s="9">
        <v>16341858</v>
      </c>
      <c r="EF46" s="9">
        <v>16341858</v>
      </c>
      <c r="EG46" s="9">
        <v>15315547</v>
      </c>
      <c r="EH46" s="9">
        <v>13380621</v>
      </c>
      <c r="EI46" s="9">
        <v>13464918</v>
      </c>
      <c r="EJ46" s="9">
        <v>13464918</v>
      </c>
      <c r="EK46" s="9">
        <v>13701920</v>
      </c>
      <c r="EL46" s="9">
        <v>13770418</v>
      </c>
      <c r="EM46" s="9">
        <v>13770418</v>
      </c>
      <c r="EN46" s="9">
        <v>7723948</v>
      </c>
      <c r="EO46" s="31">
        <v>7723948</v>
      </c>
      <c r="EP46" s="9">
        <v>15973417</v>
      </c>
      <c r="EQ46" s="9">
        <v>15973417</v>
      </c>
      <c r="ER46" s="9">
        <v>14927033</v>
      </c>
      <c r="ES46" s="9">
        <v>14851439</v>
      </c>
      <c r="ET46" s="9">
        <v>13870575</v>
      </c>
      <c r="EU46" s="9">
        <v>13870575</v>
      </c>
      <c r="EV46" s="9">
        <v>10870575</v>
      </c>
      <c r="EW46" s="9">
        <v>10870575</v>
      </c>
      <c r="EX46" s="9">
        <v>10870575</v>
      </c>
      <c r="EY46" s="9">
        <v>7792083</v>
      </c>
      <c r="EZ46" s="9">
        <v>5648518</v>
      </c>
      <c r="FA46" s="9">
        <v>5494061</v>
      </c>
      <c r="FB46" s="31">
        <v>5494061</v>
      </c>
      <c r="FC46" s="9">
        <v>8237296</v>
      </c>
      <c r="FD46" s="9">
        <v>4954911</v>
      </c>
      <c r="FE46" s="9">
        <v>4954911</v>
      </c>
      <c r="FF46" s="9">
        <v>4954911</v>
      </c>
      <c r="FG46" s="9">
        <v>4954911</v>
      </c>
      <c r="FH46" s="9">
        <v>4954911</v>
      </c>
      <c r="FI46" s="9">
        <v>4954911</v>
      </c>
      <c r="FJ46" s="9">
        <v>4954911</v>
      </c>
      <c r="FK46" s="9">
        <v>4954911</v>
      </c>
      <c r="FL46" s="9">
        <v>4954911</v>
      </c>
      <c r="FM46" s="9">
        <v>4954911</v>
      </c>
      <c r="FN46" s="9">
        <v>4954911</v>
      </c>
      <c r="FO46" s="31">
        <v>4954911</v>
      </c>
    </row>
    <row r="47" spans="2:171" x14ac:dyDescent="0.3">
      <c r="B47" s="7" t="s">
        <v>63</v>
      </c>
      <c r="C47" s="9">
        <v>11406728</v>
      </c>
      <c r="D47" s="9">
        <v>11406728</v>
      </c>
      <c r="E47" s="9">
        <v>11596054</v>
      </c>
      <c r="F47" s="9">
        <v>11596054</v>
      </c>
      <c r="G47" s="9">
        <v>10709092</v>
      </c>
      <c r="H47" s="9">
        <v>10709092</v>
      </c>
      <c r="I47" s="9">
        <v>10709092</v>
      </c>
      <c r="J47" s="9">
        <v>9709092</v>
      </c>
      <c r="K47" s="9">
        <v>10655843</v>
      </c>
      <c r="L47" s="9">
        <v>9272796</v>
      </c>
      <c r="M47" s="9">
        <v>9608738</v>
      </c>
      <c r="N47" s="9">
        <v>10205658</v>
      </c>
      <c r="O47" s="31">
        <v>10205658</v>
      </c>
      <c r="P47" s="9">
        <v>8619188</v>
      </c>
      <c r="Q47" s="9">
        <v>8726852</v>
      </c>
      <c r="R47" s="9">
        <v>8726852</v>
      </c>
      <c r="S47" s="9">
        <v>8071780</v>
      </c>
      <c r="T47" s="9">
        <v>7220648</v>
      </c>
      <c r="U47" s="9">
        <v>6876938</v>
      </c>
      <c r="V47" s="9">
        <v>6876938</v>
      </c>
      <c r="W47" s="9">
        <v>6876938</v>
      </c>
      <c r="X47" s="9">
        <v>6876938</v>
      </c>
      <c r="Y47" s="9">
        <v>7319883</v>
      </c>
      <c r="Z47" s="9">
        <v>7330434</v>
      </c>
      <c r="AA47" s="9">
        <v>7353631</v>
      </c>
      <c r="AB47" s="31">
        <v>7353631</v>
      </c>
      <c r="AC47" s="9">
        <v>8177486</v>
      </c>
      <c r="AD47" s="9">
        <v>8615461</v>
      </c>
      <c r="AE47" s="9">
        <v>8615461</v>
      </c>
      <c r="AF47" s="9">
        <v>8615461</v>
      </c>
      <c r="AG47" s="9">
        <v>6799663</v>
      </c>
      <c r="AH47" s="9">
        <v>6799663</v>
      </c>
      <c r="AI47" s="9">
        <v>7307245</v>
      </c>
      <c r="AJ47" s="9">
        <v>7307245</v>
      </c>
      <c r="AK47" s="9">
        <v>7307245</v>
      </c>
      <c r="AL47" s="9">
        <v>7205749</v>
      </c>
      <c r="AM47" s="9">
        <v>7205749</v>
      </c>
      <c r="AN47" s="9">
        <v>6998201</v>
      </c>
      <c r="AO47" s="31">
        <v>6998201</v>
      </c>
      <c r="AP47" s="9">
        <v>10756255</v>
      </c>
      <c r="AQ47" s="9">
        <v>11373660</v>
      </c>
      <c r="AR47" s="9">
        <v>12022669</v>
      </c>
      <c r="AS47" s="9">
        <v>12197769</v>
      </c>
      <c r="AT47" s="9">
        <v>12911553</v>
      </c>
      <c r="AU47" s="9">
        <v>12911553</v>
      </c>
      <c r="AV47" s="9">
        <v>12911553</v>
      </c>
      <c r="AW47" s="9">
        <v>12911553</v>
      </c>
      <c r="AX47" s="9">
        <v>12921162</v>
      </c>
      <c r="AY47" s="9">
        <v>12855946</v>
      </c>
      <c r="AZ47" s="9">
        <v>12334496</v>
      </c>
      <c r="BA47" s="9">
        <v>12237771</v>
      </c>
      <c r="BB47" s="31">
        <v>12237771</v>
      </c>
      <c r="BC47" s="9">
        <v>11496808</v>
      </c>
      <c r="BD47" s="9">
        <v>11867162</v>
      </c>
      <c r="BE47" s="9">
        <v>11867162</v>
      </c>
      <c r="BF47" s="9">
        <v>11867162</v>
      </c>
      <c r="BG47" s="9">
        <v>11867162</v>
      </c>
      <c r="BH47" s="9">
        <v>11867162</v>
      </c>
      <c r="BI47" s="9">
        <v>11497185</v>
      </c>
      <c r="BJ47" s="9">
        <v>11497185</v>
      </c>
      <c r="BK47" s="9">
        <v>11497185</v>
      </c>
      <c r="BL47" s="9">
        <v>10297185</v>
      </c>
      <c r="BM47" s="9">
        <v>10066422</v>
      </c>
      <c r="BN47" s="9">
        <v>8367091</v>
      </c>
      <c r="BO47" s="31">
        <v>8367091</v>
      </c>
      <c r="BP47" s="9">
        <v>15389832</v>
      </c>
      <c r="BQ47" s="9">
        <v>15389832</v>
      </c>
      <c r="BR47" s="9">
        <v>15190745</v>
      </c>
      <c r="BS47" s="9">
        <v>14987145</v>
      </c>
      <c r="BT47" s="9">
        <v>14987145</v>
      </c>
      <c r="BU47" s="9">
        <v>13966788</v>
      </c>
      <c r="BV47" s="9">
        <v>13944098</v>
      </c>
      <c r="BW47" s="9">
        <v>13375246</v>
      </c>
      <c r="BX47" s="9">
        <v>12516314</v>
      </c>
      <c r="BY47" s="9">
        <v>12516314</v>
      </c>
      <c r="BZ47" s="9">
        <v>12516314</v>
      </c>
      <c r="CA47" s="9">
        <v>11596560</v>
      </c>
      <c r="CB47" s="31">
        <v>11596560</v>
      </c>
      <c r="CC47" s="9">
        <v>12031468</v>
      </c>
      <c r="CD47" s="9">
        <v>12031468</v>
      </c>
      <c r="CE47" s="9">
        <v>12031468</v>
      </c>
      <c r="CF47" s="9">
        <v>12837885</v>
      </c>
      <c r="CG47" s="9">
        <v>12837885</v>
      </c>
      <c r="CH47" s="9">
        <v>12837885</v>
      </c>
      <c r="CI47" s="9">
        <v>12837885</v>
      </c>
      <c r="CJ47" s="9">
        <v>12837885</v>
      </c>
      <c r="CK47" s="9">
        <v>12837885</v>
      </c>
      <c r="CL47" s="9">
        <v>11333156</v>
      </c>
      <c r="CM47" s="9">
        <v>11333156</v>
      </c>
      <c r="CN47" s="9">
        <v>9230697</v>
      </c>
      <c r="CO47" s="31">
        <v>9230697</v>
      </c>
      <c r="CP47" s="9">
        <v>11914112</v>
      </c>
      <c r="CQ47" s="9">
        <v>11776677</v>
      </c>
      <c r="CR47" s="9">
        <v>11776677</v>
      </c>
      <c r="CS47" s="9">
        <v>11777475</v>
      </c>
      <c r="CT47" s="9">
        <v>11777475</v>
      </c>
      <c r="CU47" s="9">
        <v>13201459</v>
      </c>
      <c r="CV47" s="9">
        <v>13201459</v>
      </c>
      <c r="CW47" s="9">
        <v>13201459</v>
      </c>
      <c r="CX47" s="9">
        <v>13201459</v>
      </c>
      <c r="CY47" s="9">
        <v>14214829</v>
      </c>
      <c r="CZ47" s="9">
        <v>12939967</v>
      </c>
      <c r="DA47" s="9">
        <v>10741343</v>
      </c>
      <c r="DB47" s="31">
        <v>10741343</v>
      </c>
      <c r="DC47" s="9">
        <v>14902342</v>
      </c>
      <c r="DD47" s="9">
        <v>19316051</v>
      </c>
      <c r="DE47" s="9">
        <v>19316051</v>
      </c>
      <c r="DF47" s="9">
        <v>19316051</v>
      </c>
      <c r="DG47" s="9">
        <v>19244386</v>
      </c>
      <c r="DH47" s="9">
        <v>19174386</v>
      </c>
      <c r="DI47" s="9">
        <v>16328330</v>
      </c>
      <c r="DJ47" s="9">
        <v>16328330</v>
      </c>
      <c r="DK47" s="9">
        <v>16328330</v>
      </c>
      <c r="DL47" s="9">
        <v>16328330</v>
      </c>
      <c r="DM47" s="9">
        <v>12234667</v>
      </c>
      <c r="DN47" s="9">
        <v>9450641</v>
      </c>
      <c r="DO47" s="31">
        <v>9450641</v>
      </c>
      <c r="DP47" s="9">
        <v>22127832</v>
      </c>
      <c r="DQ47" s="9">
        <v>22959758</v>
      </c>
      <c r="DR47" s="9">
        <v>22959758</v>
      </c>
      <c r="DS47" s="9">
        <v>22959758</v>
      </c>
      <c r="DT47" s="9">
        <v>24837247</v>
      </c>
      <c r="DU47" s="9">
        <v>24837247</v>
      </c>
      <c r="DV47" s="9">
        <v>24837247</v>
      </c>
      <c r="DW47" s="9">
        <v>24837247</v>
      </c>
      <c r="DX47" s="9">
        <v>24837247</v>
      </c>
      <c r="DY47" s="9">
        <v>24837247</v>
      </c>
      <c r="DZ47" s="9">
        <v>24074302</v>
      </c>
      <c r="EA47" s="9">
        <v>13086048</v>
      </c>
      <c r="EB47" s="31">
        <v>13086048</v>
      </c>
      <c r="EC47" s="9">
        <v>22256093</v>
      </c>
      <c r="ED47" s="9">
        <v>22256093</v>
      </c>
      <c r="EE47" s="9">
        <v>22256093</v>
      </c>
      <c r="EF47" s="9">
        <v>22256093</v>
      </c>
      <c r="EG47" s="9">
        <v>22356143</v>
      </c>
      <c r="EH47" s="9">
        <v>23540375</v>
      </c>
      <c r="EI47" s="9">
        <v>23790875</v>
      </c>
      <c r="EJ47" s="9">
        <v>23790875</v>
      </c>
      <c r="EK47" s="9">
        <v>22870441</v>
      </c>
      <c r="EL47" s="9">
        <v>22870441</v>
      </c>
      <c r="EM47" s="9">
        <v>20253560</v>
      </c>
      <c r="EN47" s="9">
        <v>17985481</v>
      </c>
      <c r="EO47" s="31">
        <v>17985481</v>
      </c>
      <c r="EP47" s="9">
        <v>21184028</v>
      </c>
      <c r="EQ47" s="9">
        <v>21881248</v>
      </c>
      <c r="ER47" s="9">
        <v>21881248</v>
      </c>
      <c r="ES47" s="9">
        <v>21881248</v>
      </c>
      <c r="ET47" s="9">
        <v>21881248</v>
      </c>
      <c r="EU47" s="9">
        <v>14331165</v>
      </c>
      <c r="EV47" s="9">
        <v>14331165</v>
      </c>
      <c r="EW47" s="9">
        <v>14331165</v>
      </c>
      <c r="EX47" s="9">
        <v>14331165</v>
      </c>
      <c r="EY47" s="9">
        <v>14275594</v>
      </c>
      <c r="EZ47" s="9">
        <v>14275594</v>
      </c>
      <c r="FA47" s="9">
        <v>14465044</v>
      </c>
      <c r="FB47" s="31">
        <v>14465044</v>
      </c>
      <c r="FC47" s="9">
        <v>24770394</v>
      </c>
      <c r="FD47" s="9">
        <v>24770394</v>
      </c>
      <c r="FE47" s="9">
        <v>24770394</v>
      </c>
      <c r="FF47" s="9">
        <v>24770394</v>
      </c>
      <c r="FG47" s="9">
        <v>25550699</v>
      </c>
      <c r="FH47" s="9">
        <v>25550699</v>
      </c>
      <c r="FI47" s="9">
        <v>26178453</v>
      </c>
      <c r="FJ47" s="9">
        <v>26178453</v>
      </c>
      <c r="FK47" s="9">
        <v>26178453</v>
      </c>
      <c r="FL47" s="9">
        <v>26178453</v>
      </c>
      <c r="FM47" s="9">
        <v>26178453</v>
      </c>
      <c r="FN47" s="9">
        <v>26178453</v>
      </c>
      <c r="FO47" s="31">
        <v>26178453</v>
      </c>
    </row>
    <row r="48" spans="2:171" x14ac:dyDescent="0.3">
      <c r="B48" s="11" t="s">
        <v>119</v>
      </c>
      <c r="C48" s="13">
        <f t="shared" ref="C48:AH48" si="6">SUM(C30:C47)</f>
        <v>350781874</v>
      </c>
      <c r="D48" s="13">
        <f t="shared" si="6"/>
        <v>350781874</v>
      </c>
      <c r="E48" s="13">
        <f t="shared" si="6"/>
        <v>352072796</v>
      </c>
      <c r="F48" s="13">
        <f t="shared" si="6"/>
        <v>352072796</v>
      </c>
      <c r="G48" s="13">
        <f t="shared" si="6"/>
        <v>351719524</v>
      </c>
      <c r="H48" s="13">
        <f t="shared" si="6"/>
        <v>359519524</v>
      </c>
      <c r="I48" s="13">
        <f t="shared" si="6"/>
        <v>359519524</v>
      </c>
      <c r="J48" s="13">
        <f t="shared" si="6"/>
        <v>355194489</v>
      </c>
      <c r="K48" s="13">
        <f t="shared" si="6"/>
        <v>354389421</v>
      </c>
      <c r="L48" s="13">
        <f t="shared" si="6"/>
        <v>353945873</v>
      </c>
      <c r="M48" s="13">
        <f t="shared" si="6"/>
        <v>347517884</v>
      </c>
      <c r="N48" s="13">
        <f t="shared" si="6"/>
        <v>326525395</v>
      </c>
      <c r="O48" s="13">
        <f t="shared" si="6"/>
        <v>326525395</v>
      </c>
      <c r="P48" s="13">
        <f t="shared" si="6"/>
        <v>433896298</v>
      </c>
      <c r="Q48" s="13">
        <f t="shared" si="6"/>
        <v>435984281</v>
      </c>
      <c r="R48" s="13">
        <f t="shared" si="6"/>
        <v>437537360</v>
      </c>
      <c r="S48" s="13">
        <f t="shared" si="6"/>
        <v>437537360</v>
      </c>
      <c r="T48" s="13">
        <f t="shared" si="6"/>
        <v>437477360</v>
      </c>
      <c r="U48" s="13">
        <f t="shared" si="6"/>
        <v>437477360</v>
      </c>
      <c r="V48" s="13">
        <f t="shared" si="6"/>
        <v>437477360</v>
      </c>
      <c r="W48" s="13">
        <f t="shared" si="6"/>
        <v>432201677</v>
      </c>
      <c r="X48" s="13">
        <f t="shared" si="6"/>
        <v>430105038</v>
      </c>
      <c r="Y48" s="13">
        <f t="shared" si="6"/>
        <v>425125921</v>
      </c>
      <c r="Z48" s="13">
        <f t="shared" si="6"/>
        <v>426241632</v>
      </c>
      <c r="AA48" s="13">
        <f t="shared" si="6"/>
        <v>388641307</v>
      </c>
      <c r="AB48" s="13">
        <f t="shared" si="6"/>
        <v>388641307</v>
      </c>
      <c r="AC48" s="13">
        <f t="shared" si="6"/>
        <v>399195398</v>
      </c>
      <c r="AD48" s="13">
        <f t="shared" si="6"/>
        <v>405005830</v>
      </c>
      <c r="AE48" s="13">
        <f t="shared" si="6"/>
        <v>405005830</v>
      </c>
      <c r="AF48" s="13">
        <f t="shared" si="6"/>
        <v>405005830</v>
      </c>
      <c r="AG48" s="13">
        <f t="shared" si="6"/>
        <v>406079778</v>
      </c>
      <c r="AH48" s="13">
        <f t="shared" si="6"/>
        <v>406079778</v>
      </c>
      <c r="AI48" s="13">
        <f t="shared" ref="AI48:BN48" si="7">SUM(AI30:AI47)</f>
        <v>406079778</v>
      </c>
      <c r="AJ48" s="13">
        <f t="shared" si="7"/>
        <v>414449167</v>
      </c>
      <c r="AK48" s="13">
        <f t="shared" si="7"/>
        <v>414492837</v>
      </c>
      <c r="AL48" s="13">
        <f t="shared" si="7"/>
        <v>411682786</v>
      </c>
      <c r="AM48" s="13">
        <f t="shared" si="7"/>
        <v>409061562</v>
      </c>
      <c r="AN48" s="13">
        <f t="shared" si="7"/>
        <v>398977696</v>
      </c>
      <c r="AO48" s="13">
        <f t="shared" si="7"/>
        <v>398977696</v>
      </c>
      <c r="AP48" s="13">
        <f t="shared" si="7"/>
        <v>452613545</v>
      </c>
      <c r="AQ48" s="13">
        <f t="shared" si="7"/>
        <v>460428748</v>
      </c>
      <c r="AR48" s="13">
        <f t="shared" si="7"/>
        <v>460053622</v>
      </c>
      <c r="AS48" s="13">
        <f t="shared" si="7"/>
        <v>458529646</v>
      </c>
      <c r="AT48" s="13">
        <f t="shared" si="7"/>
        <v>463524646</v>
      </c>
      <c r="AU48" s="13">
        <f t="shared" si="7"/>
        <v>463493237</v>
      </c>
      <c r="AV48" s="13">
        <f t="shared" si="7"/>
        <v>460079405</v>
      </c>
      <c r="AW48" s="13">
        <f t="shared" si="7"/>
        <v>458034288</v>
      </c>
      <c r="AX48" s="13">
        <f t="shared" si="7"/>
        <v>455666681</v>
      </c>
      <c r="AY48" s="13">
        <f t="shared" si="7"/>
        <v>454078509</v>
      </c>
      <c r="AZ48" s="13">
        <f t="shared" si="7"/>
        <v>444616095</v>
      </c>
      <c r="BA48" s="13">
        <f t="shared" si="7"/>
        <v>412838205</v>
      </c>
      <c r="BB48" s="13">
        <f t="shared" si="7"/>
        <v>412838205</v>
      </c>
      <c r="BC48" s="13">
        <f t="shared" si="7"/>
        <v>440734738</v>
      </c>
      <c r="BD48" s="13">
        <f t="shared" si="7"/>
        <v>443035308</v>
      </c>
      <c r="BE48" s="13">
        <f t="shared" si="7"/>
        <v>443035308</v>
      </c>
      <c r="BF48" s="13">
        <f t="shared" si="7"/>
        <v>443035308</v>
      </c>
      <c r="BG48" s="13">
        <f t="shared" si="7"/>
        <v>442632400</v>
      </c>
      <c r="BH48" s="13">
        <f t="shared" si="7"/>
        <v>442632400</v>
      </c>
      <c r="BI48" s="13">
        <f t="shared" si="7"/>
        <v>442235145</v>
      </c>
      <c r="BJ48" s="13">
        <f t="shared" si="7"/>
        <v>442235145</v>
      </c>
      <c r="BK48" s="13">
        <f t="shared" si="7"/>
        <v>442235145</v>
      </c>
      <c r="BL48" s="13">
        <f t="shared" si="7"/>
        <v>428807010</v>
      </c>
      <c r="BM48" s="13">
        <f t="shared" si="7"/>
        <v>427372983</v>
      </c>
      <c r="BN48" s="13">
        <f t="shared" si="7"/>
        <v>367572713</v>
      </c>
      <c r="BO48" s="13">
        <f t="shared" ref="BO48:CT48" si="8">SUM(BO30:BO47)</f>
        <v>367572713</v>
      </c>
      <c r="BP48" s="13">
        <f t="shared" si="8"/>
        <v>395848768</v>
      </c>
      <c r="BQ48" s="13">
        <f t="shared" si="8"/>
        <v>395848768</v>
      </c>
      <c r="BR48" s="13">
        <f t="shared" si="8"/>
        <v>390827634</v>
      </c>
      <c r="BS48" s="13">
        <f t="shared" si="8"/>
        <v>390827634</v>
      </c>
      <c r="BT48" s="13">
        <f t="shared" si="8"/>
        <v>390677179</v>
      </c>
      <c r="BU48" s="13">
        <f t="shared" si="8"/>
        <v>391377179</v>
      </c>
      <c r="BV48" s="13">
        <f t="shared" si="8"/>
        <v>393586899</v>
      </c>
      <c r="BW48" s="13">
        <f t="shared" si="8"/>
        <v>396015191</v>
      </c>
      <c r="BX48" s="13">
        <f t="shared" si="8"/>
        <v>395818534</v>
      </c>
      <c r="BY48" s="13">
        <f t="shared" si="8"/>
        <v>411012770</v>
      </c>
      <c r="BZ48" s="13">
        <f t="shared" si="8"/>
        <v>410638690</v>
      </c>
      <c r="CA48" s="13">
        <f t="shared" si="8"/>
        <v>376032649</v>
      </c>
      <c r="CB48" s="13">
        <f t="shared" si="8"/>
        <v>376032649</v>
      </c>
      <c r="CC48" s="13">
        <f t="shared" si="8"/>
        <v>442669895</v>
      </c>
      <c r="CD48" s="13">
        <f t="shared" si="8"/>
        <v>442669895</v>
      </c>
      <c r="CE48" s="13">
        <f t="shared" si="8"/>
        <v>453119895</v>
      </c>
      <c r="CF48" s="13">
        <f t="shared" si="8"/>
        <v>450771012</v>
      </c>
      <c r="CG48" s="13">
        <f t="shared" si="8"/>
        <v>450771012</v>
      </c>
      <c r="CH48" s="13">
        <f t="shared" si="8"/>
        <v>451117219</v>
      </c>
      <c r="CI48" s="13">
        <f t="shared" si="8"/>
        <v>452110232</v>
      </c>
      <c r="CJ48" s="13">
        <f t="shared" si="8"/>
        <v>452110232</v>
      </c>
      <c r="CK48" s="13">
        <f t="shared" si="8"/>
        <v>436486414</v>
      </c>
      <c r="CL48" s="13">
        <f t="shared" si="8"/>
        <v>434826086</v>
      </c>
      <c r="CM48" s="13">
        <f t="shared" si="8"/>
        <v>433436202</v>
      </c>
      <c r="CN48" s="13">
        <f t="shared" si="8"/>
        <v>373688239</v>
      </c>
      <c r="CO48" s="13">
        <f t="shared" si="8"/>
        <v>373688239</v>
      </c>
      <c r="CP48" s="13">
        <f t="shared" si="8"/>
        <v>600298724</v>
      </c>
      <c r="CQ48" s="13">
        <f t="shared" si="8"/>
        <v>607271724</v>
      </c>
      <c r="CR48" s="13">
        <f t="shared" si="8"/>
        <v>609033724</v>
      </c>
      <c r="CS48" s="13">
        <f t="shared" si="8"/>
        <v>609033724</v>
      </c>
      <c r="CT48" s="13">
        <f t="shared" si="8"/>
        <v>608005946</v>
      </c>
      <c r="CU48" s="13">
        <f t="shared" ref="CU48:DZ48" si="9">SUM(CU30:CU47)</f>
        <v>608005946</v>
      </c>
      <c r="CV48" s="13">
        <f t="shared" si="9"/>
        <v>608005946</v>
      </c>
      <c r="CW48" s="13">
        <f t="shared" si="9"/>
        <v>608005946</v>
      </c>
      <c r="CX48" s="13">
        <f t="shared" si="9"/>
        <v>607790799</v>
      </c>
      <c r="CY48" s="13">
        <f t="shared" si="9"/>
        <v>600750001</v>
      </c>
      <c r="CZ48" s="13">
        <f t="shared" si="9"/>
        <v>567281299</v>
      </c>
      <c r="DA48" s="13">
        <f t="shared" si="9"/>
        <v>476378343</v>
      </c>
      <c r="DB48" s="13">
        <f t="shared" si="9"/>
        <v>476378343</v>
      </c>
      <c r="DC48" s="13">
        <f t="shared" si="9"/>
        <v>532634315</v>
      </c>
      <c r="DD48" s="13">
        <f t="shared" si="9"/>
        <v>602694184</v>
      </c>
      <c r="DE48" s="13">
        <f t="shared" si="9"/>
        <v>602694184</v>
      </c>
      <c r="DF48" s="13">
        <f t="shared" si="9"/>
        <v>602694184</v>
      </c>
      <c r="DG48" s="13">
        <f t="shared" si="9"/>
        <v>602648934</v>
      </c>
      <c r="DH48" s="13">
        <f t="shared" si="9"/>
        <v>602578934</v>
      </c>
      <c r="DI48" s="13">
        <f t="shared" si="9"/>
        <v>594977728</v>
      </c>
      <c r="DJ48" s="13">
        <f t="shared" si="9"/>
        <v>595065228</v>
      </c>
      <c r="DK48" s="13">
        <f t="shared" si="9"/>
        <v>548057305</v>
      </c>
      <c r="DL48" s="13">
        <f t="shared" si="9"/>
        <v>547463992</v>
      </c>
      <c r="DM48" s="13">
        <f t="shared" si="9"/>
        <v>459477452</v>
      </c>
      <c r="DN48" s="13">
        <f t="shared" si="9"/>
        <v>399349889</v>
      </c>
      <c r="DO48" s="13">
        <f t="shared" si="9"/>
        <v>399349889</v>
      </c>
      <c r="DP48" s="13">
        <f t="shared" si="9"/>
        <v>542047913</v>
      </c>
      <c r="DQ48" s="13">
        <f t="shared" si="9"/>
        <v>542047913</v>
      </c>
      <c r="DR48" s="13">
        <f t="shared" si="9"/>
        <v>542047913</v>
      </c>
      <c r="DS48" s="13">
        <f t="shared" si="9"/>
        <v>542047913</v>
      </c>
      <c r="DT48" s="13">
        <f t="shared" si="9"/>
        <v>542047913</v>
      </c>
      <c r="DU48" s="13">
        <f t="shared" si="9"/>
        <v>542039339</v>
      </c>
      <c r="DV48" s="13">
        <f t="shared" si="9"/>
        <v>542039339</v>
      </c>
      <c r="DW48" s="13">
        <f t="shared" si="9"/>
        <v>542039339</v>
      </c>
      <c r="DX48" s="13">
        <f t="shared" si="9"/>
        <v>542039339</v>
      </c>
      <c r="DY48" s="13">
        <f t="shared" si="9"/>
        <v>542039339</v>
      </c>
      <c r="DZ48" s="13">
        <f t="shared" si="9"/>
        <v>480711064</v>
      </c>
      <c r="EA48" s="13">
        <f t="shared" ref="EA48:FF48" si="10">SUM(EA30:EA47)</f>
        <v>383509170</v>
      </c>
      <c r="EB48" s="13">
        <f t="shared" si="10"/>
        <v>383509170</v>
      </c>
      <c r="EC48" s="13">
        <f t="shared" si="10"/>
        <v>560704016</v>
      </c>
      <c r="ED48" s="13">
        <f t="shared" si="10"/>
        <v>560704016</v>
      </c>
      <c r="EE48" s="13">
        <f t="shared" si="10"/>
        <v>554137127</v>
      </c>
      <c r="EF48" s="13">
        <f t="shared" si="10"/>
        <v>554137127</v>
      </c>
      <c r="EG48" s="13">
        <f t="shared" si="10"/>
        <v>554044215</v>
      </c>
      <c r="EH48" s="13">
        <f t="shared" si="10"/>
        <v>550993017</v>
      </c>
      <c r="EI48" s="13">
        <f t="shared" si="10"/>
        <v>550993017</v>
      </c>
      <c r="EJ48" s="13">
        <f t="shared" si="10"/>
        <v>553862808</v>
      </c>
      <c r="EK48" s="13">
        <f t="shared" si="10"/>
        <v>553682808</v>
      </c>
      <c r="EL48" s="13">
        <f t="shared" si="10"/>
        <v>554017071</v>
      </c>
      <c r="EM48" s="13">
        <f t="shared" si="10"/>
        <v>524968049</v>
      </c>
      <c r="EN48" s="13">
        <f t="shared" si="10"/>
        <v>400142072</v>
      </c>
      <c r="EO48" s="13">
        <f t="shared" si="10"/>
        <v>400142072</v>
      </c>
      <c r="EP48" s="13">
        <f t="shared" si="10"/>
        <v>502221494</v>
      </c>
      <c r="EQ48" s="13">
        <f t="shared" si="10"/>
        <v>511796438</v>
      </c>
      <c r="ER48" s="13">
        <f t="shared" si="10"/>
        <v>511796438</v>
      </c>
      <c r="ES48" s="13">
        <f t="shared" si="10"/>
        <v>513447489</v>
      </c>
      <c r="ET48" s="13">
        <f t="shared" si="10"/>
        <v>513447489</v>
      </c>
      <c r="EU48" s="13">
        <f t="shared" si="10"/>
        <v>514186998</v>
      </c>
      <c r="EV48" s="13">
        <f t="shared" si="10"/>
        <v>499186998</v>
      </c>
      <c r="EW48" s="13">
        <f t="shared" si="10"/>
        <v>499186998</v>
      </c>
      <c r="EX48" s="13">
        <f t="shared" si="10"/>
        <v>499186998</v>
      </c>
      <c r="EY48" s="13">
        <f t="shared" si="10"/>
        <v>476686865</v>
      </c>
      <c r="EZ48" s="13">
        <f t="shared" si="10"/>
        <v>476686865</v>
      </c>
      <c r="FA48" s="13">
        <f t="shared" si="10"/>
        <v>439708851</v>
      </c>
      <c r="FB48" s="13">
        <f t="shared" si="10"/>
        <v>439708851</v>
      </c>
      <c r="FC48" s="13">
        <f t="shared" si="10"/>
        <v>484142190</v>
      </c>
      <c r="FD48" s="13">
        <f t="shared" si="10"/>
        <v>464833607</v>
      </c>
      <c r="FE48" s="13">
        <f t="shared" si="10"/>
        <v>465805539</v>
      </c>
      <c r="FF48" s="13">
        <f t="shared" si="10"/>
        <v>465805539</v>
      </c>
      <c r="FG48" s="13">
        <f t="shared" ref="FG48:GL48" si="11">SUM(FG30:FG47)</f>
        <v>466123713</v>
      </c>
      <c r="FH48" s="13">
        <f t="shared" si="11"/>
        <v>466611123</v>
      </c>
      <c r="FI48" s="13">
        <f t="shared" si="11"/>
        <v>466611123</v>
      </c>
      <c r="FJ48" s="13">
        <f t="shared" si="11"/>
        <v>466611123</v>
      </c>
      <c r="FK48" s="13">
        <f t="shared" si="11"/>
        <v>466611123</v>
      </c>
      <c r="FL48" s="13">
        <f t="shared" si="11"/>
        <v>466611123</v>
      </c>
      <c r="FM48" s="13">
        <f t="shared" si="11"/>
        <v>466611123</v>
      </c>
      <c r="FN48" s="13">
        <f t="shared" si="11"/>
        <v>466611123</v>
      </c>
      <c r="FO48" s="13">
        <f t="shared" si="11"/>
        <v>466611123</v>
      </c>
    </row>
    <row r="49" spans="2:171" x14ac:dyDescent="0.3">
      <c r="B49" s="5" t="s">
        <v>120</v>
      </c>
    </row>
    <row r="50" spans="2:171" x14ac:dyDescent="0.3">
      <c r="C50" s="49" t="s">
        <v>90</v>
      </c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49" t="s">
        <v>91</v>
      </c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49" t="s">
        <v>92</v>
      </c>
      <c r="AD50" s="50"/>
      <c r="AE50" s="50"/>
      <c r="AF50" s="50"/>
      <c r="AG50" s="50"/>
      <c r="AH50" s="50"/>
      <c r="AI50" s="50"/>
      <c r="AJ50" s="50"/>
      <c r="AK50" s="50"/>
      <c r="AL50" s="50"/>
      <c r="AM50" s="50"/>
      <c r="AN50" s="50"/>
      <c r="AO50" s="50"/>
      <c r="AP50" s="49" t="s">
        <v>93</v>
      </c>
      <c r="AQ50" s="50"/>
      <c r="AR50" s="50"/>
      <c r="AS50" s="50"/>
      <c r="AT50" s="50"/>
      <c r="AU50" s="50"/>
      <c r="AV50" s="50"/>
      <c r="AW50" s="50"/>
      <c r="AX50" s="50"/>
      <c r="AY50" s="50"/>
      <c r="AZ50" s="50"/>
      <c r="BA50" s="50"/>
      <c r="BB50" s="50"/>
      <c r="BC50" s="49" t="s">
        <v>94</v>
      </c>
      <c r="BD50" s="50"/>
      <c r="BE50" s="50"/>
      <c r="BF50" s="50"/>
      <c r="BG50" s="50"/>
      <c r="BH50" s="50"/>
      <c r="BI50" s="50"/>
      <c r="BJ50" s="50"/>
      <c r="BK50" s="50"/>
      <c r="BL50" s="50"/>
      <c r="BM50" s="50"/>
      <c r="BN50" s="50"/>
      <c r="BO50" s="50"/>
      <c r="BP50" s="49" t="s">
        <v>95</v>
      </c>
      <c r="BQ50" s="50"/>
      <c r="BR50" s="50"/>
      <c r="BS50" s="50"/>
      <c r="BT50" s="50"/>
      <c r="BU50" s="50"/>
      <c r="BV50" s="50"/>
      <c r="BW50" s="50"/>
      <c r="BX50" s="50"/>
      <c r="BY50" s="50"/>
      <c r="BZ50" s="50"/>
      <c r="CA50" s="50"/>
      <c r="CB50" s="50"/>
      <c r="CC50" s="49" t="s">
        <v>96</v>
      </c>
      <c r="CD50" s="50"/>
      <c r="CE50" s="50"/>
      <c r="CF50" s="50"/>
      <c r="CG50" s="50"/>
      <c r="CH50" s="50"/>
      <c r="CI50" s="50"/>
      <c r="CJ50" s="50"/>
      <c r="CK50" s="50"/>
      <c r="CL50" s="50"/>
      <c r="CM50" s="50"/>
      <c r="CN50" s="50"/>
      <c r="CO50" s="50"/>
      <c r="CP50" s="49" t="s">
        <v>97</v>
      </c>
      <c r="CQ50" s="50"/>
      <c r="CR50" s="50"/>
      <c r="CS50" s="50"/>
      <c r="CT50" s="50"/>
      <c r="CU50" s="50"/>
      <c r="CV50" s="50"/>
      <c r="CW50" s="50"/>
      <c r="CX50" s="50"/>
      <c r="CY50" s="50"/>
      <c r="CZ50" s="50"/>
      <c r="DA50" s="50"/>
      <c r="DB50" s="50"/>
      <c r="DC50" s="49" t="s">
        <v>98</v>
      </c>
      <c r="DD50" s="50"/>
      <c r="DE50" s="50"/>
      <c r="DF50" s="50"/>
      <c r="DG50" s="50"/>
      <c r="DH50" s="50"/>
      <c r="DI50" s="50"/>
      <c r="DJ50" s="50"/>
      <c r="DK50" s="50"/>
      <c r="DL50" s="50"/>
      <c r="DM50" s="50"/>
      <c r="DN50" s="50"/>
      <c r="DO50" s="50"/>
      <c r="DP50" s="49" t="s">
        <v>99</v>
      </c>
      <c r="DQ50" s="50"/>
      <c r="DR50" s="50"/>
      <c r="DS50" s="50"/>
      <c r="DT50" s="50"/>
      <c r="DU50" s="50"/>
      <c r="DV50" s="50"/>
      <c r="DW50" s="50"/>
      <c r="DX50" s="50"/>
      <c r="DY50" s="50"/>
      <c r="DZ50" s="50"/>
      <c r="EA50" s="50"/>
      <c r="EB50" s="50"/>
      <c r="EC50" s="49" t="s">
        <v>100</v>
      </c>
      <c r="ED50" s="50"/>
      <c r="EE50" s="50"/>
      <c r="EF50" s="50"/>
      <c r="EG50" s="50"/>
      <c r="EH50" s="50"/>
      <c r="EI50" s="50"/>
      <c r="EJ50" s="50"/>
      <c r="EK50" s="50"/>
      <c r="EL50" s="50"/>
      <c r="EM50" s="50"/>
      <c r="EN50" s="50"/>
      <c r="EO50" s="50"/>
      <c r="EP50" s="49" t="s">
        <v>101</v>
      </c>
      <c r="EQ50" s="50"/>
      <c r="ER50" s="50"/>
      <c r="ES50" s="50"/>
      <c r="ET50" s="50"/>
      <c r="EU50" s="50"/>
      <c r="EV50" s="50"/>
      <c r="EW50" s="50"/>
      <c r="EX50" s="50"/>
      <c r="EY50" s="50"/>
      <c r="EZ50" s="50"/>
      <c r="FA50" s="50"/>
      <c r="FB50" s="50"/>
      <c r="FC50" s="49" t="s">
        <v>102</v>
      </c>
      <c r="FD50" s="50"/>
      <c r="FE50" s="50"/>
      <c r="FF50" s="50"/>
      <c r="FG50" s="50"/>
      <c r="FH50" s="50"/>
      <c r="FI50" s="50"/>
      <c r="FJ50" s="50"/>
      <c r="FK50" s="50"/>
      <c r="FL50" s="50"/>
      <c r="FM50" s="50"/>
      <c r="FN50" s="50"/>
      <c r="FO50" s="50"/>
    </row>
    <row r="51" spans="2:171" x14ac:dyDescent="0.3">
      <c r="B51" s="19" t="s">
        <v>103</v>
      </c>
      <c r="C51" s="30" t="s">
        <v>67</v>
      </c>
      <c r="D51" s="30" t="s">
        <v>68</v>
      </c>
      <c r="E51" s="30" t="s">
        <v>69</v>
      </c>
      <c r="F51" s="30" t="s">
        <v>70</v>
      </c>
      <c r="G51" s="30" t="s">
        <v>71</v>
      </c>
      <c r="H51" s="30" t="s">
        <v>72</v>
      </c>
      <c r="I51" s="30" t="s">
        <v>73</v>
      </c>
      <c r="J51" s="30" t="s">
        <v>74</v>
      </c>
      <c r="K51" s="30" t="s">
        <v>75</v>
      </c>
      <c r="L51" s="30" t="s">
        <v>76</v>
      </c>
      <c r="M51" s="30" t="s">
        <v>77</v>
      </c>
      <c r="N51" s="30" t="s">
        <v>78</v>
      </c>
      <c r="O51" s="30" t="s">
        <v>104</v>
      </c>
      <c r="P51" s="30" t="s">
        <v>67</v>
      </c>
      <c r="Q51" s="30" t="s">
        <v>68</v>
      </c>
      <c r="R51" s="30" t="s">
        <v>69</v>
      </c>
      <c r="S51" s="30" t="s">
        <v>70</v>
      </c>
      <c r="T51" s="30" t="s">
        <v>71</v>
      </c>
      <c r="U51" s="30" t="s">
        <v>72</v>
      </c>
      <c r="V51" s="30" t="s">
        <v>73</v>
      </c>
      <c r="W51" s="30" t="s">
        <v>74</v>
      </c>
      <c r="X51" s="30" t="s">
        <v>75</v>
      </c>
      <c r="Y51" s="30" t="s">
        <v>76</v>
      </c>
      <c r="Z51" s="30" t="s">
        <v>77</v>
      </c>
      <c r="AA51" s="30" t="s">
        <v>78</v>
      </c>
      <c r="AB51" s="30" t="s">
        <v>105</v>
      </c>
      <c r="AC51" s="30" t="s">
        <v>67</v>
      </c>
      <c r="AD51" s="30" t="s">
        <v>68</v>
      </c>
      <c r="AE51" s="30" t="s">
        <v>69</v>
      </c>
      <c r="AF51" s="30" t="s">
        <v>70</v>
      </c>
      <c r="AG51" s="30" t="s">
        <v>71</v>
      </c>
      <c r="AH51" s="30" t="s">
        <v>72</v>
      </c>
      <c r="AI51" s="30" t="s">
        <v>73</v>
      </c>
      <c r="AJ51" s="30" t="s">
        <v>74</v>
      </c>
      <c r="AK51" s="30" t="s">
        <v>75</v>
      </c>
      <c r="AL51" s="30" t="s">
        <v>76</v>
      </c>
      <c r="AM51" s="30" t="s">
        <v>77</v>
      </c>
      <c r="AN51" s="30" t="s">
        <v>78</v>
      </c>
      <c r="AO51" s="30" t="s">
        <v>106</v>
      </c>
      <c r="AP51" s="30" t="s">
        <v>67</v>
      </c>
      <c r="AQ51" s="30" t="s">
        <v>68</v>
      </c>
      <c r="AR51" s="30" t="s">
        <v>69</v>
      </c>
      <c r="AS51" s="30" t="s">
        <v>70</v>
      </c>
      <c r="AT51" s="30" t="s">
        <v>71</v>
      </c>
      <c r="AU51" s="30" t="s">
        <v>72</v>
      </c>
      <c r="AV51" s="30" t="s">
        <v>73</v>
      </c>
      <c r="AW51" s="30" t="s">
        <v>74</v>
      </c>
      <c r="AX51" s="30" t="s">
        <v>75</v>
      </c>
      <c r="AY51" s="30" t="s">
        <v>76</v>
      </c>
      <c r="AZ51" s="30" t="s">
        <v>77</v>
      </c>
      <c r="BA51" s="30" t="s">
        <v>78</v>
      </c>
      <c r="BB51" s="30" t="s">
        <v>107</v>
      </c>
      <c r="BC51" s="30" t="s">
        <v>67</v>
      </c>
      <c r="BD51" s="30" t="s">
        <v>68</v>
      </c>
      <c r="BE51" s="30" t="s">
        <v>69</v>
      </c>
      <c r="BF51" s="30" t="s">
        <v>70</v>
      </c>
      <c r="BG51" s="30" t="s">
        <v>71</v>
      </c>
      <c r="BH51" s="30" t="s">
        <v>72</v>
      </c>
      <c r="BI51" s="30" t="s">
        <v>73</v>
      </c>
      <c r="BJ51" s="30" t="s">
        <v>74</v>
      </c>
      <c r="BK51" s="30" t="s">
        <v>75</v>
      </c>
      <c r="BL51" s="30" t="s">
        <v>76</v>
      </c>
      <c r="BM51" s="30" t="s">
        <v>77</v>
      </c>
      <c r="BN51" s="30" t="s">
        <v>78</v>
      </c>
      <c r="BO51" s="30" t="s">
        <v>108</v>
      </c>
      <c r="BP51" s="30" t="s">
        <v>67</v>
      </c>
      <c r="BQ51" s="30" t="s">
        <v>68</v>
      </c>
      <c r="BR51" s="30" t="s">
        <v>69</v>
      </c>
      <c r="BS51" s="30" t="s">
        <v>70</v>
      </c>
      <c r="BT51" s="30" t="s">
        <v>71</v>
      </c>
      <c r="BU51" s="30" t="s">
        <v>72</v>
      </c>
      <c r="BV51" s="30" t="s">
        <v>73</v>
      </c>
      <c r="BW51" s="30" t="s">
        <v>74</v>
      </c>
      <c r="BX51" s="30" t="s">
        <v>75</v>
      </c>
      <c r="BY51" s="30" t="s">
        <v>76</v>
      </c>
      <c r="BZ51" s="30" t="s">
        <v>77</v>
      </c>
      <c r="CA51" s="30" t="s">
        <v>78</v>
      </c>
      <c r="CB51" s="30" t="s">
        <v>109</v>
      </c>
      <c r="CC51" s="30" t="s">
        <v>67</v>
      </c>
      <c r="CD51" s="30" t="s">
        <v>68</v>
      </c>
      <c r="CE51" s="30" t="s">
        <v>69</v>
      </c>
      <c r="CF51" s="30" t="s">
        <v>70</v>
      </c>
      <c r="CG51" s="30" t="s">
        <v>71</v>
      </c>
      <c r="CH51" s="30" t="s">
        <v>72</v>
      </c>
      <c r="CI51" s="30" t="s">
        <v>73</v>
      </c>
      <c r="CJ51" s="30" t="s">
        <v>74</v>
      </c>
      <c r="CK51" s="30" t="s">
        <v>75</v>
      </c>
      <c r="CL51" s="30" t="s">
        <v>76</v>
      </c>
      <c r="CM51" s="30" t="s">
        <v>77</v>
      </c>
      <c r="CN51" s="30" t="s">
        <v>78</v>
      </c>
      <c r="CO51" s="30" t="s">
        <v>110</v>
      </c>
      <c r="CP51" s="30" t="s">
        <v>67</v>
      </c>
      <c r="CQ51" s="30" t="s">
        <v>68</v>
      </c>
      <c r="CR51" s="30" t="s">
        <v>69</v>
      </c>
      <c r="CS51" s="30" t="s">
        <v>70</v>
      </c>
      <c r="CT51" s="30" t="s">
        <v>71</v>
      </c>
      <c r="CU51" s="30" t="s">
        <v>72</v>
      </c>
      <c r="CV51" s="30" t="s">
        <v>73</v>
      </c>
      <c r="CW51" s="30" t="s">
        <v>74</v>
      </c>
      <c r="CX51" s="30" t="s">
        <v>75</v>
      </c>
      <c r="CY51" s="30" t="s">
        <v>76</v>
      </c>
      <c r="CZ51" s="30" t="s">
        <v>77</v>
      </c>
      <c r="DA51" s="30" t="s">
        <v>78</v>
      </c>
      <c r="DB51" s="30" t="s">
        <v>111</v>
      </c>
      <c r="DC51" s="30" t="s">
        <v>67</v>
      </c>
      <c r="DD51" s="30" t="s">
        <v>68</v>
      </c>
      <c r="DE51" s="30" t="s">
        <v>69</v>
      </c>
      <c r="DF51" s="30" t="s">
        <v>70</v>
      </c>
      <c r="DG51" s="30" t="s">
        <v>71</v>
      </c>
      <c r="DH51" s="30" t="s">
        <v>72</v>
      </c>
      <c r="DI51" s="30" t="s">
        <v>73</v>
      </c>
      <c r="DJ51" s="30" t="s">
        <v>74</v>
      </c>
      <c r="DK51" s="30" t="s">
        <v>75</v>
      </c>
      <c r="DL51" s="30" t="s">
        <v>76</v>
      </c>
      <c r="DM51" s="30" t="s">
        <v>77</v>
      </c>
      <c r="DN51" s="30" t="s">
        <v>78</v>
      </c>
      <c r="DO51" s="30" t="s">
        <v>112</v>
      </c>
      <c r="DP51" s="30" t="s">
        <v>67</v>
      </c>
      <c r="DQ51" s="30" t="s">
        <v>68</v>
      </c>
      <c r="DR51" s="30" t="s">
        <v>69</v>
      </c>
      <c r="DS51" s="30" t="s">
        <v>70</v>
      </c>
      <c r="DT51" s="30" t="s">
        <v>71</v>
      </c>
      <c r="DU51" s="30" t="s">
        <v>72</v>
      </c>
      <c r="DV51" s="30" t="s">
        <v>73</v>
      </c>
      <c r="DW51" s="30" t="s">
        <v>74</v>
      </c>
      <c r="DX51" s="30" t="s">
        <v>75</v>
      </c>
      <c r="DY51" s="30" t="s">
        <v>76</v>
      </c>
      <c r="DZ51" s="30" t="s">
        <v>77</v>
      </c>
      <c r="EA51" s="30" t="s">
        <v>78</v>
      </c>
      <c r="EB51" s="30" t="s">
        <v>113</v>
      </c>
      <c r="EC51" s="30" t="s">
        <v>67</v>
      </c>
      <c r="ED51" s="30" t="s">
        <v>68</v>
      </c>
      <c r="EE51" s="30" t="s">
        <v>69</v>
      </c>
      <c r="EF51" s="30" t="s">
        <v>70</v>
      </c>
      <c r="EG51" s="30" t="s">
        <v>71</v>
      </c>
      <c r="EH51" s="30" t="s">
        <v>72</v>
      </c>
      <c r="EI51" s="30" t="s">
        <v>73</v>
      </c>
      <c r="EJ51" s="30" t="s">
        <v>74</v>
      </c>
      <c r="EK51" s="30" t="s">
        <v>75</v>
      </c>
      <c r="EL51" s="30" t="s">
        <v>76</v>
      </c>
      <c r="EM51" s="30" t="s">
        <v>77</v>
      </c>
      <c r="EN51" s="30" t="s">
        <v>78</v>
      </c>
      <c r="EO51" s="30" t="s">
        <v>114</v>
      </c>
      <c r="EP51" s="30" t="s">
        <v>67</v>
      </c>
      <c r="EQ51" s="30" t="s">
        <v>68</v>
      </c>
      <c r="ER51" s="30" t="s">
        <v>69</v>
      </c>
      <c r="ES51" s="30" t="s">
        <v>70</v>
      </c>
      <c r="ET51" s="30" t="s">
        <v>71</v>
      </c>
      <c r="EU51" s="30" t="s">
        <v>72</v>
      </c>
      <c r="EV51" s="30" t="s">
        <v>73</v>
      </c>
      <c r="EW51" s="30" t="s">
        <v>74</v>
      </c>
      <c r="EX51" s="30" t="s">
        <v>75</v>
      </c>
      <c r="EY51" s="30" t="s">
        <v>76</v>
      </c>
      <c r="EZ51" s="30" t="s">
        <v>77</v>
      </c>
      <c r="FA51" s="30" t="s">
        <v>78</v>
      </c>
      <c r="FB51" s="30" t="s">
        <v>115</v>
      </c>
      <c r="FC51" s="30" t="s">
        <v>67</v>
      </c>
      <c r="FD51" s="30" t="s">
        <v>68</v>
      </c>
      <c r="FE51" s="30" t="s">
        <v>69</v>
      </c>
      <c r="FF51" s="30" t="s">
        <v>70</v>
      </c>
      <c r="FG51" s="30" t="s">
        <v>71</v>
      </c>
      <c r="FH51" s="30" t="s">
        <v>72</v>
      </c>
      <c r="FI51" s="30" t="s">
        <v>73</v>
      </c>
      <c r="FJ51" s="30" t="s">
        <v>74</v>
      </c>
      <c r="FK51" s="30" t="s">
        <v>75</v>
      </c>
      <c r="FL51" s="30" t="s">
        <v>76</v>
      </c>
      <c r="FM51" s="30" t="s">
        <v>77</v>
      </c>
      <c r="FN51" s="30" t="s">
        <v>78</v>
      </c>
      <c r="FO51" s="30" t="s">
        <v>116</v>
      </c>
    </row>
    <row r="52" spans="2:171" x14ac:dyDescent="0.3">
      <c r="B52" s="7" t="s">
        <v>46</v>
      </c>
      <c r="C52" s="9">
        <v>0</v>
      </c>
      <c r="D52" s="9">
        <v>0</v>
      </c>
      <c r="E52" s="9">
        <v>5285526</v>
      </c>
      <c r="F52" s="9">
        <v>7623650</v>
      </c>
      <c r="G52" s="9">
        <v>9325202</v>
      </c>
      <c r="H52" s="9">
        <v>12053628</v>
      </c>
      <c r="I52" s="9">
        <v>13741951</v>
      </c>
      <c r="J52" s="9">
        <v>15547865</v>
      </c>
      <c r="K52" s="9">
        <v>17642904</v>
      </c>
      <c r="L52" s="9">
        <v>20087428</v>
      </c>
      <c r="M52" s="9">
        <v>21872533</v>
      </c>
      <c r="N52" s="9">
        <v>24973612</v>
      </c>
      <c r="O52" s="31">
        <v>24973612</v>
      </c>
      <c r="P52" s="9">
        <v>0</v>
      </c>
      <c r="Q52" s="9">
        <v>1758080</v>
      </c>
      <c r="R52" s="9">
        <v>4631663</v>
      </c>
      <c r="S52" s="9">
        <v>9239327</v>
      </c>
      <c r="T52" s="9">
        <v>12855540</v>
      </c>
      <c r="U52" s="9">
        <v>13605003</v>
      </c>
      <c r="V52" s="9">
        <v>14696740</v>
      </c>
      <c r="W52" s="9">
        <v>17668687</v>
      </c>
      <c r="X52" s="9">
        <v>17774175</v>
      </c>
      <c r="Y52" s="9">
        <v>21589336</v>
      </c>
      <c r="Z52" s="9">
        <v>26515869</v>
      </c>
      <c r="AA52" s="9">
        <v>27016469</v>
      </c>
      <c r="AB52" s="31">
        <v>27016469</v>
      </c>
      <c r="AC52" s="9">
        <v>0</v>
      </c>
      <c r="AD52" s="9">
        <v>1863635</v>
      </c>
      <c r="AE52" s="9">
        <v>6804559</v>
      </c>
      <c r="AF52" s="9">
        <v>7685073</v>
      </c>
      <c r="AG52" s="9">
        <v>9596517</v>
      </c>
      <c r="AH52" s="9">
        <v>15770650</v>
      </c>
      <c r="AI52" s="9">
        <v>16662929</v>
      </c>
      <c r="AJ52" s="9">
        <v>19835636</v>
      </c>
      <c r="AK52" s="9">
        <v>22980290</v>
      </c>
      <c r="AL52" s="9">
        <v>23070304</v>
      </c>
      <c r="AM52" s="9">
        <v>23979944</v>
      </c>
      <c r="AN52" s="9">
        <v>27734905</v>
      </c>
      <c r="AO52" s="31">
        <v>27734905</v>
      </c>
      <c r="AP52" s="9">
        <v>0</v>
      </c>
      <c r="AQ52" s="9">
        <v>3138006</v>
      </c>
      <c r="AR52" s="9">
        <v>5957303</v>
      </c>
      <c r="AS52" s="9">
        <v>9592357</v>
      </c>
      <c r="AT52" s="9">
        <v>12505841</v>
      </c>
      <c r="AU52" s="9">
        <v>15864053</v>
      </c>
      <c r="AV52" s="9">
        <v>16695010</v>
      </c>
      <c r="AW52" s="9">
        <v>19238755</v>
      </c>
      <c r="AX52" s="9">
        <v>21312957</v>
      </c>
      <c r="AY52" s="9">
        <v>24223205</v>
      </c>
      <c r="AZ52" s="9">
        <v>25481206</v>
      </c>
      <c r="BA52" s="9">
        <v>29097157</v>
      </c>
      <c r="BB52" s="31">
        <v>29097157</v>
      </c>
      <c r="BC52" s="9">
        <v>0</v>
      </c>
      <c r="BD52" s="9">
        <v>0</v>
      </c>
      <c r="BE52" s="9">
        <v>4912430</v>
      </c>
      <c r="BF52" s="9">
        <v>9544573</v>
      </c>
      <c r="BG52" s="9">
        <v>11637935</v>
      </c>
      <c r="BH52" s="9">
        <v>17194468</v>
      </c>
      <c r="BI52" s="9">
        <v>17302017</v>
      </c>
      <c r="BJ52" s="9">
        <v>20698610</v>
      </c>
      <c r="BK52" s="9">
        <v>24113608</v>
      </c>
      <c r="BL52" s="9">
        <v>26282403</v>
      </c>
      <c r="BM52" s="9">
        <v>27158567</v>
      </c>
      <c r="BN52" s="9">
        <v>30353278</v>
      </c>
      <c r="BO52" s="31">
        <v>30353278</v>
      </c>
      <c r="BP52" s="9">
        <v>0</v>
      </c>
      <c r="BQ52" s="9">
        <v>0</v>
      </c>
      <c r="BR52" s="9">
        <v>4719</v>
      </c>
      <c r="BS52" s="9">
        <v>12020540</v>
      </c>
      <c r="BT52" s="9">
        <v>14213957</v>
      </c>
      <c r="BU52" s="9">
        <v>18659162</v>
      </c>
      <c r="BV52" s="9">
        <v>22278794</v>
      </c>
      <c r="BW52" s="9">
        <v>24650799</v>
      </c>
      <c r="BX52" s="9">
        <v>26091556</v>
      </c>
      <c r="BY52" s="9">
        <v>29407809</v>
      </c>
      <c r="BZ52" s="9">
        <v>29702698</v>
      </c>
      <c r="CA52" s="9">
        <v>36560931</v>
      </c>
      <c r="CB52" s="31">
        <v>36560931</v>
      </c>
      <c r="CC52" s="9">
        <v>0</v>
      </c>
      <c r="CD52" s="9">
        <v>0</v>
      </c>
      <c r="CE52" s="9">
        <v>10363502</v>
      </c>
      <c r="CF52" s="9">
        <v>10363502</v>
      </c>
      <c r="CG52" s="9">
        <v>14129290</v>
      </c>
      <c r="CH52" s="9">
        <v>16729630</v>
      </c>
      <c r="CI52" s="9">
        <v>19583264</v>
      </c>
      <c r="CJ52" s="9">
        <v>21955379</v>
      </c>
      <c r="CK52" s="9">
        <v>25977625</v>
      </c>
      <c r="CL52" s="9">
        <v>28409070</v>
      </c>
      <c r="CM52" s="9">
        <v>30885382</v>
      </c>
      <c r="CN52" s="9">
        <v>35016199</v>
      </c>
      <c r="CO52" s="31">
        <v>35016199</v>
      </c>
      <c r="CP52" s="9">
        <v>0</v>
      </c>
      <c r="CQ52" s="9">
        <v>0</v>
      </c>
      <c r="CR52" s="9">
        <v>7994378</v>
      </c>
      <c r="CS52" s="9">
        <v>10551196</v>
      </c>
      <c r="CT52" s="9">
        <v>12133475</v>
      </c>
      <c r="CU52" s="9">
        <v>13900836</v>
      </c>
      <c r="CV52" s="9">
        <v>15529648</v>
      </c>
      <c r="CW52" s="9">
        <v>18642687</v>
      </c>
      <c r="CX52" s="9">
        <v>20263881</v>
      </c>
      <c r="CY52" s="9">
        <v>21873659</v>
      </c>
      <c r="CZ52" s="9">
        <v>22125896</v>
      </c>
      <c r="DA52" s="9">
        <v>26495705</v>
      </c>
      <c r="DB52" s="31">
        <v>26495705</v>
      </c>
      <c r="DC52" s="9">
        <v>0</v>
      </c>
      <c r="DD52" s="9">
        <v>2975466</v>
      </c>
      <c r="DE52" s="9">
        <v>6036009</v>
      </c>
      <c r="DF52" s="9">
        <v>7664334</v>
      </c>
      <c r="DG52" s="9">
        <v>7756822</v>
      </c>
      <c r="DH52" s="9">
        <v>10134446</v>
      </c>
      <c r="DI52" s="9">
        <v>10176894</v>
      </c>
      <c r="DJ52" s="9">
        <v>10261274</v>
      </c>
      <c r="DK52" s="9">
        <v>10365403</v>
      </c>
      <c r="DL52" s="9">
        <v>10441208</v>
      </c>
      <c r="DM52" s="9">
        <v>10657419</v>
      </c>
      <c r="DN52" s="9">
        <v>11364777</v>
      </c>
      <c r="DO52" s="31">
        <v>11364777</v>
      </c>
      <c r="DP52" s="9">
        <v>0</v>
      </c>
      <c r="DQ52" s="9">
        <v>0</v>
      </c>
      <c r="DR52" s="9">
        <v>114234</v>
      </c>
      <c r="DS52" s="9">
        <v>147709</v>
      </c>
      <c r="DT52" s="9">
        <v>159046</v>
      </c>
      <c r="DU52" s="9">
        <v>295667</v>
      </c>
      <c r="DV52" s="9">
        <v>389978</v>
      </c>
      <c r="DW52" s="9">
        <v>1558507</v>
      </c>
      <c r="DX52" s="9">
        <v>1630507</v>
      </c>
      <c r="DY52" s="9">
        <v>1760374</v>
      </c>
      <c r="DZ52" s="9">
        <v>1835548</v>
      </c>
      <c r="EA52" s="9">
        <v>2230114</v>
      </c>
      <c r="EB52" s="31">
        <v>2230114</v>
      </c>
      <c r="EC52" s="9">
        <v>0</v>
      </c>
      <c r="ED52" s="9">
        <v>0</v>
      </c>
      <c r="EE52" s="9">
        <v>32400</v>
      </c>
      <c r="EF52" s="9">
        <v>125776</v>
      </c>
      <c r="EG52" s="9">
        <v>162026</v>
      </c>
      <c r="EH52" s="9">
        <v>240908</v>
      </c>
      <c r="EI52" s="9">
        <v>382321</v>
      </c>
      <c r="EJ52" s="9">
        <v>420077</v>
      </c>
      <c r="EK52" s="9">
        <v>584298</v>
      </c>
      <c r="EL52" s="9">
        <v>593996</v>
      </c>
      <c r="EM52" s="9">
        <v>846439</v>
      </c>
      <c r="EN52" s="9">
        <v>1765056</v>
      </c>
      <c r="EO52" s="31">
        <v>1765056</v>
      </c>
      <c r="EP52" s="9">
        <v>0</v>
      </c>
      <c r="EQ52" s="9">
        <v>61271</v>
      </c>
      <c r="ER52" s="9">
        <v>185603</v>
      </c>
      <c r="ES52" s="9">
        <v>372200</v>
      </c>
      <c r="ET52" s="9">
        <v>416377</v>
      </c>
      <c r="EU52" s="9">
        <v>504460</v>
      </c>
      <c r="EV52" s="9">
        <v>639487</v>
      </c>
      <c r="EW52" s="9">
        <v>752002</v>
      </c>
      <c r="EX52" s="9">
        <v>889001</v>
      </c>
      <c r="EY52" s="9">
        <v>1218727</v>
      </c>
      <c r="EZ52" s="9">
        <v>1379310</v>
      </c>
      <c r="FA52" s="9">
        <v>1735258</v>
      </c>
      <c r="FB52" s="31">
        <v>1735258</v>
      </c>
      <c r="FC52" s="9">
        <v>0</v>
      </c>
      <c r="FD52" s="9">
        <v>0</v>
      </c>
      <c r="FE52" s="9">
        <v>50564</v>
      </c>
      <c r="FF52" s="9">
        <v>218816</v>
      </c>
      <c r="FG52" s="9">
        <v>272078</v>
      </c>
      <c r="FH52" s="9">
        <v>533936</v>
      </c>
      <c r="FI52" s="9">
        <v>570336</v>
      </c>
      <c r="FJ52" s="9">
        <v>570336</v>
      </c>
      <c r="FK52" s="9">
        <v>570336</v>
      </c>
      <c r="FL52" s="9">
        <v>570336</v>
      </c>
      <c r="FM52" s="9">
        <v>570336</v>
      </c>
      <c r="FN52" s="9">
        <v>570336</v>
      </c>
      <c r="FO52" s="31">
        <v>570336</v>
      </c>
    </row>
    <row r="53" spans="2:171" x14ac:dyDescent="0.3">
      <c r="B53" s="7" t="s">
        <v>47</v>
      </c>
      <c r="C53" s="9">
        <v>0</v>
      </c>
      <c r="D53" s="9">
        <v>0</v>
      </c>
      <c r="E53" s="9">
        <v>0</v>
      </c>
      <c r="F53" s="9">
        <v>256695</v>
      </c>
      <c r="G53" s="9">
        <v>1260954</v>
      </c>
      <c r="H53" s="9">
        <v>2618062</v>
      </c>
      <c r="I53" s="9">
        <v>3986048</v>
      </c>
      <c r="J53" s="9">
        <v>4527877</v>
      </c>
      <c r="K53" s="9">
        <v>5436701</v>
      </c>
      <c r="L53" s="9">
        <v>6976481</v>
      </c>
      <c r="M53" s="9">
        <v>8024790</v>
      </c>
      <c r="N53" s="9">
        <v>11568395</v>
      </c>
      <c r="O53" s="31">
        <v>11568395</v>
      </c>
      <c r="P53" s="9">
        <v>0</v>
      </c>
      <c r="Q53" s="9">
        <v>322765</v>
      </c>
      <c r="R53" s="9">
        <v>1378821</v>
      </c>
      <c r="S53" s="9">
        <v>2177878</v>
      </c>
      <c r="T53" s="9">
        <v>3049262</v>
      </c>
      <c r="U53" s="9">
        <v>3932935</v>
      </c>
      <c r="V53" s="9">
        <v>4839319</v>
      </c>
      <c r="W53" s="9">
        <v>5752684</v>
      </c>
      <c r="X53" s="9">
        <v>6731018</v>
      </c>
      <c r="Y53" s="9">
        <v>8443169</v>
      </c>
      <c r="Z53" s="9">
        <v>11177887</v>
      </c>
      <c r="AA53" s="9">
        <v>15633949</v>
      </c>
      <c r="AB53" s="31">
        <v>15633949</v>
      </c>
      <c r="AC53" s="9">
        <v>0</v>
      </c>
      <c r="AD53" s="9">
        <v>0</v>
      </c>
      <c r="AE53" s="9">
        <v>1397625</v>
      </c>
      <c r="AF53" s="9">
        <v>2424727</v>
      </c>
      <c r="AG53" s="9">
        <v>3828005</v>
      </c>
      <c r="AH53" s="9">
        <v>5306869</v>
      </c>
      <c r="AI53" s="9">
        <v>6332630</v>
      </c>
      <c r="AJ53" s="9">
        <v>7366283</v>
      </c>
      <c r="AK53" s="9">
        <v>8793796</v>
      </c>
      <c r="AL53" s="9">
        <v>9939273</v>
      </c>
      <c r="AM53" s="9">
        <v>11474269</v>
      </c>
      <c r="AN53" s="9">
        <v>16092199</v>
      </c>
      <c r="AO53" s="31">
        <v>16092199</v>
      </c>
      <c r="AP53" s="9">
        <v>0</v>
      </c>
      <c r="AQ53" s="9">
        <v>0</v>
      </c>
      <c r="AR53" s="9">
        <v>1927192</v>
      </c>
      <c r="AS53" s="9">
        <v>3237441</v>
      </c>
      <c r="AT53" s="9">
        <v>4580771</v>
      </c>
      <c r="AU53" s="9">
        <v>5522467</v>
      </c>
      <c r="AV53" s="9">
        <v>6487674</v>
      </c>
      <c r="AW53" s="9">
        <v>7820014</v>
      </c>
      <c r="AX53" s="9">
        <v>9206115</v>
      </c>
      <c r="AY53" s="9">
        <v>10229331</v>
      </c>
      <c r="AZ53" s="9">
        <v>11747968</v>
      </c>
      <c r="BA53" s="9">
        <v>19044894</v>
      </c>
      <c r="BB53" s="31">
        <v>19044894</v>
      </c>
      <c r="BC53" s="9">
        <v>0</v>
      </c>
      <c r="BD53" s="9">
        <v>0</v>
      </c>
      <c r="BE53" s="9">
        <v>2198748</v>
      </c>
      <c r="BF53" s="9">
        <v>3728696</v>
      </c>
      <c r="BG53" s="9">
        <v>4969587</v>
      </c>
      <c r="BH53" s="9">
        <v>6569077</v>
      </c>
      <c r="BI53" s="9">
        <v>8047191</v>
      </c>
      <c r="BJ53" s="9">
        <v>9328596</v>
      </c>
      <c r="BK53" s="9">
        <v>11149426</v>
      </c>
      <c r="BL53" s="9">
        <v>12608747</v>
      </c>
      <c r="BM53" s="9">
        <v>14925555</v>
      </c>
      <c r="BN53" s="9">
        <v>20507070</v>
      </c>
      <c r="BO53" s="31">
        <v>20507070</v>
      </c>
      <c r="BP53" s="9">
        <v>0</v>
      </c>
      <c r="BQ53" s="9">
        <v>0</v>
      </c>
      <c r="BR53" s="9">
        <v>2831657</v>
      </c>
      <c r="BS53" s="9">
        <v>4478583</v>
      </c>
      <c r="BT53" s="9">
        <v>6002880</v>
      </c>
      <c r="BU53" s="9">
        <v>7735245</v>
      </c>
      <c r="BV53" s="9">
        <v>9298872</v>
      </c>
      <c r="BW53" s="9">
        <v>11042847</v>
      </c>
      <c r="BX53" s="9">
        <v>12872551</v>
      </c>
      <c r="BY53" s="9">
        <v>14394250</v>
      </c>
      <c r="BZ53" s="9">
        <v>17896272</v>
      </c>
      <c r="CA53" s="9">
        <v>22884058</v>
      </c>
      <c r="CB53" s="31">
        <v>22884058</v>
      </c>
      <c r="CC53" s="9">
        <v>0</v>
      </c>
      <c r="CD53" s="9">
        <v>0</v>
      </c>
      <c r="CE53" s="9">
        <v>588343</v>
      </c>
      <c r="CF53" s="9">
        <v>3131622</v>
      </c>
      <c r="CG53" s="9">
        <v>4375457</v>
      </c>
      <c r="CH53" s="9">
        <v>6605418</v>
      </c>
      <c r="CI53" s="9">
        <v>7545633</v>
      </c>
      <c r="CJ53" s="9">
        <v>9498861</v>
      </c>
      <c r="CK53" s="9">
        <v>10920638</v>
      </c>
      <c r="CL53" s="9">
        <v>13645794</v>
      </c>
      <c r="CM53" s="9">
        <v>17990560</v>
      </c>
      <c r="CN53" s="9">
        <v>23419360</v>
      </c>
      <c r="CO53" s="31">
        <v>23419360</v>
      </c>
      <c r="CP53" s="9">
        <v>0</v>
      </c>
      <c r="CQ53" s="9">
        <v>1171112</v>
      </c>
      <c r="CR53" s="9">
        <v>3667892</v>
      </c>
      <c r="CS53" s="9">
        <v>5314023</v>
      </c>
      <c r="CT53" s="9">
        <v>8604717</v>
      </c>
      <c r="CU53" s="9">
        <v>11006803</v>
      </c>
      <c r="CV53" s="9">
        <v>13224909</v>
      </c>
      <c r="CW53" s="9">
        <v>15113085</v>
      </c>
      <c r="CX53" s="9">
        <v>17014277</v>
      </c>
      <c r="CY53" s="9">
        <v>19236566</v>
      </c>
      <c r="CZ53" s="9">
        <v>22205739</v>
      </c>
      <c r="DA53" s="9">
        <v>30104947</v>
      </c>
      <c r="DB53" s="31">
        <v>30104947</v>
      </c>
      <c r="DC53" s="9">
        <v>0</v>
      </c>
      <c r="DD53" s="9">
        <v>0</v>
      </c>
      <c r="DE53" s="9">
        <v>2366484</v>
      </c>
      <c r="DF53" s="9">
        <v>5158610</v>
      </c>
      <c r="DG53" s="9">
        <v>7079239</v>
      </c>
      <c r="DH53" s="9">
        <v>8514428</v>
      </c>
      <c r="DI53" s="9">
        <v>9937938</v>
      </c>
      <c r="DJ53" s="9">
        <v>11990153</v>
      </c>
      <c r="DK53" s="9">
        <v>13116671</v>
      </c>
      <c r="DL53" s="9">
        <v>15670225</v>
      </c>
      <c r="DM53" s="9">
        <v>17891169</v>
      </c>
      <c r="DN53" s="9">
        <v>23304021</v>
      </c>
      <c r="DO53" s="31">
        <v>23304021</v>
      </c>
      <c r="DP53" s="9">
        <v>0</v>
      </c>
      <c r="DQ53" s="9">
        <v>0</v>
      </c>
      <c r="DR53" s="9">
        <v>1192161</v>
      </c>
      <c r="DS53" s="9">
        <v>4184056</v>
      </c>
      <c r="DT53" s="9">
        <v>6014243</v>
      </c>
      <c r="DU53" s="9">
        <v>7137880</v>
      </c>
      <c r="DV53" s="9">
        <v>8238265</v>
      </c>
      <c r="DW53" s="9">
        <v>10234742</v>
      </c>
      <c r="DX53" s="9">
        <v>11434458</v>
      </c>
      <c r="DY53" s="9">
        <v>13391619</v>
      </c>
      <c r="DZ53" s="9">
        <v>15333330</v>
      </c>
      <c r="EA53" s="9">
        <v>22175040</v>
      </c>
      <c r="EB53" s="31">
        <v>22175040</v>
      </c>
      <c r="EC53" s="9">
        <v>0</v>
      </c>
      <c r="ED53" s="9">
        <v>0</v>
      </c>
      <c r="EE53" s="9">
        <v>1896344</v>
      </c>
      <c r="EF53" s="9">
        <v>5284077</v>
      </c>
      <c r="EG53" s="9">
        <v>6718012</v>
      </c>
      <c r="EH53" s="9">
        <v>8302842</v>
      </c>
      <c r="EI53" s="9">
        <v>10078805</v>
      </c>
      <c r="EJ53" s="9">
        <v>11841574</v>
      </c>
      <c r="EK53" s="9">
        <v>13163862</v>
      </c>
      <c r="EL53" s="9">
        <v>14887407</v>
      </c>
      <c r="EM53" s="9">
        <v>17657413</v>
      </c>
      <c r="EN53" s="9">
        <v>27847917</v>
      </c>
      <c r="EO53" s="31">
        <v>27847917</v>
      </c>
      <c r="EP53" s="9">
        <v>0</v>
      </c>
      <c r="EQ53" s="9">
        <v>635911</v>
      </c>
      <c r="ER53" s="9">
        <v>3406026</v>
      </c>
      <c r="ES53" s="9">
        <v>5878280</v>
      </c>
      <c r="ET53" s="9">
        <v>8481842</v>
      </c>
      <c r="EU53" s="9">
        <v>10476165</v>
      </c>
      <c r="EV53" s="9">
        <v>14140348</v>
      </c>
      <c r="EW53" s="9">
        <v>17057587</v>
      </c>
      <c r="EX53" s="9">
        <v>18562941</v>
      </c>
      <c r="EY53" s="9">
        <v>23005910</v>
      </c>
      <c r="EZ53" s="9">
        <v>25814003</v>
      </c>
      <c r="FA53" s="9">
        <v>30105231</v>
      </c>
      <c r="FB53" s="31">
        <v>30105231</v>
      </c>
      <c r="FC53" s="9">
        <v>0</v>
      </c>
      <c r="FD53" s="9">
        <v>583993</v>
      </c>
      <c r="FE53" s="9">
        <v>2544487</v>
      </c>
      <c r="FF53" s="9">
        <v>5629990</v>
      </c>
      <c r="FG53" s="9">
        <v>7573202</v>
      </c>
      <c r="FH53" s="9">
        <v>9508871</v>
      </c>
      <c r="FI53" s="9">
        <v>13263584</v>
      </c>
      <c r="FJ53" s="9">
        <v>13263584</v>
      </c>
      <c r="FK53" s="9">
        <v>13263584</v>
      </c>
      <c r="FL53" s="9">
        <v>13263584</v>
      </c>
      <c r="FM53" s="9">
        <v>13263584</v>
      </c>
      <c r="FN53" s="9">
        <v>13263584</v>
      </c>
      <c r="FO53" s="31">
        <v>13263584</v>
      </c>
    </row>
    <row r="54" spans="2:171" x14ac:dyDescent="0.3">
      <c r="B54" s="7" t="s">
        <v>48</v>
      </c>
      <c r="C54" s="9">
        <v>0</v>
      </c>
      <c r="D54" s="9">
        <v>0</v>
      </c>
      <c r="E54" s="9">
        <v>0</v>
      </c>
      <c r="F54" s="9">
        <v>2054367</v>
      </c>
      <c r="G54" s="9">
        <v>2583263</v>
      </c>
      <c r="H54" s="9">
        <v>3408811</v>
      </c>
      <c r="I54" s="9">
        <v>3904983</v>
      </c>
      <c r="J54" s="9">
        <v>4303686</v>
      </c>
      <c r="K54" s="9">
        <v>4555363</v>
      </c>
      <c r="L54" s="9">
        <v>4745995</v>
      </c>
      <c r="M54" s="9">
        <v>5001952</v>
      </c>
      <c r="N54" s="9">
        <v>5690901</v>
      </c>
      <c r="O54" s="31">
        <v>5690901</v>
      </c>
      <c r="P54" s="9">
        <v>0</v>
      </c>
      <c r="Q54" s="9">
        <v>164128</v>
      </c>
      <c r="R54" s="9">
        <v>925595</v>
      </c>
      <c r="S54" s="9">
        <v>1634433</v>
      </c>
      <c r="T54" s="9">
        <v>1979997</v>
      </c>
      <c r="U54" s="9">
        <v>2604169</v>
      </c>
      <c r="V54" s="9">
        <v>3542420</v>
      </c>
      <c r="W54" s="9">
        <v>3737700</v>
      </c>
      <c r="X54" s="9">
        <v>4302578</v>
      </c>
      <c r="Y54" s="9">
        <v>5028608</v>
      </c>
      <c r="Z54" s="9">
        <v>5405738</v>
      </c>
      <c r="AA54" s="9">
        <v>7710266</v>
      </c>
      <c r="AB54" s="31">
        <v>7710266</v>
      </c>
      <c r="AC54" s="9">
        <v>0</v>
      </c>
      <c r="AD54" s="9">
        <v>12041</v>
      </c>
      <c r="AE54" s="9">
        <v>879163</v>
      </c>
      <c r="AF54" s="9">
        <v>1352498</v>
      </c>
      <c r="AG54" s="9">
        <v>1759936</v>
      </c>
      <c r="AH54" s="9">
        <v>2662466</v>
      </c>
      <c r="AI54" s="9">
        <v>3279563</v>
      </c>
      <c r="AJ54" s="9">
        <v>3863945</v>
      </c>
      <c r="AK54" s="9">
        <v>4905144</v>
      </c>
      <c r="AL54" s="9">
        <v>5653125</v>
      </c>
      <c r="AM54" s="9">
        <v>6903824</v>
      </c>
      <c r="AN54" s="9">
        <v>9324466</v>
      </c>
      <c r="AO54" s="31">
        <v>9324466</v>
      </c>
      <c r="AP54" s="9">
        <v>13993</v>
      </c>
      <c r="AQ54" s="9">
        <v>1002548</v>
      </c>
      <c r="AR54" s="9">
        <v>2166432</v>
      </c>
      <c r="AS54" s="9">
        <v>3083123</v>
      </c>
      <c r="AT54" s="9">
        <v>3734900</v>
      </c>
      <c r="AU54" s="9">
        <v>4470668</v>
      </c>
      <c r="AV54" s="9">
        <v>4912013</v>
      </c>
      <c r="AW54" s="9">
        <v>5367062</v>
      </c>
      <c r="AX54" s="9">
        <v>6170211</v>
      </c>
      <c r="AY54" s="9">
        <v>6590801</v>
      </c>
      <c r="AZ54" s="9">
        <v>7243620</v>
      </c>
      <c r="BA54" s="9">
        <v>9183124</v>
      </c>
      <c r="BB54" s="31">
        <v>9183124</v>
      </c>
      <c r="BC54" s="9">
        <v>0</v>
      </c>
      <c r="BD54" s="9">
        <v>36023</v>
      </c>
      <c r="BE54" s="9">
        <v>783789</v>
      </c>
      <c r="BF54" s="9">
        <v>1280499</v>
      </c>
      <c r="BG54" s="9">
        <v>1473075</v>
      </c>
      <c r="BH54" s="9">
        <v>1994179</v>
      </c>
      <c r="BI54" s="9">
        <v>2457008</v>
      </c>
      <c r="BJ54" s="9">
        <v>3092368</v>
      </c>
      <c r="BK54" s="9">
        <v>3227844</v>
      </c>
      <c r="BL54" s="9">
        <v>3635695</v>
      </c>
      <c r="BM54" s="9">
        <v>4382661</v>
      </c>
      <c r="BN54" s="9">
        <v>5515395</v>
      </c>
      <c r="BO54" s="31">
        <v>5515395</v>
      </c>
      <c r="BP54" s="9">
        <v>0</v>
      </c>
      <c r="BQ54" s="9">
        <v>0</v>
      </c>
      <c r="BR54" s="9">
        <v>537679</v>
      </c>
      <c r="BS54" s="9">
        <v>856319</v>
      </c>
      <c r="BT54" s="9">
        <v>1230631</v>
      </c>
      <c r="BU54" s="9">
        <v>1430735</v>
      </c>
      <c r="BV54" s="9">
        <v>1557881</v>
      </c>
      <c r="BW54" s="9">
        <v>1557881</v>
      </c>
      <c r="BX54" s="9">
        <v>1800915</v>
      </c>
      <c r="BY54" s="9">
        <v>2325177</v>
      </c>
      <c r="BZ54" s="9">
        <v>2510532</v>
      </c>
      <c r="CA54" s="9">
        <v>3424320</v>
      </c>
      <c r="CB54" s="31">
        <v>3424320</v>
      </c>
      <c r="CC54" s="9">
        <v>0</v>
      </c>
      <c r="CD54" s="9">
        <v>0</v>
      </c>
      <c r="CE54" s="9">
        <v>503306</v>
      </c>
      <c r="CF54" s="9">
        <v>1123937</v>
      </c>
      <c r="CG54" s="9">
        <v>1223891</v>
      </c>
      <c r="CH54" s="9">
        <v>1247901</v>
      </c>
      <c r="CI54" s="9">
        <v>1533469</v>
      </c>
      <c r="CJ54" s="9">
        <v>1716612</v>
      </c>
      <c r="CK54" s="9">
        <v>2535782</v>
      </c>
      <c r="CL54" s="9">
        <v>3034585</v>
      </c>
      <c r="CM54" s="9">
        <v>4621279</v>
      </c>
      <c r="CN54" s="9">
        <v>5604121</v>
      </c>
      <c r="CO54" s="31">
        <v>5604121</v>
      </c>
      <c r="CP54" s="9">
        <v>0</v>
      </c>
      <c r="CQ54" s="9">
        <v>648709</v>
      </c>
      <c r="CR54" s="9">
        <v>1904633</v>
      </c>
      <c r="CS54" s="9">
        <v>2846329</v>
      </c>
      <c r="CT54" s="9">
        <v>3270884</v>
      </c>
      <c r="CU54" s="9">
        <v>4160146</v>
      </c>
      <c r="CV54" s="9">
        <v>4815337</v>
      </c>
      <c r="CW54" s="9">
        <v>5273290</v>
      </c>
      <c r="CX54" s="9">
        <v>5549560</v>
      </c>
      <c r="CY54" s="9">
        <v>6236240</v>
      </c>
      <c r="CZ54" s="9">
        <v>6513380</v>
      </c>
      <c r="DA54" s="9">
        <v>7993792</v>
      </c>
      <c r="DB54" s="31">
        <v>7993792</v>
      </c>
      <c r="DC54" s="9">
        <v>0</v>
      </c>
      <c r="DD54" s="9">
        <v>632251</v>
      </c>
      <c r="DE54" s="9">
        <v>1548551</v>
      </c>
      <c r="DF54" s="9">
        <v>2026879</v>
      </c>
      <c r="DG54" s="9">
        <v>2399749</v>
      </c>
      <c r="DH54" s="9">
        <v>2698831</v>
      </c>
      <c r="DI54" s="9">
        <v>3287207</v>
      </c>
      <c r="DJ54" s="9">
        <v>3824985</v>
      </c>
      <c r="DK54" s="9">
        <v>4204982</v>
      </c>
      <c r="DL54" s="9">
        <v>4737024</v>
      </c>
      <c r="DM54" s="9">
        <v>5184329</v>
      </c>
      <c r="DN54" s="9">
        <v>6402442</v>
      </c>
      <c r="DO54" s="31">
        <v>6402442</v>
      </c>
      <c r="DP54" s="9">
        <v>0</v>
      </c>
      <c r="DQ54" s="9">
        <v>88825</v>
      </c>
      <c r="DR54" s="9">
        <v>1327201</v>
      </c>
      <c r="DS54" s="9">
        <v>1567274</v>
      </c>
      <c r="DT54" s="9">
        <v>1930397</v>
      </c>
      <c r="DU54" s="9">
        <v>2366313</v>
      </c>
      <c r="DV54" s="9">
        <v>2511593</v>
      </c>
      <c r="DW54" s="9">
        <v>2832413</v>
      </c>
      <c r="DX54" s="9">
        <v>3220149</v>
      </c>
      <c r="DY54" s="9">
        <v>3379453</v>
      </c>
      <c r="DZ54" s="9">
        <v>4297388</v>
      </c>
      <c r="EA54" s="9">
        <v>5234499</v>
      </c>
      <c r="EB54" s="31">
        <v>5234499</v>
      </c>
      <c r="EC54" s="9">
        <v>0</v>
      </c>
      <c r="ED54" s="9">
        <v>79682</v>
      </c>
      <c r="EE54" s="9">
        <v>767871</v>
      </c>
      <c r="EF54" s="9">
        <v>942590</v>
      </c>
      <c r="EG54" s="9">
        <v>1175782</v>
      </c>
      <c r="EH54" s="9">
        <v>1342359</v>
      </c>
      <c r="EI54" s="9">
        <v>1467982</v>
      </c>
      <c r="EJ54" s="9">
        <v>1523593</v>
      </c>
      <c r="EK54" s="9">
        <v>1893335</v>
      </c>
      <c r="EL54" s="9">
        <v>2491130</v>
      </c>
      <c r="EM54" s="9">
        <v>3050438</v>
      </c>
      <c r="EN54" s="9">
        <v>4379123</v>
      </c>
      <c r="EO54" s="31">
        <v>4379123</v>
      </c>
      <c r="EP54" s="9">
        <v>0</v>
      </c>
      <c r="EQ54" s="9">
        <v>1989837</v>
      </c>
      <c r="ER54" s="9">
        <v>3034140</v>
      </c>
      <c r="ES54" s="9">
        <v>5235453</v>
      </c>
      <c r="ET54" s="9">
        <v>5730916</v>
      </c>
      <c r="EU54" s="9">
        <v>6001353</v>
      </c>
      <c r="EV54" s="9">
        <v>6911060</v>
      </c>
      <c r="EW54" s="9">
        <v>7598644</v>
      </c>
      <c r="EX54" s="9">
        <v>7724711</v>
      </c>
      <c r="EY54" s="9">
        <v>8136264</v>
      </c>
      <c r="EZ54" s="9">
        <v>8334765</v>
      </c>
      <c r="FA54" s="9">
        <v>9523479</v>
      </c>
      <c r="FB54" s="31">
        <v>9523479</v>
      </c>
      <c r="FC54" s="9">
        <v>0</v>
      </c>
      <c r="FD54" s="9">
        <v>6644</v>
      </c>
      <c r="FE54" s="9">
        <v>965714</v>
      </c>
      <c r="FF54" s="9">
        <v>1538483</v>
      </c>
      <c r="FG54" s="9">
        <v>1829965</v>
      </c>
      <c r="FH54" s="9">
        <v>1854335</v>
      </c>
      <c r="FI54" s="9">
        <v>1907383</v>
      </c>
      <c r="FJ54" s="9">
        <v>1907383</v>
      </c>
      <c r="FK54" s="9">
        <v>1907383</v>
      </c>
      <c r="FL54" s="9">
        <v>1907383</v>
      </c>
      <c r="FM54" s="9">
        <v>1907383</v>
      </c>
      <c r="FN54" s="9">
        <v>1907383</v>
      </c>
      <c r="FO54" s="31">
        <v>1907383</v>
      </c>
    </row>
    <row r="55" spans="2:171" x14ac:dyDescent="0.3">
      <c r="B55" s="7" t="s">
        <v>49</v>
      </c>
      <c r="C55" s="9">
        <v>0</v>
      </c>
      <c r="D55" s="9">
        <v>230079</v>
      </c>
      <c r="E55" s="9">
        <v>554197</v>
      </c>
      <c r="F55" s="9">
        <v>659268</v>
      </c>
      <c r="G55" s="9">
        <v>858794</v>
      </c>
      <c r="H55" s="9">
        <v>1131237</v>
      </c>
      <c r="I55" s="9">
        <v>1614132</v>
      </c>
      <c r="J55" s="9">
        <v>2469901</v>
      </c>
      <c r="K55" s="9">
        <v>4932352</v>
      </c>
      <c r="L55" s="9">
        <v>6316133</v>
      </c>
      <c r="M55" s="9">
        <v>7642879</v>
      </c>
      <c r="N55" s="9">
        <v>10117639</v>
      </c>
      <c r="O55" s="31">
        <v>10117639</v>
      </c>
      <c r="P55" s="9">
        <v>504240</v>
      </c>
      <c r="Q55" s="9">
        <v>1393208</v>
      </c>
      <c r="R55" s="9">
        <v>2266857</v>
      </c>
      <c r="S55" s="9">
        <v>3629294</v>
      </c>
      <c r="T55" s="9">
        <v>5189123</v>
      </c>
      <c r="U55" s="9">
        <v>6863268</v>
      </c>
      <c r="V55" s="9">
        <v>9017474</v>
      </c>
      <c r="W55" s="9">
        <v>9971246</v>
      </c>
      <c r="X55" s="9">
        <v>11690181</v>
      </c>
      <c r="Y55" s="9">
        <v>14244279</v>
      </c>
      <c r="Z55" s="9">
        <v>16239113</v>
      </c>
      <c r="AA55" s="9">
        <v>21373548</v>
      </c>
      <c r="AB55" s="31">
        <v>21373548</v>
      </c>
      <c r="AC55" s="9">
        <v>0</v>
      </c>
      <c r="AD55" s="9">
        <v>1214686</v>
      </c>
      <c r="AE55" s="9">
        <v>3132055</v>
      </c>
      <c r="AF55" s="9">
        <v>4537751</v>
      </c>
      <c r="AG55" s="9">
        <v>5521781</v>
      </c>
      <c r="AH55" s="9">
        <v>7009216</v>
      </c>
      <c r="AI55" s="9">
        <v>7475480</v>
      </c>
      <c r="AJ55" s="9">
        <v>8355475</v>
      </c>
      <c r="AK55" s="9">
        <v>10318775</v>
      </c>
      <c r="AL55" s="9">
        <v>11678934</v>
      </c>
      <c r="AM55" s="9">
        <v>14084565</v>
      </c>
      <c r="AN55" s="9">
        <v>20648322</v>
      </c>
      <c r="AO55" s="31">
        <v>20648322</v>
      </c>
      <c r="AP55" s="9">
        <v>0</v>
      </c>
      <c r="AQ55" s="9">
        <v>212229</v>
      </c>
      <c r="AR55" s="9">
        <v>886139</v>
      </c>
      <c r="AS55" s="9">
        <v>901022</v>
      </c>
      <c r="AT55" s="9">
        <v>1805085</v>
      </c>
      <c r="AU55" s="9">
        <v>2789351</v>
      </c>
      <c r="AV55" s="9">
        <v>4237344</v>
      </c>
      <c r="AW55" s="9">
        <v>5217585</v>
      </c>
      <c r="AX55" s="9">
        <v>5993135</v>
      </c>
      <c r="AY55" s="9">
        <v>6819502</v>
      </c>
      <c r="AZ55" s="9">
        <v>8730596</v>
      </c>
      <c r="BA55" s="9">
        <v>12987217</v>
      </c>
      <c r="BB55" s="31">
        <v>12987217</v>
      </c>
      <c r="BC55" s="9">
        <v>0</v>
      </c>
      <c r="BD55" s="9">
        <v>1055597</v>
      </c>
      <c r="BE55" s="9">
        <v>1984909</v>
      </c>
      <c r="BF55" s="9">
        <v>2799441</v>
      </c>
      <c r="BG55" s="9">
        <v>3625196</v>
      </c>
      <c r="BH55" s="9">
        <v>4438144</v>
      </c>
      <c r="BI55" s="9">
        <v>5122966</v>
      </c>
      <c r="BJ55" s="9">
        <v>5871374</v>
      </c>
      <c r="BK55" s="9">
        <v>6510876</v>
      </c>
      <c r="BL55" s="9">
        <v>7193808</v>
      </c>
      <c r="BM55" s="9">
        <v>7822921</v>
      </c>
      <c r="BN55" s="9">
        <v>10324534</v>
      </c>
      <c r="BO55" s="31">
        <v>10324534</v>
      </c>
      <c r="BP55" s="9">
        <v>0</v>
      </c>
      <c r="BQ55" s="9">
        <v>570428</v>
      </c>
      <c r="BR55" s="9">
        <v>1810034</v>
      </c>
      <c r="BS55" s="9">
        <v>2951374</v>
      </c>
      <c r="BT55" s="9">
        <v>3644448</v>
      </c>
      <c r="BU55" s="9">
        <v>4756337</v>
      </c>
      <c r="BV55" s="9">
        <v>5958119</v>
      </c>
      <c r="BW55" s="9">
        <v>6576824</v>
      </c>
      <c r="BX55" s="9">
        <v>7292191</v>
      </c>
      <c r="BY55" s="9">
        <v>8231643</v>
      </c>
      <c r="BZ55" s="9">
        <v>9805091</v>
      </c>
      <c r="CA55" s="9">
        <v>12289148</v>
      </c>
      <c r="CB55" s="31">
        <v>12289148</v>
      </c>
      <c r="CC55" s="9">
        <v>0</v>
      </c>
      <c r="CD55" s="9">
        <v>493216</v>
      </c>
      <c r="CE55" s="9">
        <v>1268021</v>
      </c>
      <c r="CF55" s="9">
        <v>2129749</v>
      </c>
      <c r="CG55" s="9">
        <v>2925614</v>
      </c>
      <c r="CH55" s="9">
        <v>4168246</v>
      </c>
      <c r="CI55" s="9">
        <v>4292186</v>
      </c>
      <c r="CJ55" s="9">
        <v>5136977</v>
      </c>
      <c r="CK55" s="9">
        <v>5171525</v>
      </c>
      <c r="CL55" s="9">
        <v>5641871</v>
      </c>
      <c r="CM55" s="9">
        <v>6171023</v>
      </c>
      <c r="CN55" s="9">
        <v>9331650</v>
      </c>
      <c r="CO55" s="31">
        <v>9331650</v>
      </c>
      <c r="CP55" s="9">
        <v>0</v>
      </c>
      <c r="CQ55" s="9">
        <v>0</v>
      </c>
      <c r="CR55" s="9">
        <v>497211</v>
      </c>
      <c r="CS55" s="9">
        <v>740154</v>
      </c>
      <c r="CT55" s="9">
        <v>1022513</v>
      </c>
      <c r="CU55" s="9">
        <v>1350754</v>
      </c>
      <c r="CV55" s="9">
        <v>1501503</v>
      </c>
      <c r="CW55" s="9">
        <v>2076982</v>
      </c>
      <c r="CX55" s="9">
        <v>2565253</v>
      </c>
      <c r="CY55" s="9">
        <v>3107965</v>
      </c>
      <c r="CZ55" s="9">
        <v>3314790</v>
      </c>
      <c r="DA55" s="9">
        <v>4616710</v>
      </c>
      <c r="DB55" s="31">
        <v>4616710</v>
      </c>
      <c r="DC55" s="9">
        <v>0</v>
      </c>
      <c r="DD55" s="9">
        <v>126651</v>
      </c>
      <c r="DE55" s="9">
        <v>635432</v>
      </c>
      <c r="DF55" s="9">
        <v>988815</v>
      </c>
      <c r="DG55" s="9">
        <v>1291329</v>
      </c>
      <c r="DH55" s="9">
        <v>1736798</v>
      </c>
      <c r="DI55" s="9">
        <v>2011354</v>
      </c>
      <c r="DJ55" s="9">
        <v>2365717</v>
      </c>
      <c r="DK55" s="9">
        <v>2608012</v>
      </c>
      <c r="DL55" s="9">
        <v>3139535</v>
      </c>
      <c r="DM55" s="9">
        <v>3632940</v>
      </c>
      <c r="DN55" s="9">
        <v>4718148</v>
      </c>
      <c r="DO55" s="31">
        <v>4718148</v>
      </c>
      <c r="DP55" s="9">
        <v>0</v>
      </c>
      <c r="DQ55" s="9">
        <v>496962</v>
      </c>
      <c r="DR55" s="9">
        <v>1030597</v>
      </c>
      <c r="DS55" s="9">
        <v>1804022</v>
      </c>
      <c r="DT55" s="9">
        <v>2547494</v>
      </c>
      <c r="DU55" s="9">
        <v>3426246</v>
      </c>
      <c r="DV55" s="9">
        <v>3822719</v>
      </c>
      <c r="DW55" s="9">
        <v>3998759</v>
      </c>
      <c r="DX55" s="9">
        <v>4365688</v>
      </c>
      <c r="DY55" s="9">
        <v>4761521</v>
      </c>
      <c r="DZ55" s="9">
        <v>5296665</v>
      </c>
      <c r="EA55" s="9">
        <v>6454032</v>
      </c>
      <c r="EB55" s="31">
        <v>6454032</v>
      </c>
      <c r="EC55" s="9">
        <v>0</v>
      </c>
      <c r="ED55" s="9">
        <v>278257</v>
      </c>
      <c r="EE55" s="9">
        <v>1460212</v>
      </c>
      <c r="EF55" s="9">
        <v>2026544</v>
      </c>
      <c r="EG55" s="9">
        <v>3382381</v>
      </c>
      <c r="EH55" s="9">
        <v>4039571</v>
      </c>
      <c r="EI55" s="9">
        <v>4959096</v>
      </c>
      <c r="EJ55" s="9">
        <v>5548527</v>
      </c>
      <c r="EK55" s="9">
        <v>5996201</v>
      </c>
      <c r="EL55" s="9">
        <v>6527522</v>
      </c>
      <c r="EM55" s="9">
        <v>6840220</v>
      </c>
      <c r="EN55" s="9">
        <v>8453266</v>
      </c>
      <c r="EO55" s="31">
        <v>8453266</v>
      </c>
      <c r="EP55" s="9">
        <v>0</v>
      </c>
      <c r="EQ55" s="9">
        <v>0</v>
      </c>
      <c r="ER55" s="9">
        <v>832107</v>
      </c>
      <c r="ES55" s="9">
        <v>2407636</v>
      </c>
      <c r="ET55" s="9">
        <v>3152766</v>
      </c>
      <c r="EU55" s="9">
        <v>4520387</v>
      </c>
      <c r="EV55" s="9">
        <v>5101149</v>
      </c>
      <c r="EW55" s="9">
        <v>5717562</v>
      </c>
      <c r="EX55" s="9">
        <v>6966959</v>
      </c>
      <c r="EY55" s="9">
        <v>7736069</v>
      </c>
      <c r="EZ55" s="9">
        <v>8038749</v>
      </c>
      <c r="FA55" s="9">
        <v>9624301</v>
      </c>
      <c r="FB55" s="31">
        <v>9624301</v>
      </c>
      <c r="FC55" s="9">
        <v>0</v>
      </c>
      <c r="FD55" s="9">
        <v>541326</v>
      </c>
      <c r="FE55" s="9">
        <v>1114843</v>
      </c>
      <c r="FF55" s="9">
        <v>1568397</v>
      </c>
      <c r="FG55" s="9">
        <v>1765260</v>
      </c>
      <c r="FH55" s="9">
        <v>2038550</v>
      </c>
      <c r="FI55" s="9">
        <v>2625513</v>
      </c>
      <c r="FJ55" s="9">
        <v>2625513</v>
      </c>
      <c r="FK55" s="9">
        <v>2625513</v>
      </c>
      <c r="FL55" s="9">
        <v>2625513</v>
      </c>
      <c r="FM55" s="9">
        <v>2625513</v>
      </c>
      <c r="FN55" s="9">
        <v>2625513</v>
      </c>
      <c r="FO55" s="31">
        <v>2625513</v>
      </c>
    </row>
    <row r="56" spans="2:171" x14ac:dyDescent="0.3">
      <c r="B56" s="7" t="s">
        <v>50</v>
      </c>
      <c r="C56" s="9">
        <v>0</v>
      </c>
      <c r="D56" s="9">
        <v>0</v>
      </c>
      <c r="E56" s="9">
        <v>782168</v>
      </c>
      <c r="F56" s="9">
        <v>1347474</v>
      </c>
      <c r="G56" s="9">
        <v>2057929</v>
      </c>
      <c r="H56" s="9">
        <v>2558180</v>
      </c>
      <c r="I56" s="9">
        <v>3023152</v>
      </c>
      <c r="J56" s="9">
        <v>3298170</v>
      </c>
      <c r="K56" s="9">
        <v>3661291</v>
      </c>
      <c r="L56" s="9">
        <v>4271463</v>
      </c>
      <c r="M56" s="9">
        <v>4852376</v>
      </c>
      <c r="N56" s="9">
        <v>6434888</v>
      </c>
      <c r="O56" s="31">
        <v>6434888</v>
      </c>
      <c r="P56" s="9">
        <v>4092</v>
      </c>
      <c r="Q56" s="9">
        <v>231030</v>
      </c>
      <c r="R56" s="9">
        <v>292954</v>
      </c>
      <c r="S56" s="9">
        <v>438063</v>
      </c>
      <c r="T56" s="9">
        <v>1150097</v>
      </c>
      <c r="U56" s="9">
        <v>2838907</v>
      </c>
      <c r="V56" s="9">
        <v>5269359</v>
      </c>
      <c r="W56" s="9">
        <v>6833676</v>
      </c>
      <c r="X56" s="9">
        <v>9619988</v>
      </c>
      <c r="Y56" s="9">
        <v>10577705</v>
      </c>
      <c r="Z56" s="9">
        <v>11526517</v>
      </c>
      <c r="AA56" s="9">
        <v>15277375</v>
      </c>
      <c r="AB56" s="31">
        <v>15277375</v>
      </c>
      <c r="AC56" s="9">
        <v>0</v>
      </c>
      <c r="AD56" s="9">
        <v>93224</v>
      </c>
      <c r="AE56" s="9">
        <v>3184391</v>
      </c>
      <c r="AF56" s="9">
        <v>5955836</v>
      </c>
      <c r="AG56" s="9">
        <v>7106655</v>
      </c>
      <c r="AH56" s="9">
        <v>8239649</v>
      </c>
      <c r="AI56" s="9">
        <v>10101551</v>
      </c>
      <c r="AJ56" s="9">
        <v>11484697</v>
      </c>
      <c r="AK56" s="9">
        <v>13222733</v>
      </c>
      <c r="AL56" s="9">
        <v>14644815</v>
      </c>
      <c r="AM56" s="9">
        <v>18321371</v>
      </c>
      <c r="AN56" s="9">
        <v>23727109</v>
      </c>
      <c r="AO56" s="31">
        <v>23727109</v>
      </c>
      <c r="AP56" s="9">
        <v>0</v>
      </c>
      <c r="AQ56" s="9">
        <v>431136</v>
      </c>
      <c r="AR56" s="9">
        <v>1409446</v>
      </c>
      <c r="AS56" s="9">
        <v>2578331</v>
      </c>
      <c r="AT56" s="9">
        <v>4041879</v>
      </c>
      <c r="AU56" s="9">
        <v>4928737</v>
      </c>
      <c r="AV56" s="9">
        <v>6001692</v>
      </c>
      <c r="AW56" s="9">
        <v>7767287</v>
      </c>
      <c r="AX56" s="9">
        <v>9432392</v>
      </c>
      <c r="AY56" s="9">
        <v>10906439</v>
      </c>
      <c r="AZ56" s="9">
        <v>12751249</v>
      </c>
      <c r="BA56" s="9">
        <v>16549920</v>
      </c>
      <c r="BB56" s="31">
        <v>16549920</v>
      </c>
      <c r="BC56" s="9">
        <v>0</v>
      </c>
      <c r="BD56" s="9">
        <v>0</v>
      </c>
      <c r="BE56" s="9">
        <v>1894797</v>
      </c>
      <c r="BF56" s="9">
        <v>4257525</v>
      </c>
      <c r="BG56" s="9">
        <v>5238310</v>
      </c>
      <c r="BH56" s="9">
        <v>6174209</v>
      </c>
      <c r="BI56" s="9">
        <v>7718160</v>
      </c>
      <c r="BJ56" s="9">
        <v>8850068</v>
      </c>
      <c r="BK56" s="9">
        <v>9750916</v>
      </c>
      <c r="BL56" s="9">
        <v>10313499</v>
      </c>
      <c r="BM56" s="9">
        <v>10907596</v>
      </c>
      <c r="BN56" s="9">
        <v>14472612</v>
      </c>
      <c r="BO56" s="31">
        <v>14472612</v>
      </c>
      <c r="BP56" s="9">
        <v>0</v>
      </c>
      <c r="BQ56" s="9">
        <v>0</v>
      </c>
      <c r="BR56" s="9">
        <v>910691</v>
      </c>
      <c r="BS56" s="9">
        <v>1409752</v>
      </c>
      <c r="BT56" s="9">
        <v>2594470</v>
      </c>
      <c r="BU56" s="9">
        <v>3418003</v>
      </c>
      <c r="BV56" s="9">
        <v>4795828</v>
      </c>
      <c r="BW56" s="9">
        <v>5858245</v>
      </c>
      <c r="BX56" s="9">
        <v>6134205</v>
      </c>
      <c r="BY56" s="9">
        <v>6963320</v>
      </c>
      <c r="BZ56" s="9">
        <v>7933750</v>
      </c>
      <c r="CA56" s="9">
        <v>13905907</v>
      </c>
      <c r="CB56" s="31">
        <v>13905907</v>
      </c>
      <c r="CC56" s="9">
        <v>0</v>
      </c>
      <c r="CD56" s="9">
        <v>0</v>
      </c>
      <c r="CE56" s="9">
        <v>1027541</v>
      </c>
      <c r="CF56" s="9">
        <v>1765767</v>
      </c>
      <c r="CG56" s="9">
        <v>2601093</v>
      </c>
      <c r="CH56" s="9">
        <v>3897536</v>
      </c>
      <c r="CI56" s="9">
        <v>5398997</v>
      </c>
      <c r="CJ56" s="9">
        <v>7404891</v>
      </c>
      <c r="CK56" s="9">
        <v>9612010</v>
      </c>
      <c r="CL56" s="9">
        <v>11450577</v>
      </c>
      <c r="CM56" s="9">
        <v>13012809</v>
      </c>
      <c r="CN56" s="9">
        <v>17324522</v>
      </c>
      <c r="CO56" s="31">
        <v>17324522</v>
      </c>
      <c r="CP56" s="9">
        <v>0</v>
      </c>
      <c r="CQ56" s="9">
        <v>0</v>
      </c>
      <c r="CR56" s="9">
        <v>2499943</v>
      </c>
      <c r="CS56" s="9">
        <v>4318568</v>
      </c>
      <c r="CT56" s="9">
        <v>6254394</v>
      </c>
      <c r="CU56" s="9">
        <v>7571113</v>
      </c>
      <c r="CV56" s="9">
        <v>9318475</v>
      </c>
      <c r="CW56" s="9">
        <v>10622011</v>
      </c>
      <c r="CX56" s="9">
        <v>13964985</v>
      </c>
      <c r="CY56" s="9">
        <v>17055081</v>
      </c>
      <c r="CZ56" s="9">
        <v>20311131</v>
      </c>
      <c r="DA56" s="9">
        <v>28537218</v>
      </c>
      <c r="DB56" s="31">
        <v>28537218</v>
      </c>
      <c r="DC56" s="9">
        <v>0</v>
      </c>
      <c r="DD56" s="9">
        <v>1414267</v>
      </c>
      <c r="DE56" s="9">
        <v>4639959</v>
      </c>
      <c r="DF56" s="9">
        <v>7376742</v>
      </c>
      <c r="DG56" s="9">
        <v>10550320</v>
      </c>
      <c r="DH56" s="9">
        <v>12910552</v>
      </c>
      <c r="DI56" s="9">
        <v>15794687</v>
      </c>
      <c r="DJ56" s="9">
        <v>17723139</v>
      </c>
      <c r="DK56" s="9">
        <v>20220438</v>
      </c>
      <c r="DL56" s="9">
        <v>21146568</v>
      </c>
      <c r="DM56" s="9">
        <v>22839279</v>
      </c>
      <c r="DN56" s="9">
        <v>25969095</v>
      </c>
      <c r="DO56" s="31">
        <v>25969095</v>
      </c>
      <c r="DP56" s="9">
        <v>0</v>
      </c>
      <c r="DQ56" s="9">
        <v>0</v>
      </c>
      <c r="DR56" s="9">
        <v>0</v>
      </c>
      <c r="DS56" s="9">
        <v>435496</v>
      </c>
      <c r="DT56" s="9">
        <v>2956834</v>
      </c>
      <c r="DU56" s="9">
        <v>5460342</v>
      </c>
      <c r="DV56" s="9">
        <v>6519105</v>
      </c>
      <c r="DW56" s="9">
        <v>7562017</v>
      </c>
      <c r="DX56" s="9">
        <v>9330345</v>
      </c>
      <c r="DY56" s="9">
        <v>9842292</v>
      </c>
      <c r="DZ56" s="9">
        <v>11078284</v>
      </c>
      <c r="EA56" s="9">
        <v>15477344</v>
      </c>
      <c r="EB56" s="31">
        <v>15477344</v>
      </c>
      <c r="EC56" s="9">
        <v>0</v>
      </c>
      <c r="ED56" s="9">
        <v>505204</v>
      </c>
      <c r="EE56" s="9">
        <v>1560549</v>
      </c>
      <c r="EF56" s="9">
        <v>4524550</v>
      </c>
      <c r="EG56" s="9">
        <v>5126981</v>
      </c>
      <c r="EH56" s="9">
        <v>6324528</v>
      </c>
      <c r="EI56" s="9">
        <v>7622316</v>
      </c>
      <c r="EJ56" s="9">
        <v>9015359</v>
      </c>
      <c r="EK56" s="9">
        <v>9506130</v>
      </c>
      <c r="EL56" s="9">
        <v>10219951</v>
      </c>
      <c r="EM56" s="9">
        <v>10681549</v>
      </c>
      <c r="EN56" s="9">
        <v>14221677</v>
      </c>
      <c r="EO56" s="31">
        <v>14221677</v>
      </c>
      <c r="EP56" s="9">
        <v>0</v>
      </c>
      <c r="EQ56" s="9">
        <v>15654</v>
      </c>
      <c r="ER56" s="9">
        <v>1221981</v>
      </c>
      <c r="ES56" s="9">
        <v>2116938</v>
      </c>
      <c r="ET56" s="9">
        <v>3506670</v>
      </c>
      <c r="EU56" s="9">
        <v>4366354</v>
      </c>
      <c r="EV56" s="9">
        <v>5588134</v>
      </c>
      <c r="EW56" s="9">
        <v>6509294</v>
      </c>
      <c r="EX56" s="9">
        <v>7740606</v>
      </c>
      <c r="EY56" s="9">
        <v>8339500</v>
      </c>
      <c r="EZ56" s="9">
        <v>9479079</v>
      </c>
      <c r="FA56" s="9">
        <v>12476694</v>
      </c>
      <c r="FB56" s="31">
        <v>12476694</v>
      </c>
      <c r="FC56" s="9">
        <v>0</v>
      </c>
      <c r="FD56" s="9">
        <v>0</v>
      </c>
      <c r="FE56" s="9">
        <v>2568599</v>
      </c>
      <c r="FF56" s="9">
        <v>3613313</v>
      </c>
      <c r="FG56" s="9">
        <v>4523333</v>
      </c>
      <c r="FH56" s="9">
        <v>5273951</v>
      </c>
      <c r="FI56" s="9">
        <v>5934564</v>
      </c>
      <c r="FJ56" s="9">
        <v>5934564</v>
      </c>
      <c r="FK56" s="9">
        <v>5934564</v>
      </c>
      <c r="FL56" s="9">
        <v>5934564</v>
      </c>
      <c r="FM56" s="9">
        <v>5934564</v>
      </c>
      <c r="FN56" s="9">
        <v>5934564</v>
      </c>
      <c r="FO56" s="31">
        <v>5934564</v>
      </c>
    </row>
    <row r="57" spans="2:171" x14ac:dyDescent="0.3">
      <c r="B57" s="7" t="s">
        <v>51</v>
      </c>
      <c r="C57" s="9">
        <v>0</v>
      </c>
      <c r="D57" s="9">
        <v>0</v>
      </c>
      <c r="E57" s="9">
        <v>1098458</v>
      </c>
      <c r="F57" s="9">
        <v>1933638</v>
      </c>
      <c r="G57" s="9">
        <v>3064609</v>
      </c>
      <c r="H57" s="9">
        <v>3908033</v>
      </c>
      <c r="I57" s="9">
        <v>4697968</v>
      </c>
      <c r="J57" s="9">
        <v>5347985</v>
      </c>
      <c r="K57" s="9">
        <v>5671589</v>
      </c>
      <c r="L57" s="9">
        <v>6239294</v>
      </c>
      <c r="M57" s="9">
        <v>7770834</v>
      </c>
      <c r="N57" s="9">
        <v>9209771</v>
      </c>
      <c r="O57" s="31">
        <v>9209771</v>
      </c>
      <c r="P57" s="9">
        <v>8999</v>
      </c>
      <c r="Q57" s="9">
        <v>24058</v>
      </c>
      <c r="R57" s="9">
        <v>260612</v>
      </c>
      <c r="S57" s="9">
        <v>416001</v>
      </c>
      <c r="T57" s="9">
        <v>608430</v>
      </c>
      <c r="U57" s="9">
        <v>893914</v>
      </c>
      <c r="V57" s="9">
        <v>1116618</v>
      </c>
      <c r="W57" s="9">
        <v>1237369</v>
      </c>
      <c r="X57" s="9">
        <v>1414943</v>
      </c>
      <c r="Y57" s="9">
        <v>1713679</v>
      </c>
      <c r="Z57" s="9">
        <v>1972741</v>
      </c>
      <c r="AA57" s="9">
        <v>3998755</v>
      </c>
      <c r="AB57" s="31">
        <v>3998755</v>
      </c>
      <c r="AC57" s="9">
        <v>0</v>
      </c>
      <c r="AD57" s="9">
        <v>16593</v>
      </c>
      <c r="AE57" s="9">
        <v>1339225</v>
      </c>
      <c r="AF57" s="9">
        <v>3373362</v>
      </c>
      <c r="AG57" s="9">
        <v>3855615</v>
      </c>
      <c r="AH57" s="9">
        <v>4853900</v>
      </c>
      <c r="AI57" s="9">
        <v>5238231</v>
      </c>
      <c r="AJ57" s="9">
        <v>6361005</v>
      </c>
      <c r="AK57" s="9">
        <v>8223144</v>
      </c>
      <c r="AL57" s="9">
        <v>9659890</v>
      </c>
      <c r="AM57" s="9">
        <v>11445701</v>
      </c>
      <c r="AN57" s="9">
        <v>14268540</v>
      </c>
      <c r="AO57" s="31">
        <v>14268540</v>
      </c>
      <c r="AP57" s="9">
        <v>0</v>
      </c>
      <c r="AQ57" s="9">
        <v>33046</v>
      </c>
      <c r="AR57" s="9">
        <v>4155318</v>
      </c>
      <c r="AS57" s="9">
        <v>5965870</v>
      </c>
      <c r="AT57" s="9">
        <v>6695100</v>
      </c>
      <c r="AU57" s="9">
        <v>9408018</v>
      </c>
      <c r="AV57" s="9">
        <v>10611721</v>
      </c>
      <c r="AW57" s="9">
        <v>12150340</v>
      </c>
      <c r="AX57" s="9">
        <v>13208552</v>
      </c>
      <c r="AY57" s="9">
        <v>14585443</v>
      </c>
      <c r="AZ57" s="9">
        <v>15610128</v>
      </c>
      <c r="BA57" s="9">
        <v>19456156</v>
      </c>
      <c r="BB57" s="31">
        <v>19456156</v>
      </c>
      <c r="BC57" s="9">
        <v>0</v>
      </c>
      <c r="BD57" s="9">
        <v>0</v>
      </c>
      <c r="BE57" s="9">
        <v>2580218</v>
      </c>
      <c r="BF57" s="9">
        <v>3786906</v>
      </c>
      <c r="BG57" s="9">
        <v>4949566</v>
      </c>
      <c r="BH57" s="9">
        <v>5630786</v>
      </c>
      <c r="BI57" s="9">
        <v>6368160</v>
      </c>
      <c r="BJ57" s="9">
        <v>7294318</v>
      </c>
      <c r="BK57" s="9">
        <v>8346883</v>
      </c>
      <c r="BL57" s="9">
        <v>9334347</v>
      </c>
      <c r="BM57" s="9">
        <v>11119202</v>
      </c>
      <c r="BN57" s="9">
        <v>14855118</v>
      </c>
      <c r="BO57" s="31">
        <v>14855118</v>
      </c>
      <c r="BP57" s="9">
        <v>0</v>
      </c>
      <c r="BQ57" s="9">
        <v>0</v>
      </c>
      <c r="BR57" s="9">
        <v>2753306</v>
      </c>
      <c r="BS57" s="9">
        <v>3686888</v>
      </c>
      <c r="BT57" s="9">
        <v>5052293</v>
      </c>
      <c r="BU57" s="9">
        <v>6328203</v>
      </c>
      <c r="BV57" s="9">
        <v>7082487</v>
      </c>
      <c r="BW57" s="9">
        <v>7719385</v>
      </c>
      <c r="BX57" s="9">
        <v>8461345</v>
      </c>
      <c r="BY57" s="9">
        <v>9165065</v>
      </c>
      <c r="BZ57" s="9">
        <v>10230142</v>
      </c>
      <c r="CA57" s="9">
        <v>13715523</v>
      </c>
      <c r="CB57" s="31">
        <v>13715523</v>
      </c>
      <c r="CC57" s="9">
        <v>0</v>
      </c>
      <c r="CD57" s="9">
        <v>0</v>
      </c>
      <c r="CE57" s="9">
        <v>2234308</v>
      </c>
      <c r="CF57" s="9">
        <v>3228842</v>
      </c>
      <c r="CG57" s="9">
        <v>4095520</v>
      </c>
      <c r="CH57" s="9">
        <v>4635941</v>
      </c>
      <c r="CI57" s="9">
        <v>5023185</v>
      </c>
      <c r="CJ57" s="9">
        <v>5525140</v>
      </c>
      <c r="CK57" s="9">
        <v>6027626</v>
      </c>
      <c r="CL57" s="9">
        <v>6386362</v>
      </c>
      <c r="CM57" s="9">
        <v>7230663</v>
      </c>
      <c r="CN57" s="9">
        <v>12532955</v>
      </c>
      <c r="CO57" s="31">
        <v>12532955</v>
      </c>
      <c r="CP57" s="9">
        <v>0</v>
      </c>
      <c r="CQ57" s="9">
        <v>87292</v>
      </c>
      <c r="CR57" s="9">
        <v>793272</v>
      </c>
      <c r="CS57" s="9">
        <v>1556347</v>
      </c>
      <c r="CT57" s="9">
        <v>2282348</v>
      </c>
      <c r="CU57" s="9">
        <v>2893680</v>
      </c>
      <c r="CV57" s="9">
        <v>3632116</v>
      </c>
      <c r="CW57" s="9">
        <v>4938968</v>
      </c>
      <c r="CX57" s="9">
        <v>6587924</v>
      </c>
      <c r="CY57" s="9">
        <v>8294837</v>
      </c>
      <c r="CZ57" s="9">
        <v>10043378</v>
      </c>
      <c r="DA57" s="9">
        <v>15656119</v>
      </c>
      <c r="DB57" s="31">
        <v>15656119</v>
      </c>
      <c r="DC57" s="9">
        <v>0</v>
      </c>
      <c r="DD57" s="9">
        <v>86461</v>
      </c>
      <c r="DE57" s="9">
        <v>1016727</v>
      </c>
      <c r="DF57" s="9">
        <v>1570665</v>
      </c>
      <c r="DG57" s="9">
        <v>2318130</v>
      </c>
      <c r="DH57" s="9">
        <v>5012601</v>
      </c>
      <c r="DI57" s="9">
        <v>5637478</v>
      </c>
      <c r="DJ57" s="9">
        <v>6210424</v>
      </c>
      <c r="DK57" s="9">
        <v>7549082</v>
      </c>
      <c r="DL57" s="9">
        <v>8799496</v>
      </c>
      <c r="DM57" s="9">
        <v>10623552</v>
      </c>
      <c r="DN57" s="9">
        <v>17848435</v>
      </c>
      <c r="DO57" s="31">
        <v>17848435</v>
      </c>
      <c r="DP57" s="9">
        <v>0</v>
      </c>
      <c r="DQ57" s="9">
        <v>0</v>
      </c>
      <c r="DR57" s="9">
        <v>2793263</v>
      </c>
      <c r="DS57" s="9">
        <v>4637349</v>
      </c>
      <c r="DT57" s="9">
        <v>6800955</v>
      </c>
      <c r="DU57" s="9">
        <v>9305411</v>
      </c>
      <c r="DV57" s="9">
        <v>11608286</v>
      </c>
      <c r="DW57" s="9">
        <v>13058895</v>
      </c>
      <c r="DX57" s="9">
        <v>15088967</v>
      </c>
      <c r="DY57" s="9">
        <v>15598733</v>
      </c>
      <c r="DZ57" s="9">
        <v>17616851</v>
      </c>
      <c r="EA57" s="9">
        <v>22912881</v>
      </c>
      <c r="EB57" s="31">
        <v>22912881</v>
      </c>
      <c r="EC57" s="9">
        <v>0</v>
      </c>
      <c r="ED57" s="9">
        <v>91311</v>
      </c>
      <c r="EE57" s="9">
        <v>1543145</v>
      </c>
      <c r="EF57" s="9">
        <v>1812150</v>
      </c>
      <c r="EG57" s="9">
        <v>2866970</v>
      </c>
      <c r="EH57" s="9">
        <v>3198071</v>
      </c>
      <c r="EI57" s="9">
        <v>3550823</v>
      </c>
      <c r="EJ57" s="9">
        <v>3879032</v>
      </c>
      <c r="EK57" s="9">
        <v>4224296</v>
      </c>
      <c r="EL57" s="9">
        <v>4965161</v>
      </c>
      <c r="EM57" s="9">
        <v>5497696</v>
      </c>
      <c r="EN57" s="9">
        <v>8070989</v>
      </c>
      <c r="EO57" s="31">
        <v>8070989</v>
      </c>
      <c r="EP57" s="9">
        <v>0</v>
      </c>
      <c r="EQ57" s="9">
        <v>0</v>
      </c>
      <c r="ER57" s="9">
        <v>782785</v>
      </c>
      <c r="ES57" s="9">
        <v>3521623</v>
      </c>
      <c r="ET57" s="9">
        <v>5392411</v>
      </c>
      <c r="EU57" s="9">
        <v>7003168</v>
      </c>
      <c r="EV57" s="9">
        <v>8794735</v>
      </c>
      <c r="EW57" s="9">
        <v>9187072</v>
      </c>
      <c r="EX57" s="9">
        <v>9707571</v>
      </c>
      <c r="EY57" s="9">
        <v>11078757</v>
      </c>
      <c r="EZ57" s="9">
        <v>11801848</v>
      </c>
      <c r="FA57" s="9">
        <v>13299232</v>
      </c>
      <c r="FB57" s="31">
        <v>13299232</v>
      </c>
      <c r="FC57" s="9">
        <v>0</v>
      </c>
      <c r="FD57" s="9">
        <v>0</v>
      </c>
      <c r="FE57" s="9">
        <v>671571</v>
      </c>
      <c r="FF57" s="9">
        <v>947529</v>
      </c>
      <c r="FG57" s="9">
        <v>1212531</v>
      </c>
      <c r="FH57" s="9">
        <v>3074751</v>
      </c>
      <c r="FI57" s="9">
        <v>4493515</v>
      </c>
      <c r="FJ57" s="9">
        <v>4493515</v>
      </c>
      <c r="FK57" s="9">
        <v>4493515</v>
      </c>
      <c r="FL57" s="9">
        <v>4493515</v>
      </c>
      <c r="FM57" s="9">
        <v>4493515</v>
      </c>
      <c r="FN57" s="9">
        <v>4493515</v>
      </c>
      <c r="FO57" s="31">
        <v>4493515</v>
      </c>
    </row>
    <row r="58" spans="2:171" x14ac:dyDescent="0.3">
      <c r="B58" s="7" t="s">
        <v>52</v>
      </c>
      <c r="C58" s="9">
        <v>0</v>
      </c>
      <c r="D58" s="9">
        <v>0</v>
      </c>
      <c r="E58" s="9">
        <v>2513542</v>
      </c>
      <c r="F58" s="9">
        <v>3412271</v>
      </c>
      <c r="G58" s="9">
        <v>4408845</v>
      </c>
      <c r="H58" s="9">
        <v>5186589</v>
      </c>
      <c r="I58" s="9">
        <v>5476407</v>
      </c>
      <c r="J58" s="9">
        <v>5887832</v>
      </c>
      <c r="K58" s="9">
        <v>5951399</v>
      </c>
      <c r="L58" s="9">
        <v>7183682</v>
      </c>
      <c r="M58" s="9">
        <v>11165109</v>
      </c>
      <c r="N58" s="9">
        <v>15718762</v>
      </c>
      <c r="O58" s="31">
        <v>15718762</v>
      </c>
      <c r="P58" s="9">
        <v>71110</v>
      </c>
      <c r="Q58" s="9">
        <v>454325</v>
      </c>
      <c r="R58" s="9">
        <v>1758422</v>
      </c>
      <c r="S58" s="9">
        <v>2676989</v>
      </c>
      <c r="T58" s="9">
        <v>3698079</v>
      </c>
      <c r="U58" s="9">
        <v>4404201</v>
      </c>
      <c r="V58" s="9">
        <v>5475035</v>
      </c>
      <c r="W58" s="9">
        <v>6339833</v>
      </c>
      <c r="X58" s="9">
        <v>7669044</v>
      </c>
      <c r="Y58" s="9">
        <v>9384372</v>
      </c>
      <c r="Z58" s="9">
        <v>10861151</v>
      </c>
      <c r="AA58" s="9">
        <v>12973688</v>
      </c>
      <c r="AB58" s="31">
        <v>12973688</v>
      </c>
      <c r="AC58" s="9">
        <v>0</v>
      </c>
      <c r="AD58" s="9">
        <v>4200</v>
      </c>
      <c r="AE58" s="9">
        <v>2702394</v>
      </c>
      <c r="AF58" s="9">
        <v>3616540</v>
      </c>
      <c r="AG58" s="9">
        <v>4748907</v>
      </c>
      <c r="AH58" s="9">
        <v>6165619</v>
      </c>
      <c r="AI58" s="9">
        <v>7276872</v>
      </c>
      <c r="AJ58" s="9">
        <v>8360770</v>
      </c>
      <c r="AK58" s="9">
        <v>9362544</v>
      </c>
      <c r="AL58" s="9">
        <v>10950685</v>
      </c>
      <c r="AM58" s="9">
        <v>13481793</v>
      </c>
      <c r="AN58" s="9">
        <v>17901095</v>
      </c>
      <c r="AO58" s="31">
        <v>17901095</v>
      </c>
      <c r="AP58" s="9">
        <v>0</v>
      </c>
      <c r="AQ58" s="9">
        <v>638200</v>
      </c>
      <c r="AR58" s="9">
        <v>3893999</v>
      </c>
      <c r="AS58" s="9">
        <v>5448165</v>
      </c>
      <c r="AT58" s="9">
        <v>7142382</v>
      </c>
      <c r="AU58" s="9">
        <v>9343795</v>
      </c>
      <c r="AV58" s="9">
        <v>11326679</v>
      </c>
      <c r="AW58" s="9">
        <v>13888007</v>
      </c>
      <c r="AX58" s="9">
        <v>15098925</v>
      </c>
      <c r="AY58" s="9">
        <v>16402080</v>
      </c>
      <c r="AZ58" s="9">
        <v>17685552</v>
      </c>
      <c r="BA58" s="9">
        <v>19946546</v>
      </c>
      <c r="BB58" s="31">
        <v>19946546</v>
      </c>
      <c r="BC58" s="9">
        <v>0</v>
      </c>
      <c r="BD58" s="9">
        <v>4250</v>
      </c>
      <c r="BE58" s="9">
        <v>4651436</v>
      </c>
      <c r="BF58" s="9">
        <v>5760832</v>
      </c>
      <c r="BG58" s="9">
        <v>7130498</v>
      </c>
      <c r="BH58" s="9">
        <v>8641438</v>
      </c>
      <c r="BI58" s="9">
        <v>9497124</v>
      </c>
      <c r="BJ58" s="9">
        <v>10683527</v>
      </c>
      <c r="BK58" s="9">
        <v>11657409</v>
      </c>
      <c r="BL58" s="9">
        <v>13288277</v>
      </c>
      <c r="BM58" s="9">
        <v>14093331</v>
      </c>
      <c r="BN58" s="9">
        <v>16630930</v>
      </c>
      <c r="BO58" s="31">
        <v>16630930</v>
      </c>
      <c r="BP58" s="9">
        <v>0</v>
      </c>
      <c r="BQ58" s="9">
        <v>0</v>
      </c>
      <c r="BR58" s="9">
        <v>2205084</v>
      </c>
      <c r="BS58" s="9">
        <v>2602194</v>
      </c>
      <c r="BT58" s="9">
        <v>3870748</v>
      </c>
      <c r="BU58" s="9">
        <v>5059716</v>
      </c>
      <c r="BV58" s="9">
        <v>5471563</v>
      </c>
      <c r="BW58" s="9">
        <v>5958514</v>
      </c>
      <c r="BX58" s="9">
        <v>6471586</v>
      </c>
      <c r="BY58" s="9">
        <v>7074258</v>
      </c>
      <c r="BZ58" s="9">
        <v>8670899</v>
      </c>
      <c r="CA58" s="9">
        <v>10285886</v>
      </c>
      <c r="CB58" s="31">
        <v>10285886</v>
      </c>
      <c r="CC58" s="9">
        <v>0</v>
      </c>
      <c r="CD58" s="9">
        <v>0</v>
      </c>
      <c r="CE58" s="9">
        <v>1944475</v>
      </c>
      <c r="CF58" s="9">
        <v>3245659</v>
      </c>
      <c r="CG58" s="9">
        <v>4690523</v>
      </c>
      <c r="CH58" s="9">
        <v>5474272</v>
      </c>
      <c r="CI58" s="9">
        <v>6224364</v>
      </c>
      <c r="CJ58" s="9">
        <v>6873785</v>
      </c>
      <c r="CK58" s="9">
        <v>7216001</v>
      </c>
      <c r="CL58" s="9">
        <v>7838147</v>
      </c>
      <c r="CM58" s="9">
        <v>8875527</v>
      </c>
      <c r="CN58" s="9">
        <v>10845646</v>
      </c>
      <c r="CO58" s="31">
        <v>10845646</v>
      </c>
      <c r="CP58" s="9">
        <v>0</v>
      </c>
      <c r="CQ58" s="9">
        <v>145074</v>
      </c>
      <c r="CR58" s="9">
        <v>1058879</v>
      </c>
      <c r="CS58" s="9">
        <v>2039763</v>
      </c>
      <c r="CT58" s="9">
        <v>2953907</v>
      </c>
      <c r="CU58" s="9">
        <v>3778375</v>
      </c>
      <c r="CV58" s="9">
        <v>4390330</v>
      </c>
      <c r="CW58" s="9">
        <v>4988153</v>
      </c>
      <c r="CX58" s="9">
        <v>6096186</v>
      </c>
      <c r="CY58" s="9">
        <v>7319317</v>
      </c>
      <c r="CZ58" s="9">
        <v>8210062</v>
      </c>
      <c r="DA58" s="9">
        <v>11722421</v>
      </c>
      <c r="DB58" s="31">
        <v>11722421</v>
      </c>
      <c r="DC58" s="9">
        <v>0</v>
      </c>
      <c r="DD58" s="9">
        <v>0</v>
      </c>
      <c r="DE58" s="9">
        <v>2242990</v>
      </c>
      <c r="DF58" s="9">
        <v>2913694</v>
      </c>
      <c r="DG58" s="9">
        <v>3475710</v>
      </c>
      <c r="DH58" s="9">
        <v>4563044</v>
      </c>
      <c r="DI58" s="9">
        <v>5503722</v>
      </c>
      <c r="DJ58" s="9">
        <v>5982265</v>
      </c>
      <c r="DK58" s="9">
        <v>7324275</v>
      </c>
      <c r="DL58" s="9">
        <v>8473012</v>
      </c>
      <c r="DM58" s="9">
        <v>9570289</v>
      </c>
      <c r="DN58" s="9">
        <v>12299225</v>
      </c>
      <c r="DO58" s="31">
        <v>12299225</v>
      </c>
      <c r="DP58" s="9">
        <v>0</v>
      </c>
      <c r="DQ58" s="9">
        <v>184861</v>
      </c>
      <c r="DR58" s="9">
        <v>2550024</v>
      </c>
      <c r="DS58" s="9">
        <v>3335427</v>
      </c>
      <c r="DT58" s="9">
        <v>3954033</v>
      </c>
      <c r="DU58" s="9">
        <v>5137967</v>
      </c>
      <c r="DV58" s="9">
        <v>6515902</v>
      </c>
      <c r="DW58" s="9">
        <v>9869211</v>
      </c>
      <c r="DX58" s="9">
        <v>11282350</v>
      </c>
      <c r="DY58" s="9">
        <v>14137020</v>
      </c>
      <c r="DZ58" s="9">
        <v>16461275</v>
      </c>
      <c r="EA58" s="9">
        <v>20087982</v>
      </c>
      <c r="EB58" s="31">
        <v>20087982</v>
      </c>
      <c r="EC58" s="9">
        <v>0</v>
      </c>
      <c r="ED58" s="9">
        <v>0</v>
      </c>
      <c r="EE58" s="9">
        <v>2563142</v>
      </c>
      <c r="EF58" s="9">
        <v>4937234</v>
      </c>
      <c r="EG58" s="9">
        <v>6455476</v>
      </c>
      <c r="EH58" s="9">
        <v>7874182</v>
      </c>
      <c r="EI58" s="9">
        <v>9537233</v>
      </c>
      <c r="EJ58" s="9">
        <v>10627246</v>
      </c>
      <c r="EK58" s="9">
        <v>11749652</v>
      </c>
      <c r="EL58" s="9">
        <v>12736164</v>
      </c>
      <c r="EM58" s="9">
        <v>14354886</v>
      </c>
      <c r="EN58" s="9">
        <v>18304746</v>
      </c>
      <c r="EO58" s="31">
        <v>18304746</v>
      </c>
      <c r="EP58" s="9">
        <v>0</v>
      </c>
      <c r="EQ58" s="9">
        <v>0</v>
      </c>
      <c r="ER58" s="9">
        <v>537044</v>
      </c>
      <c r="ES58" s="9">
        <v>4624082</v>
      </c>
      <c r="ET58" s="9">
        <v>6663050</v>
      </c>
      <c r="EU58" s="9">
        <v>7372366</v>
      </c>
      <c r="EV58" s="9">
        <v>8896020</v>
      </c>
      <c r="EW58" s="9">
        <v>10874834</v>
      </c>
      <c r="EX58" s="9">
        <v>11736753</v>
      </c>
      <c r="EY58" s="9">
        <v>13073544</v>
      </c>
      <c r="EZ58" s="9">
        <v>14605811</v>
      </c>
      <c r="FA58" s="9">
        <v>17113896</v>
      </c>
      <c r="FB58" s="31">
        <v>17113896</v>
      </c>
      <c r="FC58" s="9">
        <v>0</v>
      </c>
      <c r="FD58" s="9">
        <v>1214485</v>
      </c>
      <c r="FE58" s="9">
        <v>1998311</v>
      </c>
      <c r="FF58" s="9">
        <v>3214367</v>
      </c>
      <c r="FG58" s="9">
        <v>6370940</v>
      </c>
      <c r="FH58" s="9">
        <v>7328213</v>
      </c>
      <c r="FI58" s="9">
        <v>8973928</v>
      </c>
      <c r="FJ58" s="9">
        <v>8973928</v>
      </c>
      <c r="FK58" s="9">
        <v>8973928</v>
      </c>
      <c r="FL58" s="9">
        <v>8973928</v>
      </c>
      <c r="FM58" s="9">
        <v>8973928</v>
      </c>
      <c r="FN58" s="9">
        <v>8973928</v>
      </c>
      <c r="FO58" s="31">
        <v>8973928</v>
      </c>
    </row>
    <row r="59" spans="2:171" x14ac:dyDescent="0.3">
      <c r="B59" s="7" t="s">
        <v>53</v>
      </c>
      <c r="C59" s="9">
        <v>0</v>
      </c>
      <c r="D59" s="9">
        <v>0</v>
      </c>
      <c r="E59" s="9">
        <v>4682990</v>
      </c>
      <c r="F59" s="9">
        <v>6737067</v>
      </c>
      <c r="G59" s="9">
        <v>9073470</v>
      </c>
      <c r="H59" s="9">
        <v>11274580</v>
      </c>
      <c r="I59" s="9">
        <v>12685525</v>
      </c>
      <c r="J59" s="9">
        <v>14707743</v>
      </c>
      <c r="K59" s="9">
        <v>16168686</v>
      </c>
      <c r="L59" s="9">
        <v>18628188</v>
      </c>
      <c r="M59" s="9">
        <v>21627939</v>
      </c>
      <c r="N59" s="9">
        <v>26720935</v>
      </c>
      <c r="O59" s="31">
        <v>26720935</v>
      </c>
      <c r="P59" s="9">
        <v>2561068</v>
      </c>
      <c r="Q59" s="9">
        <v>4817816</v>
      </c>
      <c r="R59" s="9">
        <v>8111988</v>
      </c>
      <c r="S59" s="9">
        <v>10861654</v>
      </c>
      <c r="T59" s="9">
        <v>13586321</v>
      </c>
      <c r="U59" s="9">
        <v>15077683</v>
      </c>
      <c r="V59" s="9">
        <v>16918337</v>
      </c>
      <c r="W59" s="9">
        <v>18691777</v>
      </c>
      <c r="X59" s="9">
        <v>20724096</v>
      </c>
      <c r="Y59" s="9">
        <v>23469588</v>
      </c>
      <c r="Z59" s="9">
        <v>29168140</v>
      </c>
      <c r="AA59" s="9">
        <v>34824496</v>
      </c>
      <c r="AB59" s="31">
        <v>34824496</v>
      </c>
      <c r="AC59" s="9">
        <v>224821</v>
      </c>
      <c r="AD59" s="9">
        <v>1278603</v>
      </c>
      <c r="AE59" s="9">
        <v>2677630</v>
      </c>
      <c r="AF59" s="9">
        <v>4423969</v>
      </c>
      <c r="AG59" s="9">
        <v>5750799</v>
      </c>
      <c r="AH59" s="9">
        <v>7383615</v>
      </c>
      <c r="AI59" s="9">
        <v>8433108</v>
      </c>
      <c r="AJ59" s="9">
        <v>10145300</v>
      </c>
      <c r="AK59" s="9">
        <v>13841439</v>
      </c>
      <c r="AL59" s="9">
        <v>16493034</v>
      </c>
      <c r="AM59" s="9">
        <v>19575261</v>
      </c>
      <c r="AN59" s="9">
        <v>29886003</v>
      </c>
      <c r="AO59" s="31">
        <v>29886003</v>
      </c>
      <c r="AP59" s="9">
        <v>16506</v>
      </c>
      <c r="AQ59" s="9">
        <v>2024369</v>
      </c>
      <c r="AR59" s="9">
        <v>3960178</v>
      </c>
      <c r="AS59" s="9">
        <v>5569008</v>
      </c>
      <c r="AT59" s="9">
        <v>7250492</v>
      </c>
      <c r="AU59" s="9">
        <v>9199235</v>
      </c>
      <c r="AV59" s="9">
        <v>12117075</v>
      </c>
      <c r="AW59" s="9">
        <v>15625214</v>
      </c>
      <c r="AX59" s="9">
        <v>18786926</v>
      </c>
      <c r="AY59" s="9">
        <v>22952869</v>
      </c>
      <c r="AZ59" s="9">
        <v>28063619</v>
      </c>
      <c r="BA59" s="9">
        <v>38234943</v>
      </c>
      <c r="BB59" s="31">
        <v>38234943</v>
      </c>
      <c r="BC59" s="9">
        <v>0</v>
      </c>
      <c r="BD59" s="9">
        <v>1421348</v>
      </c>
      <c r="BE59" s="9">
        <v>4321108</v>
      </c>
      <c r="BF59" s="9">
        <v>6377758</v>
      </c>
      <c r="BG59" s="9">
        <v>8515875</v>
      </c>
      <c r="BH59" s="9">
        <v>10265173</v>
      </c>
      <c r="BI59" s="9">
        <v>12719573</v>
      </c>
      <c r="BJ59" s="9">
        <v>15004072</v>
      </c>
      <c r="BK59" s="9">
        <v>17238142</v>
      </c>
      <c r="BL59" s="9">
        <v>19728628</v>
      </c>
      <c r="BM59" s="9">
        <v>22680584</v>
      </c>
      <c r="BN59" s="9">
        <v>27714608</v>
      </c>
      <c r="BO59" s="31">
        <v>27714608</v>
      </c>
      <c r="BP59" s="9">
        <v>0</v>
      </c>
      <c r="BQ59" s="9">
        <v>0</v>
      </c>
      <c r="BR59" s="9">
        <v>4348933</v>
      </c>
      <c r="BS59" s="9">
        <v>6874858</v>
      </c>
      <c r="BT59" s="9">
        <v>9416897</v>
      </c>
      <c r="BU59" s="9">
        <v>11406050</v>
      </c>
      <c r="BV59" s="9">
        <v>14220308</v>
      </c>
      <c r="BW59" s="9">
        <v>17069752</v>
      </c>
      <c r="BX59" s="9">
        <v>19612545</v>
      </c>
      <c r="BY59" s="9">
        <v>22845584</v>
      </c>
      <c r="BZ59" s="9">
        <v>26887876</v>
      </c>
      <c r="CA59" s="9">
        <v>32568898</v>
      </c>
      <c r="CB59" s="31">
        <v>32568898</v>
      </c>
      <c r="CC59" s="9">
        <v>0</v>
      </c>
      <c r="CD59" s="9">
        <v>0</v>
      </c>
      <c r="CE59" s="9">
        <v>4568439</v>
      </c>
      <c r="CF59" s="9">
        <v>6603295</v>
      </c>
      <c r="CG59" s="9">
        <v>9300130</v>
      </c>
      <c r="CH59" s="9">
        <v>12235601</v>
      </c>
      <c r="CI59" s="9">
        <v>14526131</v>
      </c>
      <c r="CJ59" s="9">
        <v>16939219</v>
      </c>
      <c r="CK59" s="9">
        <v>19917692</v>
      </c>
      <c r="CL59" s="9">
        <v>23257211</v>
      </c>
      <c r="CM59" s="9">
        <v>26731410</v>
      </c>
      <c r="CN59" s="9">
        <v>33967325</v>
      </c>
      <c r="CO59" s="31">
        <v>33967325</v>
      </c>
      <c r="CP59" s="9">
        <v>0</v>
      </c>
      <c r="CQ59" s="9">
        <v>2423327</v>
      </c>
      <c r="CR59" s="9">
        <v>6782736</v>
      </c>
      <c r="CS59" s="9">
        <v>15251668</v>
      </c>
      <c r="CT59" s="9">
        <v>16748720</v>
      </c>
      <c r="CU59" s="9">
        <v>18415304</v>
      </c>
      <c r="CV59" s="9">
        <v>21339663</v>
      </c>
      <c r="CW59" s="9">
        <v>23380013</v>
      </c>
      <c r="CX59" s="9">
        <v>25383530</v>
      </c>
      <c r="CY59" s="9">
        <v>31015191</v>
      </c>
      <c r="CZ59" s="9">
        <v>34807108</v>
      </c>
      <c r="DA59" s="9">
        <v>41047311</v>
      </c>
      <c r="DB59" s="31">
        <v>41047311</v>
      </c>
      <c r="DC59" s="9">
        <v>0</v>
      </c>
      <c r="DD59" s="9">
        <v>1954310</v>
      </c>
      <c r="DE59" s="9">
        <v>5437246</v>
      </c>
      <c r="DF59" s="9">
        <v>9074366</v>
      </c>
      <c r="DG59" s="9">
        <v>11564328</v>
      </c>
      <c r="DH59" s="9">
        <v>13457755</v>
      </c>
      <c r="DI59" s="9">
        <v>16052872</v>
      </c>
      <c r="DJ59" s="9">
        <v>18591175</v>
      </c>
      <c r="DK59" s="9">
        <v>21394133</v>
      </c>
      <c r="DL59" s="9">
        <v>24741056</v>
      </c>
      <c r="DM59" s="9">
        <v>27312162</v>
      </c>
      <c r="DN59" s="9">
        <v>34255389</v>
      </c>
      <c r="DO59" s="31">
        <v>34255389</v>
      </c>
      <c r="DP59" s="9">
        <v>0</v>
      </c>
      <c r="DQ59" s="9">
        <v>1073661</v>
      </c>
      <c r="DR59" s="9">
        <v>6482752</v>
      </c>
      <c r="DS59" s="9">
        <v>11046429</v>
      </c>
      <c r="DT59" s="9">
        <v>14774156</v>
      </c>
      <c r="DU59" s="9">
        <v>17141463</v>
      </c>
      <c r="DV59" s="9">
        <v>19176471</v>
      </c>
      <c r="DW59" s="9">
        <v>22477672</v>
      </c>
      <c r="DX59" s="9">
        <v>24576750</v>
      </c>
      <c r="DY59" s="9">
        <v>28005939</v>
      </c>
      <c r="DZ59" s="9">
        <v>30917189</v>
      </c>
      <c r="EA59" s="9">
        <v>43303337</v>
      </c>
      <c r="EB59" s="31">
        <v>43303337</v>
      </c>
      <c r="EC59" s="9">
        <v>0</v>
      </c>
      <c r="ED59" s="9">
        <v>817026</v>
      </c>
      <c r="EE59" s="9">
        <v>7211294</v>
      </c>
      <c r="EF59" s="9">
        <v>10269338</v>
      </c>
      <c r="EG59" s="9">
        <v>13142557</v>
      </c>
      <c r="EH59" s="9">
        <v>16019024</v>
      </c>
      <c r="EI59" s="9">
        <v>17552175</v>
      </c>
      <c r="EJ59" s="9">
        <v>20571069</v>
      </c>
      <c r="EK59" s="9">
        <v>23134677</v>
      </c>
      <c r="EL59" s="9">
        <v>25245587</v>
      </c>
      <c r="EM59" s="9">
        <v>28348834</v>
      </c>
      <c r="EN59" s="9">
        <v>35664606</v>
      </c>
      <c r="EO59" s="31">
        <v>35664606</v>
      </c>
      <c r="EP59" s="9">
        <v>0</v>
      </c>
      <c r="EQ59" s="9">
        <v>0</v>
      </c>
      <c r="ER59" s="9">
        <v>6894377</v>
      </c>
      <c r="ES59" s="9">
        <v>14671995</v>
      </c>
      <c r="ET59" s="9">
        <v>18775808</v>
      </c>
      <c r="EU59" s="9">
        <v>23907660</v>
      </c>
      <c r="EV59" s="9">
        <v>29396833</v>
      </c>
      <c r="EW59" s="9">
        <v>33730948</v>
      </c>
      <c r="EX59" s="9">
        <v>37737801</v>
      </c>
      <c r="EY59" s="9">
        <v>42029251</v>
      </c>
      <c r="EZ59" s="9">
        <v>45580303</v>
      </c>
      <c r="FA59" s="9">
        <v>55696292</v>
      </c>
      <c r="FB59" s="31">
        <v>55696292</v>
      </c>
      <c r="FC59" s="9">
        <v>0</v>
      </c>
      <c r="FD59" s="9">
        <v>575811</v>
      </c>
      <c r="FE59" s="9">
        <v>5659243</v>
      </c>
      <c r="FF59" s="9">
        <v>9197930</v>
      </c>
      <c r="FG59" s="9">
        <v>13083654</v>
      </c>
      <c r="FH59" s="9">
        <v>16463966</v>
      </c>
      <c r="FI59" s="9">
        <v>18166057</v>
      </c>
      <c r="FJ59" s="9">
        <v>18166057</v>
      </c>
      <c r="FK59" s="9">
        <v>18166057</v>
      </c>
      <c r="FL59" s="9">
        <v>18166057</v>
      </c>
      <c r="FM59" s="9">
        <v>18166057</v>
      </c>
      <c r="FN59" s="9">
        <v>18166057</v>
      </c>
      <c r="FO59" s="31">
        <v>18166057</v>
      </c>
    </row>
    <row r="60" spans="2:171" x14ac:dyDescent="0.3">
      <c r="B60" s="7" t="s">
        <v>54</v>
      </c>
      <c r="C60" s="9">
        <v>0</v>
      </c>
      <c r="D60" s="9">
        <v>0</v>
      </c>
      <c r="E60" s="9">
        <v>2970460</v>
      </c>
      <c r="F60" s="9">
        <v>7075373</v>
      </c>
      <c r="G60" s="9">
        <v>11029119</v>
      </c>
      <c r="H60" s="9">
        <v>14673873</v>
      </c>
      <c r="I60" s="9">
        <v>18929628</v>
      </c>
      <c r="J60" s="9">
        <v>22297963</v>
      </c>
      <c r="K60" s="9">
        <v>25916623</v>
      </c>
      <c r="L60" s="9">
        <v>30381483</v>
      </c>
      <c r="M60" s="9">
        <v>42408242</v>
      </c>
      <c r="N60" s="9">
        <v>57410502</v>
      </c>
      <c r="O60" s="31">
        <v>57410502</v>
      </c>
      <c r="P60" s="9">
        <v>139559</v>
      </c>
      <c r="Q60" s="9">
        <v>4065998</v>
      </c>
      <c r="R60" s="9">
        <v>8108896</v>
      </c>
      <c r="S60" s="9">
        <v>13346732</v>
      </c>
      <c r="T60" s="9">
        <v>22254966</v>
      </c>
      <c r="U60" s="9">
        <v>26324505</v>
      </c>
      <c r="V60" s="9">
        <v>29649709</v>
      </c>
      <c r="W60" s="9">
        <v>33482238</v>
      </c>
      <c r="X60" s="9">
        <v>37387061</v>
      </c>
      <c r="Y60" s="9">
        <v>46286901</v>
      </c>
      <c r="Z60" s="9">
        <v>52751680</v>
      </c>
      <c r="AA60" s="9">
        <v>77458939</v>
      </c>
      <c r="AB60" s="31">
        <v>77458939</v>
      </c>
      <c r="AC60" s="9">
        <v>0</v>
      </c>
      <c r="AD60" s="9">
        <v>2881477</v>
      </c>
      <c r="AE60" s="9">
        <v>8166342</v>
      </c>
      <c r="AF60" s="9">
        <v>13544296</v>
      </c>
      <c r="AG60" s="9">
        <v>18219423</v>
      </c>
      <c r="AH60" s="9">
        <v>22352621</v>
      </c>
      <c r="AI60" s="9">
        <v>25983046</v>
      </c>
      <c r="AJ60" s="9">
        <v>30449450</v>
      </c>
      <c r="AK60" s="9">
        <v>34399039</v>
      </c>
      <c r="AL60" s="9">
        <v>39823543</v>
      </c>
      <c r="AM60" s="9">
        <v>47010366</v>
      </c>
      <c r="AN60" s="9">
        <v>61458965</v>
      </c>
      <c r="AO60" s="31">
        <v>61458965</v>
      </c>
      <c r="AP60" s="9">
        <v>0</v>
      </c>
      <c r="AQ60" s="9">
        <v>43451</v>
      </c>
      <c r="AR60" s="9">
        <v>6381762</v>
      </c>
      <c r="AS60" s="9">
        <v>11054623</v>
      </c>
      <c r="AT60" s="9">
        <v>15079476</v>
      </c>
      <c r="AU60" s="9">
        <v>18322176</v>
      </c>
      <c r="AV60" s="9">
        <v>22489207</v>
      </c>
      <c r="AW60" s="9">
        <v>26693958</v>
      </c>
      <c r="AX60" s="9">
        <v>31570624</v>
      </c>
      <c r="AY60" s="9">
        <v>37626385</v>
      </c>
      <c r="AZ60" s="9">
        <v>45141783</v>
      </c>
      <c r="BA60" s="9">
        <v>65482649</v>
      </c>
      <c r="BB60" s="31">
        <v>65482649</v>
      </c>
      <c r="BC60" s="9">
        <v>0</v>
      </c>
      <c r="BD60" s="9">
        <v>0</v>
      </c>
      <c r="BE60" s="9">
        <v>8987133</v>
      </c>
      <c r="BF60" s="9">
        <v>14119906</v>
      </c>
      <c r="BG60" s="9">
        <v>18017167</v>
      </c>
      <c r="BH60" s="9">
        <v>21413096</v>
      </c>
      <c r="BI60" s="9">
        <v>24430930</v>
      </c>
      <c r="BJ60" s="9">
        <v>27550274</v>
      </c>
      <c r="BK60" s="9">
        <v>30736201</v>
      </c>
      <c r="BL60" s="9">
        <v>35415402</v>
      </c>
      <c r="BM60" s="9">
        <v>46178819</v>
      </c>
      <c r="BN60" s="9">
        <v>57766807</v>
      </c>
      <c r="BO60" s="31">
        <v>57766807</v>
      </c>
      <c r="BP60" s="9">
        <v>0</v>
      </c>
      <c r="BQ60" s="9">
        <v>0</v>
      </c>
      <c r="BR60" s="9">
        <v>9612053</v>
      </c>
      <c r="BS60" s="9">
        <v>13818878</v>
      </c>
      <c r="BT60" s="9">
        <v>16872617</v>
      </c>
      <c r="BU60" s="9">
        <v>21351154</v>
      </c>
      <c r="BV60" s="9">
        <v>25315392</v>
      </c>
      <c r="BW60" s="9">
        <v>28294973</v>
      </c>
      <c r="BX60" s="9">
        <v>30810123</v>
      </c>
      <c r="BY60" s="9">
        <v>33442924</v>
      </c>
      <c r="BZ60" s="9">
        <v>38060457</v>
      </c>
      <c r="CA60" s="9">
        <v>51041585</v>
      </c>
      <c r="CB60" s="31">
        <v>51041585</v>
      </c>
      <c r="CC60" s="9">
        <v>0</v>
      </c>
      <c r="CD60" s="9">
        <v>0</v>
      </c>
      <c r="CE60" s="9">
        <v>6424503</v>
      </c>
      <c r="CF60" s="9">
        <v>9878571</v>
      </c>
      <c r="CG60" s="9">
        <v>13104189</v>
      </c>
      <c r="CH60" s="9">
        <v>15753019</v>
      </c>
      <c r="CI60" s="9">
        <v>19023549</v>
      </c>
      <c r="CJ60" s="9">
        <v>23239366</v>
      </c>
      <c r="CK60" s="9">
        <v>31131974</v>
      </c>
      <c r="CL60" s="9">
        <v>35551974</v>
      </c>
      <c r="CM60" s="9">
        <v>46895221</v>
      </c>
      <c r="CN60" s="9">
        <v>61574099</v>
      </c>
      <c r="CO60" s="31">
        <v>61574099</v>
      </c>
      <c r="CP60" s="9">
        <v>0</v>
      </c>
      <c r="CQ60" s="9">
        <v>0</v>
      </c>
      <c r="CR60" s="9">
        <v>9171371</v>
      </c>
      <c r="CS60" s="9">
        <v>20167605</v>
      </c>
      <c r="CT60" s="9">
        <v>26768507</v>
      </c>
      <c r="CU60" s="9">
        <v>34468225</v>
      </c>
      <c r="CV60" s="9">
        <v>41087061</v>
      </c>
      <c r="CW60" s="9">
        <v>49548059</v>
      </c>
      <c r="CX60" s="9">
        <v>57425159</v>
      </c>
      <c r="CY60" s="9">
        <v>66050722</v>
      </c>
      <c r="CZ60" s="9">
        <v>74504640</v>
      </c>
      <c r="DA60" s="9">
        <v>93248356</v>
      </c>
      <c r="DB60" s="31">
        <v>93248356</v>
      </c>
      <c r="DC60" s="9">
        <v>0</v>
      </c>
      <c r="DD60" s="9">
        <v>20</v>
      </c>
      <c r="DE60" s="9">
        <v>7814847</v>
      </c>
      <c r="DF60" s="9">
        <v>14488934</v>
      </c>
      <c r="DG60" s="9">
        <v>20550387</v>
      </c>
      <c r="DH60" s="9">
        <v>25905467</v>
      </c>
      <c r="DI60" s="9">
        <v>31180285</v>
      </c>
      <c r="DJ60" s="9">
        <v>35454583</v>
      </c>
      <c r="DK60" s="9">
        <v>43316522</v>
      </c>
      <c r="DL60" s="9">
        <v>50229978</v>
      </c>
      <c r="DM60" s="9">
        <v>60493790</v>
      </c>
      <c r="DN60" s="9">
        <v>91204741</v>
      </c>
      <c r="DO60" s="31">
        <v>91204741</v>
      </c>
      <c r="DP60" s="9">
        <v>0</v>
      </c>
      <c r="DQ60" s="9">
        <v>0</v>
      </c>
      <c r="DR60" s="9">
        <v>7743578</v>
      </c>
      <c r="DS60" s="9">
        <v>12770777</v>
      </c>
      <c r="DT60" s="9">
        <v>22600345</v>
      </c>
      <c r="DU60" s="9">
        <v>29409607</v>
      </c>
      <c r="DV60" s="9">
        <v>34855974</v>
      </c>
      <c r="DW60" s="9">
        <v>38558182</v>
      </c>
      <c r="DX60" s="9">
        <v>39905006</v>
      </c>
      <c r="DY60" s="9">
        <v>43685225</v>
      </c>
      <c r="DZ60" s="9">
        <v>48485518</v>
      </c>
      <c r="EA60" s="9">
        <v>69805257</v>
      </c>
      <c r="EB60" s="31">
        <v>69805257</v>
      </c>
      <c r="EC60" s="9">
        <v>0</v>
      </c>
      <c r="ED60" s="9">
        <v>0</v>
      </c>
      <c r="EE60" s="9">
        <v>5802062</v>
      </c>
      <c r="EF60" s="9">
        <v>26606325</v>
      </c>
      <c r="EG60" s="9">
        <v>37830174</v>
      </c>
      <c r="EH60" s="9">
        <v>47455810</v>
      </c>
      <c r="EI60" s="9">
        <v>52375257</v>
      </c>
      <c r="EJ60" s="9">
        <v>56860092</v>
      </c>
      <c r="EK60" s="9">
        <v>60181952</v>
      </c>
      <c r="EL60" s="9">
        <v>63436734</v>
      </c>
      <c r="EM60" s="9">
        <v>69842295</v>
      </c>
      <c r="EN60" s="9">
        <v>84329419</v>
      </c>
      <c r="EO60" s="31">
        <v>84329419</v>
      </c>
      <c r="EP60" s="9">
        <v>0</v>
      </c>
      <c r="EQ60" s="9">
        <v>0</v>
      </c>
      <c r="ER60" s="9">
        <v>12132484</v>
      </c>
      <c r="ES60" s="9">
        <v>17263226</v>
      </c>
      <c r="ET60" s="9">
        <v>25244869</v>
      </c>
      <c r="EU60" s="9">
        <v>31340839</v>
      </c>
      <c r="EV60" s="9">
        <v>39240658</v>
      </c>
      <c r="EW60" s="9">
        <v>41627865</v>
      </c>
      <c r="EX60" s="9">
        <v>45007011</v>
      </c>
      <c r="EY60" s="9">
        <v>56559786</v>
      </c>
      <c r="EZ60" s="9">
        <v>61325912</v>
      </c>
      <c r="FA60" s="9">
        <v>79219999</v>
      </c>
      <c r="FB60" s="31">
        <v>79219999</v>
      </c>
      <c r="FC60" s="9">
        <v>0</v>
      </c>
      <c r="FD60" s="9">
        <v>8700230</v>
      </c>
      <c r="FE60" s="9">
        <v>16017382</v>
      </c>
      <c r="FF60" s="9">
        <v>19225220</v>
      </c>
      <c r="FG60" s="9">
        <v>23499085</v>
      </c>
      <c r="FH60" s="9">
        <v>28587732</v>
      </c>
      <c r="FI60" s="9">
        <v>32956485</v>
      </c>
      <c r="FJ60" s="9">
        <v>32956485</v>
      </c>
      <c r="FK60" s="9">
        <v>32956485</v>
      </c>
      <c r="FL60" s="9">
        <v>32956485</v>
      </c>
      <c r="FM60" s="9">
        <v>32956485</v>
      </c>
      <c r="FN60" s="9">
        <v>32956485</v>
      </c>
      <c r="FO60" s="31">
        <v>32956485</v>
      </c>
    </row>
    <row r="61" spans="2:171" x14ac:dyDescent="0.3">
      <c r="B61" s="7" t="s">
        <v>55</v>
      </c>
      <c r="C61" s="9">
        <v>0</v>
      </c>
      <c r="D61" s="9">
        <v>22242</v>
      </c>
      <c r="E61" s="9">
        <v>478896</v>
      </c>
      <c r="F61" s="9">
        <v>2549912</v>
      </c>
      <c r="G61" s="9">
        <v>5167975</v>
      </c>
      <c r="H61" s="9">
        <v>6238179</v>
      </c>
      <c r="I61" s="9">
        <v>7905028</v>
      </c>
      <c r="J61" s="9">
        <v>9924768</v>
      </c>
      <c r="K61" s="9">
        <v>11965300</v>
      </c>
      <c r="L61" s="9">
        <v>15043991</v>
      </c>
      <c r="M61" s="9">
        <v>17656937</v>
      </c>
      <c r="N61" s="9">
        <v>23748761</v>
      </c>
      <c r="O61" s="31">
        <v>23748761</v>
      </c>
      <c r="P61" s="9">
        <v>1254564</v>
      </c>
      <c r="Q61" s="9">
        <v>3173445</v>
      </c>
      <c r="R61" s="9">
        <v>4991770</v>
      </c>
      <c r="S61" s="9">
        <v>6315165</v>
      </c>
      <c r="T61" s="9">
        <v>7229974</v>
      </c>
      <c r="U61" s="9">
        <v>8881782</v>
      </c>
      <c r="V61" s="9">
        <v>9995926</v>
      </c>
      <c r="W61" s="9">
        <v>11130328</v>
      </c>
      <c r="X61" s="9">
        <v>12266626</v>
      </c>
      <c r="Y61" s="9">
        <v>12938846</v>
      </c>
      <c r="Z61" s="9">
        <v>14602559</v>
      </c>
      <c r="AA61" s="9">
        <v>17797525</v>
      </c>
      <c r="AB61" s="31">
        <v>17797525</v>
      </c>
      <c r="AC61" s="9">
        <v>9176</v>
      </c>
      <c r="AD61" s="9">
        <v>1428632</v>
      </c>
      <c r="AE61" s="9">
        <v>2465590</v>
      </c>
      <c r="AF61" s="9">
        <v>3433499</v>
      </c>
      <c r="AG61" s="9">
        <v>4351308</v>
      </c>
      <c r="AH61" s="9">
        <v>5226281</v>
      </c>
      <c r="AI61" s="9">
        <v>5968589</v>
      </c>
      <c r="AJ61" s="9">
        <v>6672133</v>
      </c>
      <c r="AK61" s="9">
        <v>7390606</v>
      </c>
      <c r="AL61" s="9">
        <v>8553565</v>
      </c>
      <c r="AM61" s="9">
        <v>9986200</v>
      </c>
      <c r="AN61" s="9">
        <v>13373805</v>
      </c>
      <c r="AO61" s="31">
        <v>13373805</v>
      </c>
      <c r="AP61" s="9">
        <v>255076</v>
      </c>
      <c r="AQ61" s="9">
        <v>1188844</v>
      </c>
      <c r="AR61" s="9">
        <v>2543469</v>
      </c>
      <c r="AS61" s="9">
        <v>3286158</v>
      </c>
      <c r="AT61" s="9">
        <v>3978582</v>
      </c>
      <c r="AU61" s="9">
        <v>5322922</v>
      </c>
      <c r="AV61" s="9">
        <v>5759652</v>
      </c>
      <c r="AW61" s="9">
        <v>6814851</v>
      </c>
      <c r="AX61" s="9">
        <v>7633241</v>
      </c>
      <c r="AY61" s="9">
        <v>8233443</v>
      </c>
      <c r="AZ61" s="9">
        <v>9070756</v>
      </c>
      <c r="BA61" s="9">
        <v>11670063</v>
      </c>
      <c r="BB61" s="31">
        <v>11670063</v>
      </c>
      <c r="BC61" s="9">
        <v>0</v>
      </c>
      <c r="BD61" s="9">
        <v>568944</v>
      </c>
      <c r="BE61" s="9">
        <v>1975522</v>
      </c>
      <c r="BF61" s="9">
        <v>2922577</v>
      </c>
      <c r="BG61" s="9">
        <v>3924253</v>
      </c>
      <c r="BH61" s="9">
        <v>4839396</v>
      </c>
      <c r="BI61" s="9">
        <v>5642790</v>
      </c>
      <c r="BJ61" s="9">
        <v>6683163</v>
      </c>
      <c r="BK61" s="9">
        <v>7629648</v>
      </c>
      <c r="BL61" s="9">
        <v>8541640</v>
      </c>
      <c r="BM61" s="9">
        <v>9172530</v>
      </c>
      <c r="BN61" s="9">
        <v>13993895</v>
      </c>
      <c r="BO61" s="31">
        <v>13993895</v>
      </c>
      <c r="BP61" s="9">
        <v>0</v>
      </c>
      <c r="BQ61" s="9">
        <v>560042</v>
      </c>
      <c r="BR61" s="9">
        <v>2689600</v>
      </c>
      <c r="BS61" s="9">
        <v>2832524</v>
      </c>
      <c r="BT61" s="9">
        <v>3699337</v>
      </c>
      <c r="BU61" s="9">
        <v>4639655</v>
      </c>
      <c r="BV61" s="9">
        <v>4702977</v>
      </c>
      <c r="BW61" s="9">
        <v>5388587</v>
      </c>
      <c r="BX61" s="9">
        <v>5954537</v>
      </c>
      <c r="BY61" s="9">
        <v>6511917</v>
      </c>
      <c r="BZ61" s="9">
        <v>7937328</v>
      </c>
      <c r="CA61" s="9">
        <v>12042288</v>
      </c>
      <c r="CB61" s="31">
        <v>12042288</v>
      </c>
      <c r="CC61" s="9">
        <v>0</v>
      </c>
      <c r="CD61" s="9">
        <v>0</v>
      </c>
      <c r="CE61" s="9">
        <v>1043612</v>
      </c>
      <c r="CF61" s="9">
        <v>1649999</v>
      </c>
      <c r="CG61" s="9">
        <v>3165833</v>
      </c>
      <c r="CH61" s="9">
        <v>3614370</v>
      </c>
      <c r="CI61" s="9">
        <v>4396015</v>
      </c>
      <c r="CJ61" s="9">
        <v>4778929</v>
      </c>
      <c r="CK61" s="9">
        <v>5047595</v>
      </c>
      <c r="CL61" s="9">
        <v>6124286</v>
      </c>
      <c r="CM61" s="9">
        <v>6338278</v>
      </c>
      <c r="CN61" s="9">
        <v>10402261</v>
      </c>
      <c r="CO61" s="31">
        <v>10402261</v>
      </c>
      <c r="CP61" s="9">
        <v>1000</v>
      </c>
      <c r="CQ61" s="9">
        <v>99098</v>
      </c>
      <c r="CR61" s="9">
        <v>415702</v>
      </c>
      <c r="CS61" s="9">
        <v>1181604</v>
      </c>
      <c r="CT61" s="9">
        <v>2061999</v>
      </c>
      <c r="CU61" s="9">
        <v>2518382</v>
      </c>
      <c r="CV61" s="9">
        <v>3449968</v>
      </c>
      <c r="CW61" s="9">
        <v>3878692</v>
      </c>
      <c r="CX61" s="9">
        <v>6374836</v>
      </c>
      <c r="CY61" s="9">
        <v>6949560</v>
      </c>
      <c r="CZ61" s="9">
        <v>7815000</v>
      </c>
      <c r="DA61" s="9">
        <v>9473969</v>
      </c>
      <c r="DB61" s="31">
        <v>9473969</v>
      </c>
      <c r="DC61" s="9">
        <v>0</v>
      </c>
      <c r="DD61" s="9">
        <v>577978</v>
      </c>
      <c r="DE61" s="9">
        <v>1236819</v>
      </c>
      <c r="DF61" s="9">
        <v>1977797</v>
      </c>
      <c r="DG61" s="9">
        <v>2357232</v>
      </c>
      <c r="DH61" s="9">
        <v>2969508</v>
      </c>
      <c r="DI61" s="9">
        <v>3318916</v>
      </c>
      <c r="DJ61" s="9">
        <v>3995498</v>
      </c>
      <c r="DK61" s="9">
        <v>4545865</v>
      </c>
      <c r="DL61" s="9">
        <v>4876192</v>
      </c>
      <c r="DM61" s="9">
        <v>5746022</v>
      </c>
      <c r="DN61" s="9">
        <v>6861203</v>
      </c>
      <c r="DO61" s="31">
        <v>6861203</v>
      </c>
      <c r="DP61" s="9">
        <v>0</v>
      </c>
      <c r="DQ61" s="9">
        <v>492390</v>
      </c>
      <c r="DR61" s="9">
        <v>1774370</v>
      </c>
      <c r="DS61" s="9">
        <v>2626789</v>
      </c>
      <c r="DT61" s="9">
        <v>3586562</v>
      </c>
      <c r="DU61" s="9">
        <v>4109229</v>
      </c>
      <c r="DV61" s="9">
        <v>4791193</v>
      </c>
      <c r="DW61" s="9">
        <v>4985805</v>
      </c>
      <c r="DX61" s="9">
        <v>5467268</v>
      </c>
      <c r="DY61" s="9">
        <v>5861823</v>
      </c>
      <c r="DZ61" s="9">
        <v>6425422</v>
      </c>
      <c r="EA61" s="9">
        <v>8992823</v>
      </c>
      <c r="EB61" s="31">
        <v>8992823</v>
      </c>
      <c r="EC61" s="9">
        <v>0</v>
      </c>
      <c r="ED61" s="9">
        <v>276844</v>
      </c>
      <c r="EE61" s="9">
        <v>1164884</v>
      </c>
      <c r="EF61" s="9">
        <v>1445217</v>
      </c>
      <c r="EG61" s="9">
        <v>1635928</v>
      </c>
      <c r="EH61" s="9">
        <v>1791794</v>
      </c>
      <c r="EI61" s="9">
        <v>1875060</v>
      </c>
      <c r="EJ61" s="9">
        <v>2301121</v>
      </c>
      <c r="EK61" s="9">
        <v>2703028</v>
      </c>
      <c r="EL61" s="9">
        <v>3355875</v>
      </c>
      <c r="EM61" s="9">
        <v>4056976</v>
      </c>
      <c r="EN61" s="9">
        <v>5186229</v>
      </c>
      <c r="EO61" s="31">
        <v>5186229</v>
      </c>
      <c r="EP61" s="9">
        <v>0</v>
      </c>
      <c r="EQ61" s="9">
        <v>454298</v>
      </c>
      <c r="ER61" s="9">
        <v>1364864</v>
      </c>
      <c r="ES61" s="9">
        <v>2152908</v>
      </c>
      <c r="ET61" s="9">
        <v>3067456</v>
      </c>
      <c r="EU61" s="9">
        <v>3591831</v>
      </c>
      <c r="EV61" s="9">
        <v>4024502</v>
      </c>
      <c r="EW61" s="9">
        <v>4758598</v>
      </c>
      <c r="EX61" s="9">
        <v>6018242</v>
      </c>
      <c r="EY61" s="9">
        <v>6553969</v>
      </c>
      <c r="EZ61" s="9">
        <v>7179799</v>
      </c>
      <c r="FA61" s="9">
        <v>8275294</v>
      </c>
      <c r="FB61" s="31">
        <v>8275294</v>
      </c>
      <c r="FC61" s="9">
        <v>204442</v>
      </c>
      <c r="FD61" s="9">
        <v>1444145</v>
      </c>
      <c r="FE61" s="9">
        <v>3179839</v>
      </c>
      <c r="FF61" s="9">
        <v>3866613</v>
      </c>
      <c r="FG61" s="9">
        <v>4135039</v>
      </c>
      <c r="FH61" s="9">
        <v>4729235</v>
      </c>
      <c r="FI61" s="9">
        <v>5630349</v>
      </c>
      <c r="FJ61" s="9">
        <v>5630349</v>
      </c>
      <c r="FK61" s="9">
        <v>5630349</v>
      </c>
      <c r="FL61" s="9">
        <v>5630349</v>
      </c>
      <c r="FM61" s="9">
        <v>5630349</v>
      </c>
      <c r="FN61" s="9">
        <v>5630349</v>
      </c>
      <c r="FO61" s="31">
        <v>5630349</v>
      </c>
    </row>
    <row r="62" spans="2:171" x14ac:dyDescent="0.3">
      <c r="B62" s="7" t="s">
        <v>56</v>
      </c>
      <c r="C62" s="9">
        <v>0</v>
      </c>
      <c r="D62" s="9">
        <v>7202</v>
      </c>
      <c r="E62" s="9">
        <v>3176200</v>
      </c>
      <c r="F62" s="9">
        <v>4006859</v>
      </c>
      <c r="G62" s="9">
        <v>4424912</v>
      </c>
      <c r="H62" s="9">
        <v>4821159</v>
      </c>
      <c r="I62" s="9">
        <v>5158438</v>
      </c>
      <c r="J62" s="9">
        <v>5423043</v>
      </c>
      <c r="K62" s="9">
        <v>6939626</v>
      </c>
      <c r="L62" s="9">
        <v>8379851</v>
      </c>
      <c r="M62" s="9">
        <v>9648365</v>
      </c>
      <c r="N62" s="9">
        <v>11692667</v>
      </c>
      <c r="O62" s="31">
        <v>11692667</v>
      </c>
      <c r="P62" s="9">
        <v>0</v>
      </c>
      <c r="Q62" s="9">
        <v>759446</v>
      </c>
      <c r="R62" s="9">
        <v>1730817</v>
      </c>
      <c r="S62" s="9">
        <v>2751576</v>
      </c>
      <c r="T62" s="9">
        <v>3194132</v>
      </c>
      <c r="U62" s="9">
        <v>4637000</v>
      </c>
      <c r="V62" s="9">
        <v>5482147</v>
      </c>
      <c r="W62" s="9">
        <v>7320179</v>
      </c>
      <c r="X62" s="9">
        <v>9906296</v>
      </c>
      <c r="Y62" s="9">
        <v>13305528</v>
      </c>
      <c r="Z62" s="9">
        <v>16063966</v>
      </c>
      <c r="AA62" s="9">
        <v>22241143</v>
      </c>
      <c r="AB62" s="31">
        <v>22241143</v>
      </c>
      <c r="AC62" s="9">
        <v>2719828</v>
      </c>
      <c r="AD62" s="9">
        <v>5948540</v>
      </c>
      <c r="AE62" s="9">
        <v>8880077</v>
      </c>
      <c r="AF62" s="9">
        <v>10394535</v>
      </c>
      <c r="AG62" s="9">
        <v>11735192</v>
      </c>
      <c r="AH62" s="9">
        <v>13862936</v>
      </c>
      <c r="AI62" s="9">
        <v>15854225</v>
      </c>
      <c r="AJ62" s="9">
        <v>17677233</v>
      </c>
      <c r="AK62" s="9">
        <v>18638802</v>
      </c>
      <c r="AL62" s="9">
        <v>19689703</v>
      </c>
      <c r="AM62" s="9">
        <v>21339509</v>
      </c>
      <c r="AN62" s="9">
        <v>24953816</v>
      </c>
      <c r="AO62" s="31">
        <v>24953816</v>
      </c>
      <c r="AP62" s="9">
        <v>0</v>
      </c>
      <c r="AQ62" s="9">
        <v>2119333</v>
      </c>
      <c r="AR62" s="9">
        <v>4260332</v>
      </c>
      <c r="AS62" s="9">
        <v>5387834</v>
      </c>
      <c r="AT62" s="9">
        <v>8197687</v>
      </c>
      <c r="AU62" s="9">
        <v>10069833</v>
      </c>
      <c r="AV62" s="9">
        <v>11455116</v>
      </c>
      <c r="AW62" s="9">
        <v>12817014</v>
      </c>
      <c r="AX62" s="9">
        <v>14074095</v>
      </c>
      <c r="AY62" s="9">
        <v>16238954</v>
      </c>
      <c r="AZ62" s="9">
        <v>19882223</v>
      </c>
      <c r="BA62" s="9">
        <v>25294991</v>
      </c>
      <c r="BB62" s="31">
        <v>25294991</v>
      </c>
      <c r="BC62" s="9">
        <v>2991337</v>
      </c>
      <c r="BD62" s="9">
        <v>5558521</v>
      </c>
      <c r="BE62" s="9">
        <v>7476713</v>
      </c>
      <c r="BF62" s="9">
        <v>10423728</v>
      </c>
      <c r="BG62" s="9">
        <v>13982342</v>
      </c>
      <c r="BH62" s="9">
        <v>15710790</v>
      </c>
      <c r="BI62" s="9">
        <v>18080520</v>
      </c>
      <c r="BJ62" s="9">
        <v>19629237</v>
      </c>
      <c r="BK62" s="9">
        <v>21227499</v>
      </c>
      <c r="BL62" s="9">
        <v>22352857</v>
      </c>
      <c r="BM62" s="9">
        <v>25934821</v>
      </c>
      <c r="BN62" s="9">
        <v>29681699</v>
      </c>
      <c r="BO62" s="31">
        <v>29681699</v>
      </c>
      <c r="BP62" s="9">
        <v>0</v>
      </c>
      <c r="BQ62" s="9">
        <v>1436174</v>
      </c>
      <c r="BR62" s="9">
        <v>4654419</v>
      </c>
      <c r="BS62" s="9">
        <v>5903657</v>
      </c>
      <c r="BT62" s="9">
        <v>8722713</v>
      </c>
      <c r="BU62" s="9">
        <v>11002949</v>
      </c>
      <c r="BV62" s="9">
        <v>12796788</v>
      </c>
      <c r="BW62" s="9">
        <v>14941827</v>
      </c>
      <c r="BX62" s="9">
        <v>16817139</v>
      </c>
      <c r="BY62" s="9">
        <v>20861092</v>
      </c>
      <c r="BZ62" s="9">
        <v>24834887</v>
      </c>
      <c r="CA62" s="9">
        <v>29748545</v>
      </c>
      <c r="CB62" s="31">
        <v>29748545</v>
      </c>
      <c r="CC62" s="9">
        <v>0</v>
      </c>
      <c r="CD62" s="9">
        <v>1421550</v>
      </c>
      <c r="CE62" s="9">
        <v>5936171</v>
      </c>
      <c r="CF62" s="9">
        <v>9196573</v>
      </c>
      <c r="CG62" s="9">
        <v>10845707</v>
      </c>
      <c r="CH62" s="9">
        <v>12720299</v>
      </c>
      <c r="CI62" s="9">
        <v>13547075</v>
      </c>
      <c r="CJ62" s="9">
        <v>13873276</v>
      </c>
      <c r="CK62" s="9">
        <v>16520877</v>
      </c>
      <c r="CL62" s="9">
        <v>17188208</v>
      </c>
      <c r="CM62" s="9">
        <v>18070270</v>
      </c>
      <c r="CN62" s="9">
        <v>22057592</v>
      </c>
      <c r="CO62" s="31">
        <v>22057592</v>
      </c>
      <c r="CP62" s="9">
        <v>230063</v>
      </c>
      <c r="CQ62" s="9">
        <v>2679421</v>
      </c>
      <c r="CR62" s="9">
        <v>4420753</v>
      </c>
      <c r="CS62" s="9">
        <v>5625485</v>
      </c>
      <c r="CT62" s="9">
        <v>8547030</v>
      </c>
      <c r="CU62" s="9">
        <v>10394218</v>
      </c>
      <c r="CV62" s="9">
        <v>12259307</v>
      </c>
      <c r="CW62" s="9">
        <v>13792087</v>
      </c>
      <c r="CX62" s="9">
        <v>14859039</v>
      </c>
      <c r="CY62" s="9">
        <v>15945761</v>
      </c>
      <c r="CZ62" s="9">
        <v>16872512</v>
      </c>
      <c r="DA62" s="9">
        <v>21863438</v>
      </c>
      <c r="DB62" s="31">
        <v>21863438</v>
      </c>
      <c r="DC62" s="9">
        <v>0</v>
      </c>
      <c r="DD62" s="9">
        <v>922651</v>
      </c>
      <c r="DE62" s="9">
        <v>2516611</v>
      </c>
      <c r="DF62" s="9">
        <v>4242046</v>
      </c>
      <c r="DG62" s="9">
        <v>5842634</v>
      </c>
      <c r="DH62" s="9">
        <v>7701318</v>
      </c>
      <c r="DI62" s="9">
        <v>8879148</v>
      </c>
      <c r="DJ62" s="9">
        <v>10547577</v>
      </c>
      <c r="DK62" s="9">
        <v>11329010</v>
      </c>
      <c r="DL62" s="9">
        <v>12221517</v>
      </c>
      <c r="DM62" s="9">
        <v>14355204</v>
      </c>
      <c r="DN62" s="9">
        <v>17959345</v>
      </c>
      <c r="DO62" s="31">
        <v>17959345</v>
      </c>
      <c r="DP62" s="9">
        <v>0</v>
      </c>
      <c r="DQ62" s="9">
        <v>139737</v>
      </c>
      <c r="DR62" s="9">
        <v>1933892</v>
      </c>
      <c r="DS62" s="9">
        <v>2566443</v>
      </c>
      <c r="DT62" s="9">
        <v>4806556</v>
      </c>
      <c r="DU62" s="9">
        <v>5940484</v>
      </c>
      <c r="DV62" s="9">
        <v>6960232</v>
      </c>
      <c r="DW62" s="9">
        <v>8468944</v>
      </c>
      <c r="DX62" s="9">
        <v>9342327</v>
      </c>
      <c r="DY62" s="9">
        <v>10407121</v>
      </c>
      <c r="DZ62" s="9">
        <v>10942387</v>
      </c>
      <c r="EA62" s="9">
        <v>14585744</v>
      </c>
      <c r="EB62" s="31">
        <v>14585744</v>
      </c>
      <c r="EC62" s="9">
        <v>0</v>
      </c>
      <c r="ED62" s="9">
        <v>754193</v>
      </c>
      <c r="EE62" s="9">
        <v>3484262</v>
      </c>
      <c r="EF62" s="9">
        <v>4899524</v>
      </c>
      <c r="EG62" s="9">
        <v>6887240</v>
      </c>
      <c r="EH62" s="9">
        <v>7953500</v>
      </c>
      <c r="EI62" s="9">
        <v>9188042</v>
      </c>
      <c r="EJ62" s="9">
        <v>10190994</v>
      </c>
      <c r="EK62" s="9">
        <v>15388503</v>
      </c>
      <c r="EL62" s="9">
        <v>17047081</v>
      </c>
      <c r="EM62" s="9">
        <v>18216853</v>
      </c>
      <c r="EN62" s="9">
        <v>19302172</v>
      </c>
      <c r="EO62" s="31">
        <v>19302172</v>
      </c>
      <c r="EP62" s="9">
        <v>0</v>
      </c>
      <c r="EQ62" s="9">
        <v>2936145</v>
      </c>
      <c r="ER62" s="9">
        <v>3840604</v>
      </c>
      <c r="ES62" s="9">
        <v>5205000</v>
      </c>
      <c r="ET62" s="9">
        <v>7087387</v>
      </c>
      <c r="EU62" s="9">
        <v>8761945</v>
      </c>
      <c r="EV62" s="9">
        <v>9648079</v>
      </c>
      <c r="EW62" s="9">
        <v>11529540</v>
      </c>
      <c r="EX62" s="9">
        <v>12156420</v>
      </c>
      <c r="EY62" s="9">
        <v>13138327</v>
      </c>
      <c r="EZ62" s="9">
        <v>14104360</v>
      </c>
      <c r="FA62" s="9">
        <v>16237313</v>
      </c>
      <c r="FB62" s="31">
        <v>16237313</v>
      </c>
      <c r="FC62" s="9">
        <v>0</v>
      </c>
      <c r="FD62" s="9">
        <v>977735</v>
      </c>
      <c r="FE62" s="9">
        <v>1877551</v>
      </c>
      <c r="FF62" s="9">
        <v>2945279</v>
      </c>
      <c r="FG62" s="9">
        <v>3540409</v>
      </c>
      <c r="FH62" s="9">
        <v>4135011</v>
      </c>
      <c r="FI62" s="9">
        <v>4717171</v>
      </c>
      <c r="FJ62" s="9">
        <v>4717171</v>
      </c>
      <c r="FK62" s="9">
        <v>4717171</v>
      </c>
      <c r="FL62" s="9">
        <v>4717171</v>
      </c>
      <c r="FM62" s="9">
        <v>4717171</v>
      </c>
      <c r="FN62" s="9">
        <v>4717171</v>
      </c>
      <c r="FO62" s="31">
        <v>4717171</v>
      </c>
    </row>
    <row r="63" spans="2:171" x14ac:dyDescent="0.3">
      <c r="B63" s="7" t="s">
        <v>57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31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31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9">
        <v>0</v>
      </c>
      <c r="AO63" s="31">
        <v>0</v>
      </c>
      <c r="AP63" s="9">
        <v>0</v>
      </c>
      <c r="AQ63" s="9">
        <v>0</v>
      </c>
      <c r="AR63" s="9">
        <v>0</v>
      </c>
      <c r="AS63" s="9">
        <v>0</v>
      </c>
      <c r="AT63" s="9">
        <v>0</v>
      </c>
      <c r="AU63" s="9">
        <v>0</v>
      </c>
      <c r="AV63" s="9">
        <v>0</v>
      </c>
      <c r="AW63" s="9">
        <v>0</v>
      </c>
      <c r="AX63" s="9">
        <v>0</v>
      </c>
      <c r="AY63" s="9">
        <v>0</v>
      </c>
      <c r="AZ63" s="9">
        <v>0</v>
      </c>
      <c r="BA63" s="9">
        <v>0</v>
      </c>
      <c r="BB63" s="31">
        <v>0</v>
      </c>
      <c r="BC63" s="9">
        <v>0</v>
      </c>
      <c r="BD63" s="9">
        <v>0</v>
      </c>
      <c r="BE63" s="9">
        <v>0</v>
      </c>
      <c r="BF63" s="9">
        <v>0</v>
      </c>
      <c r="BG63" s="9">
        <v>0</v>
      </c>
      <c r="BH63" s="9">
        <v>0</v>
      </c>
      <c r="BI63" s="9">
        <v>0</v>
      </c>
      <c r="BJ63" s="9">
        <v>0</v>
      </c>
      <c r="BK63" s="9">
        <v>0</v>
      </c>
      <c r="BL63" s="9">
        <v>0</v>
      </c>
      <c r="BM63" s="9">
        <v>0</v>
      </c>
      <c r="BN63" s="9">
        <v>0</v>
      </c>
      <c r="BO63" s="31">
        <v>0</v>
      </c>
      <c r="BP63" s="9">
        <v>0</v>
      </c>
      <c r="BQ63" s="9">
        <v>0</v>
      </c>
      <c r="BR63" s="9">
        <v>0</v>
      </c>
      <c r="BS63" s="9">
        <v>0</v>
      </c>
      <c r="BT63" s="9">
        <v>0</v>
      </c>
      <c r="BU63" s="9">
        <v>874</v>
      </c>
      <c r="BV63" s="9">
        <v>1049</v>
      </c>
      <c r="BW63" s="9">
        <v>1524</v>
      </c>
      <c r="BX63" s="9">
        <v>1524</v>
      </c>
      <c r="BY63" s="9">
        <v>1524</v>
      </c>
      <c r="BZ63" s="9">
        <v>467746</v>
      </c>
      <c r="CA63" s="9">
        <v>1299327</v>
      </c>
      <c r="CB63" s="31">
        <v>1299327</v>
      </c>
      <c r="CC63" s="9">
        <v>0</v>
      </c>
      <c r="CD63" s="9">
        <v>0</v>
      </c>
      <c r="CE63" s="9">
        <v>1114006</v>
      </c>
      <c r="CF63" s="9">
        <v>1584090</v>
      </c>
      <c r="CG63" s="9">
        <v>1906446</v>
      </c>
      <c r="CH63" s="9">
        <v>2183361</v>
      </c>
      <c r="CI63" s="9">
        <v>2523674</v>
      </c>
      <c r="CJ63" s="9">
        <v>2981886</v>
      </c>
      <c r="CK63" s="9">
        <v>3199263</v>
      </c>
      <c r="CL63" s="9">
        <v>3332552</v>
      </c>
      <c r="CM63" s="9">
        <v>4943147</v>
      </c>
      <c r="CN63" s="9">
        <v>7366369</v>
      </c>
      <c r="CO63" s="31">
        <v>7366369</v>
      </c>
      <c r="CP63" s="9">
        <v>0</v>
      </c>
      <c r="CQ63" s="9">
        <v>1238171</v>
      </c>
      <c r="CR63" s="9">
        <v>2085725</v>
      </c>
      <c r="CS63" s="9">
        <v>3009570</v>
      </c>
      <c r="CT63" s="9">
        <v>4344721</v>
      </c>
      <c r="CU63" s="9">
        <v>6181413</v>
      </c>
      <c r="CV63" s="9">
        <v>7481590</v>
      </c>
      <c r="CW63" s="9">
        <v>8923223</v>
      </c>
      <c r="CX63" s="9">
        <v>9969186</v>
      </c>
      <c r="CY63" s="9">
        <v>12042447</v>
      </c>
      <c r="CZ63" s="9">
        <v>14316036</v>
      </c>
      <c r="DA63" s="9">
        <v>21083177</v>
      </c>
      <c r="DB63" s="31">
        <v>21083177</v>
      </c>
      <c r="DC63" s="9">
        <v>0</v>
      </c>
      <c r="DD63" s="9">
        <v>6363</v>
      </c>
      <c r="DE63" s="9">
        <v>1963636</v>
      </c>
      <c r="DF63" s="9">
        <v>3158663</v>
      </c>
      <c r="DG63" s="9">
        <v>4714179</v>
      </c>
      <c r="DH63" s="9">
        <v>6147258</v>
      </c>
      <c r="DI63" s="9">
        <v>8342380</v>
      </c>
      <c r="DJ63" s="9">
        <v>9944276</v>
      </c>
      <c r="DK63" s="9">
        <v>11786997</v>
      </c>
      <c r="DL63" s="9">
        <v>13492671</v>
      </c>
      <c r="DM63" s="9">
        <v>15132338</v>
      </c>
      <c r="DN63" s="9">
        <v>19561462</v>
      </c>
      <c r="DO63" s="31">
        <v>19561462</v>
      </c>
      <c r="DP63" s="9">
        <v>0</v>
      </c>
      <c r="DQ63" s="9">
        <v>1480106</v>
      </c>
      <c r="DR63" s="9">
        <v>5251198</v>
      </c>
      <c r="DS63" s="9">
        <v>8060203</v>
      </c>
      <c r="DT63" s="9">
        <v>9695784</v>
      </c>
      <c r="DU63" s="9">
        <v>11307082</v>
      </c>
      <c r="DV63" s="9">
        <v>12618163</v>
      </c>
      <c r="DW63" s="9">
        <v>14357900</v>
      </c>
      <c r="DX63" s="9">
        <v>16141680</v>
      </c>
      <c r="DY63" s="9">
        <v>17787508</v>
      </c>
      <c r="DZ63" s="9">
        <v>19945314</v>
      </c>
      <c r="EA63" s="9">
        <v>22005775</v>
      </c>
      <c r="EB63" s="31">
        <v>22005775</v>
      </c>
      <c r="EC63" s="9">
        <v>0</v>
      </c>
      <c r="ED63" s="9">
        <v>825335</v>
      </c>
      <c r="EE63" s="9">
        <v>3513803</v>
      </c>
      <c r="EF63" s="9">
        <v>4931246</v>
      </c>
      <c r="EG63" s="9">
        <v>7350891</v>
      </c>
      <c r="EH63" s="9">
        <v>8756033</v>
      </c>
      <c r="EI63" s="9">
        <v>9821988</v>
      </c>
      <c r="EJ63" s="9">
        <v>11470086</v>
      </c>
      <c r="EK63" s="9">
        <v>12805474</v>
      </c>
      <c r="EL63" s="9">
        <v>14287326</v>
      </c>
      <c r="EM63" s="9">
        <v>15540449</v>
      </c>
      <c r="EN63" s="9">
        <v>17950052</v>
      </c>
      <c r="EO63" s="31">
        <v>17950052</v>
      </c>
      <c r="EP63" s="9">
        <v>0</v>
      </c>
      <c r="EQ63" s="9">
        <v>148253</v>
      </c>
      <c r="ER63" s="9">
        <v>3292884</v>
      </c>
      <c r="ES63" s="9">
        <v>4257053</v>
      </c>
      <c r="ET63" s="9">
        <v>7062054</v>
      </c>
      <c r="EU63" s="9">
        <v>9495200</v>
      </c>
      <c r="EV63" s="9">
        <v>11760026</v>
      </c>
      <c r="EW63" s="9">
        <v>12709417</v>
      </c>
      <c r="EX63" s="9">
        <v>14311689</v>
      </c>
      <c r="EY63" s="9">
        <v>16551275</v>
      </c>
      <c r="EZ63" s="9">
        <v>17380835</v>
      </c>
      <c r="FA63" s="9">
        <v>21033526</v>
      </c>
      <c r="FB63" s="31">
        <v>21033526</v>
      </c>
      <c r="FC63" s="9">
        <v>0</v>
      </c>
      <c r="FD63" s="9">
        <v>3262841</v>
      </c>
      <c r="FE63" s="9">
        <v>4333743</v>
      </c>
      <c r="FF63" s="9">
        <v>5206806</v>
      </c>
      <c r="FG63" s="9">
        <v>5938083</v>
      </c>
      <c r="FH63" s="9">
        <v>6532085</v>
      </c>
      <c r="FI63" s="9">
        <v>6546839</v>
      </c>
      <c r="FJ63" s="9">
        <v>6546839</v>
      </c>
      <c r="FK63" s="9">
        <v>6546839</v>
      </c>
      <c r="FL63" s="9">
        <v>6546839</v>
      </c>
      <c r="FM63" s="9">
        <v>6546839</v>
      </c>
      <c r="FN63" s="9">
        <v>6546839</v>
      </c>
      <c r="FO63" s="31">
        <v>6546839</v>
      </c>
    </row>
    <row r="64" spans="2:171" x14ac:dyDescent="0.3">
      <c r="B64" s="7" t="s">
        <v>58</v>
      </c>
      <c r="C64" s="9">
        <v>0</v>
      </c>
      <c r="D64" s="9">
        <v>2885012</v>
      </c>
      <c r="E64" s="9">
        <v>10695769</v>
      </c>
      <c r="F64" s="9">
        <v>14829493</v>
      </c>
      <c r="G64" s="9">
        <v>18453355</v>
      </c>
      <c r="H64" s="9">
        <v>20948882</v>
      </c>
      <c r="I64" s="9">
        <v>23275818</v>
      </c>
      <c r="J64" s="9">
        <v>25821675</v>
      </c>
      <c r="K64" s="9">
        <v>28967574</v>
      </c>
      <c r="L64" s="9">
        <v>32271760</v>
      </c>
      <c r="M64" s="9">
        <v>39399558</v>
      </c>
      <c r="N64" s="9">
        <v>50465737</v>
      </c>
      <c r="O64" s="31">
        <v>50465737</v>
      </c>
      <c r="P64" s="9">
        <v>2343503</v>
      </c>
      <c r="Q64" s="9">
        <v>4968953</v>
      </c>
      <c r="R64" s="9">
        <v>8016774</v>
      </c>
      <c r="S64" s="9">
        <v>12419090</v>
      </c>
      <c r="T64" s="9">
        <v>15651532</v>
      </c>
      <c r="U64" s="9">
        <v>19670088</v>
      </c>
      <c r="V64" s="9">
        <v>22485731</v>
      </c>
      <c r="W64" s="9">
        <v>25547310</v>
      </c>
      <c r="X64" s="9">
        <v>28792628</v>
      </c>
      <c r="Y64" s="9">
        <v>33223590</v>
      </c>
      <c r="Z64" s="9">
        <v>37896924</v>
      </c>
      <c r="AA64" s="9">
        <v>52705466</v>
      </c>
      <c r="AB64" s="31">
        <v>52705466</v>
      </c>
      <c r="AC64" s="9">
        <v>2214462</v>
      </c>
      <c r="AD64" s="9">
        <v>6097842</v>
      </c>
      <c r="AE64" s="9">
        <v>11558836</v>
      </c>
      <c r="AF64" s="9">
        <v>14444521</v>
      </c>
      <c r="AG64" s="9">
        <v>17651868</v>
      </c>
      <c r="AH64" s="9">
        <v>21294906</v>
      </c>
      <c r="AI64" s="9">
        <v>23421786</v>
      </c>
      <c r="AJ64" s="9">
        <v>26135922</v>
      </c>
      <c r="AK64" s="9">
        <v>29318379</v>
      </c>
      <c r="AL64" s="9">
        <v>33267877</v>
      </c>
      <c r="AM64" s="9">
        <v>37361481</v>
      </c>
      <c r="AN64" s="9">
        <v>47680473</v>
      </c>
      <c r="AO64" s="31">
        <v>47680473</v>
      </c>
      <c r="AP64" s="9">
        <v>0</v>
      </c>
      <c r="AQ64" s="9">
        <v>4250670</v>
      </c>
      <c r="AR64" s="9">
        <v>7718355</v>
      </c>
      <c r="AS64" s="9">
        <v>11030679</v>
      </c>
      <c r="AT64" s="9">
        <v>14823241</v>
      </c>
      <c r="AU64" s="9">
        <v>19251303</v>
      </c>
      <c r="AV64" s="9">
        <v>23464077</v>
      </c>
      <c r="AW64" s="9">
        <v>28987236</v>
      </c>
      <c r="AX64" s="9">
        <v>33342723</v>
      </c>
      <c r="AY64" s="9">
        <v>37631648</v>
      </c>
      <c r="AZ64" s="9">
        <v>44593867</v>
      </c>
      <c r="BA64" s="9">
        <v>59650816</v>
      </c>
      <c r="BB64" s="31">
        <v>59650816</v>
      </c>
      <c r="BC64" s="9">
        <v>0</v>
      </c>
      <c r="BD64" s="9">
        <v>6563551</v>
      </c>
      <c r="BE64" s="9">
        <v>13494298</v>
      </c>
      <c r="BF64" s="9">
        <v>16806687</v>
      </c>
      <c r="BG64" s="9">
        <v>20739850</v>
      </c>
      <c r="BH64" s="9">
        <v>23005956</v>
      </c>
      <c r="BI64" s="9">
        <v>24848819</v>
      </c>
      <c r="BJ64" s="9">
        <v>27297787</v>
      </c>
      <c r="BK64" s="9">
        <v>29747248</v>
      </c>
      <c r="BL64" s="9">
        <v>31710629</v>
      </c>
      <c r="BM64" s="9">
        <v>35130345</v>
      </c>
      <c r="BN64" s="9">
        <v>43737075</v>
      </c>
      <c r="BO64" s="31">
        <v>43737075</v>
      </c>
      <c r="BP64" s="9">
        <v>0</v>
      </c>
      <c r="BQ64" s="9">
        <v>3933421</v>
      </c>
      <c r="BR64" s="9">
        <v>6651747</v>
      </c>
      <c r="BS64" s="9">
        <v>8893369</v>
      </c>
      <c r="BT64" s="9">
        <v>11238010</v>
      </c>
      <c r="BU64" s="9">
        <v>13403616</v>
      </c>
      <c r="BV64" s="9">
        <v>15963332</v>
      </c>
      <c r="BW64" s="9">
        <v>18359719</v>
      </c>
      <c r="BX64" s="9">
        <v>20624543</v>
      </c>
      <c r="BY64" s="9">
        <v>22920929</v>
      </c>
      <c r="BZ64" s="9">
        <v>27024414</v>
      </c>
      <c r="CA64" s="9">
        <v>34242280</v>
      </c>
      <c r="CB64" s="31">
        <v>34242280</v>
      </c>
      <c r="CC64" s="9">
        <v>0</v>
      </c>
      <c r="CD64" s="9">
        <v>662740</v>
      </c>
      <c r="CE64" s="9">
        <v>3465237</v>
      </c>
      <c r="CF64" s="9">
        <v>5618987</v>
      </c>
      <c r="CG64" s="9">
        <v>7531178</v>
      </c>
      <c r="CH64" s="9">
        <v>9133738</v>
      </c>
      <c r="CI64" s="9">
        <v>10691707</v>
      </c>
      <c r="CJ64" s="9">
        <v>12446210</v>
      </c>
      <c r="CK64" s="9">
        <v>13985010</v>
      </c>
      <c r="CL64" s="9">
        <v>15605601</v>
      </c>
      <c r="CM64" s="9">
        <v>19264039</v>
      </c>
      <c r="CN64" s="9">
        <v>27405995</v>
      </c>
      <c r="CO64" s="31">
        <v>27405995</v>
      </c>
      <c r="CP64" s="9">
        <v>0</v>
      </c>
      <c r="CQ64" s="9">
        <v>4834914</v>
      </c>
      <c r="CR64" s="9">
        <v>10027885</v>
      </c>
      <c r="CS64" s="9">
        <v>14307091</v>
      </c>
      <c r="CT64" s="9">
        <v>17302838</v>
      </c>
      <c r="CU64" s="9">
        <v>20318253</v>
      </c>
      <c r="CV64" s="9">
        <v>22766035</v>
      </c>
      <c r="CW64" s="9">
        <v>25035322</v>
      </c>
      <c r="CX64" s="9">
        <v>27370520</v>
      </c>
      <c r="CY64" s="9">
        <v>30894221</v>
      </c>
      <c r="CZ64" s="9">
        <v>35926399</v>
      </c>
      <c r="DA64" s="9">
        <v>48359763</v>
      </c>
      <c r="DB64" s="31">
        <v>48359763</v>
      </c>
      <c r="DC64" s="9">
        <v>0</v>
      </c>
      <c r="DD64" s="9">
        <v>2425217</v>
      </c>
      <c r="DE64" s="9">
        <v>4844399</v>
      </c>
      <c r="DF64" s="9">
        <v>7548796</v>
      </c>
      <c r="DG64" s="9">
        <v>10070273</v>
      </c>
      <c r="DH64" s="9">
        <v>12655277</v>
      </c>
      <c r="DI64" s="9">
        <v>14684386</v>
      </c>
      <c r="DJ64" s="9">
        <v>16547577</v>
      </c>
      <c r="DK64" s="9">
        <v>18987268</v>
      </c>
      <c r="DL64" s="9">
        <v>21549530</v>
      </c>
      <c r="DM64" s="9">
        <v>25081996</v>
      </c>
      <c r="DN64" s="9">
        <v>33822165</v>
      </c>
      <c r="DO64" s="31">
        <v>33822165</v>
      </c>
      <c r="DP64" s="9">
        <v>0</v>
      </c>
      <c r="DQ64" s="9">
        <v>3797947</v>
      </c>
      <c r="DR64" s="9">
        <v>8570607</v>
      </c>
      <c r="DS64" s="9">
        <v>11961525</v>
      </c>
      <c r="DT64" s="9">
        <v>14896476</v>
      </c>
      <c r="DU64" s="9">
        <v>18231034</v>
      </c>
      <c r="DV64" s="9">
        <v>21105467</v>
      </c>
      <c r="DW64" s="9">
        <v>23824617</v>
      </c>
      <c r="DX64" s="9">
        <v>26541175</v>
      </c>
      <c r="DY64" s="9">
        <v>30297730</v>
      </c>
      <c r="DZ64" s="9">
        <v>35491082</v>
      </c>
      <c r="EA64" s="9">
        <v>45062112</v>
      </c>
      <c r="EB64" s="31">
        <v>45062112</v>
      </c>
      <c r="EC64" s="9">
        <v>0</v>
      </c>
      <c r="ED64" s="9">
        <v>4071546</v>
      </c>
      <c r="EE64" s="9">
        <v>15547930</v>
      </c>
      <c r="EF64" s="9">
        <v>21690403</v>
      </c>
      <c r="EG64" s="9">
        <v>26814291</v>
      </c>
      <c r="EH64" s="9">
        <v>29677069</v>
      </c>
      <c r="EI64" s="9">
        <v>32487288</v>
      </c>
      <c r="EJ64" s="9">
        <v>37436410</v>
      </c>
      <c r="EK64" s="9">
        <v>41294199</v>
      </c>
      <c r="EL64" s="9">
        <v>45256372</v>
      </c>
      <c r="EM64" s="9">
        <v>48500806</v>
      </c>
      <c r="EN64" s="9">
        <v>52001305</v>
      </c>
      <c r="EO64" s="31">
        <v>52001305</v>
      </c>
      <c r="EP64" s="9">
        <v>0</v>
      </c>
      <c r="EQ64" s="9">
        <v>8442952</v>
      </c>
      <c r="ER64" s="9">
        <v>20658211</v>
      </c>
      <c r="ES64" s="9">
        <v>32489874</v>
      </c>
      <c r="ET64" s="9">
        <v>37533223</v>
      </c>
      <c r="EU64" s="9">
        <v>42967861</v>
      </c>
      <c r="EV64" s="9">
        <v>47201867</v>
      </c>
      <c r="EW64" s="9">
        <v>50408552</v>
      </c>
      <c r="EX64" s="9">
        <v>53510003</v>
      </c>
      <c r="EY64" s="9">
        <v>58643949</v>
      </c>
      <c r="EZ64" s="9">
        <v>60469590</v>
      </c>
      <c r="FA64" s="9">
        <v>69230852</v>
      </c>
      <c r="FB64" s="31">
        <v>69230852</v>
      </c>
      <c r="FC64" s="9">
        <v>0</v>
      </c>
      <c r="FD64" s="9">
        <v>490004</v>
      </c>
      <c r="FE64" s="9">
        <v>9942759</v>
      </c>
      <c r="FF64" s="9">
        <v>12252174</v>
      </c>
      <c r="FG64" s="9">
        <v>13842342</v>
      </c>
      <c r="FH64" s="9">
        <v>15161466</v>
      </c>
      <c r="FI64" s="9">
        <v>17059750</v>
      </c>
      <c r="FJ64" s="9">
        <v>17059750</v>
      </c>
      <c r="FK64" s="9">
        <v>17059750</v>
      </c>
      <c r="FL64" s="9">
        <v>17059750</v>
      </c>
      <c r="FM64" s="9">
        <v>17059750</v>
      </c>
      <c r="FN64" s="9">
        <v>17059750</v>
      </c>
      <c r="FO64" s="31">
        <v>17059750</v>
      </c>
    </row>
    <row r="65" spans="2:171" x14ac:dyDescent="0.3">
      <c r="B65" s="7" t="s">
        <v>59</v>
      </c>
      <c r="C65" s="9">
        <v>0</v>
      </c>
      <c r="D65" s="9">
        <v>0</v>
      </c>
      <c r="E65" s="9">
        <v>2723412</v>
      </c>
      <c r="F65" s="9">
        <v>3806031</v>
      </c>
      <c r="G65" s="9">
        <v>4723433</v>
      </c>
      <c r="H65" s="9">
        <v>5516727</v>
      </c>
      <c r="I65" s="9">
        <v>6297791</v>
      </c>
      <c r="J65" s="9">
        <v>8175918</v>
      </c>
      <c r="K65" s="9">
        <v>11244478</v>
      </c>
      <c r="L65" s="9">
        <v>15152969</v>
      </c>
      <c r="M65" s="9">
        <v>19581484</v>
      </c>
      <c r="N65" s="9">
        <v>22758068</v>
      </c>
      <c r="O65" s="31">
        <v>22758068</v>
      </c>
      <c r="P65" s="9">
        <v>2537057</v>
      </c>
      <c r="Q65" s="9">
        <v>5396671</v>
      </c>
      <c r="R65" s="9">
        <v>7860804</v>
      </c>
      <c r="S65" s="9">
        <v>10626726</v>
      </c>
      <c r="T65" s="9">
        <v>12814920</v>
      </c>
      <c r="U65" s="9">
        <v>14736648</v>
      </c>
      <c r="V65" s="9">
        <v>16298058</v>
      </c>
      <c r="W65" s="9">
        <v>18467435</v>
      </c>
      <c r="X65" s="9">
        <v>21059041</v>
      </c>
      <c r="Y65" s="9">
        <v>23809023</v>
      </c>
      <c r="Z65" s="9">
        <v>26169891</v>
      </c>
      <c r="AA65" s="9">
        <v>31606734</v>
      </c>
      <c r="AB65" s="31">
        <v>31606734</v>
      </c>
      <c r="AC65" s="9">
        <v>2589104</v>
      </c>
      <c r="AD65" s="9">
        <v>5835228</v>
      </c>
      <c r="AE65" s="9">
        <v>10324817</v>
      </c>
      <c r="AF65" s="9">
        <v>14445646</v>
      </c>
      <c r="AG65" s="9">
        <v>17820028</v>
      </c>
      <c r="AH65" s="9">
        <v>21863608</v>
      </c>
      <c r="AI65" s="9">
        <v>24097007</v>
      </c>
      <c r="AJ65" s="9">
        <v>27291117</v>
      </c>
      <c r="AK65" s="9">
        <v>29987339</v>
      </c>
      <c r="AL65" s="9">
        <v>32830652</v>
      </c>
      <c r="AM65" s="9">
        <v>37323311</v>
      </c>
      <c r="AN65" s="9">
        <v>42090083</v>
      </c>
      <c r="AO65" s="31">
        <v>42090083</v>
      </c>
      <c r="AP65" s="9">
        <v>66190</v>
      </c>
      <c r="AQ65" s="9">
        <v>4029011</v>
      </c>
      <c r="AR65" s="9">
        <v>6973479</v>
      </c>
      <c r="AS65" s="9">
        <v>10014092</v>
      </c>
      <c r="AT65" s="9">
        <v>12594611</v>
      </c>
      <c r="AU65" s="9">
        <v>16904283</v>
      </c>
      <c r="AV65" s="9">
        <v>18739084</v>
      </c>
      <c r="AW65" s="9">
        <v>20316967</v>
      </c>
      <c r="AX65" s="9">
        <v>22215272</v>
      </c>
      <c r="AY65" s="9">
        <v>24092755</v>
      </c>
      <c r="AZ65" s="9">
        <v>27189056</v>
      </c>
      <c r="BA65" s="9">
        <v>34380334</v>
      </c>
      <c r="BB65" s="31">
        <v>34380334</v>
      </c>
      <c r="BC65" s="9">
        <v>0</v>
      </c>
      <c r="BD65" s="9">
        <v>48800</v>
      </c>
      <c r="BE65" s="9">
        <v>3703764</v>
      </c>
      <c r="BF65" s="9">
        <v>6017626</v>
      </c>
      <c r="BG65" s="9">
        <v>7943384</v>
      </c>
      <c r="BH65" s="9">
        <v>9031220</v>
      </c>
      <c r="BI65" s="9">
        <v>11437089</v>
      </c>
      <c r="BJ65" s="9">
        <v>14241124</v>
      </c>
      <c r="BK65" s="9">
        <v>17544324</v>
      </c>
      <c r="BL65" s="9">
        <v>21319725</v>
      </c>
      <c r="BM65" s="9">
        <v>25019341</v>
      </c>
      <c r="BN65" s="9">
        <v>30511923</v>
      </c>
      <c r="BO65" s="31">
        <v>30511923</v>
      </c>
      <c r="BP65" s="9">
        <v>0</v>
      </c>
      <c r="BQ65" s="9">
        <v>0</v>
      </c>
      <c r="BR65" s="9">
        <v>7075294</v>
      </c>
      <c r="BS65" s="9">
        <v>11917725</v>
      </c>
      <c r="BT65" s="9">
        <v>14521296</v>
      </c>
      <c r="BU65" s="9">
        <v>19884198</v>
      </c>
      <c r="BV65" s="9">
        <v>21659469</v>
      </c>
      <c r="BW65" s="9">
        <v>23744657</v>
      </c>
      <c r="BX65" s="9">
        <v>26828794</v>
      </c>
      <c r="BY65" s="9">
        <v>30770214</v>
      </c>
      <c r="BZ65" s="9">
        <v>38808897</v>
      </c>
      <c r="CA65" s="9">
        <v>43529502</v>
      </c>
      <c r="CB65" s="31">
        <v>43529502</v>
      </c>
      <c r="CC65" s="9">
        <v>0</v>
      </c>
      <c r="CD65" s="9">
        <v>0</v>
      </c>
      <c r="CE65" s="9">
        <v>6671925</v>
      </c>
      <c r="CF65" s="9">
        <v>9176492</v>
      </c>
      <c r="CG65" s="9">
        <v>11703321</v>
      </c>
      <c r="CH65" s="9">
        <v>14742579</v>
      </c>
      <c r="CI65" s="9">
        <v>16743839</v>
      </c>
      <c r="CJ65" s="9">
        <v>19625094</v>
      </c>
      <c r="CK65" s="9">
        <v>22019788</v>
      </c>
      <c r="CL65" s="9">
        <v>26165280</v>
      </c>
      <c r="CM65" s="9">
        <v>30434151</v>
      </c>
      <c r="CN65" s="9">
        <v>39106109</v>
      </c>
      <c r="CO65" s="31">
        <v>39106109</v>
      </c>
      <c r="CP65" s="9">
        <v>0</v>
      </c>
      <c r="CQ65" s="9">
        <v>5181845</v>
      </c>
      <c r="CR65" s="9">
        <v>9467699</v>
      </c>
      <c r="CS65" s="9">
        <v>13974968</v>
      </c>
      <c r="CT65" s="9">
        <v>15675271</v>
      </c>
      <c r="CU65" s="9">
        <v>18612719</v>
      </c>
      <c r="CV65" s="9">
        <v>21322167</v>
      </c>
      <c r="CW65" s="9">
        <v>22659741</v>
      </c>
      <c r="CX65" s="9">
        <v>25831691</v>
      </c>
      <c r="CY65" s="9">
        <v>27773077</v>
      </c>
      <c r="CZ65" s="9">
        <v>29047530</v>
      </c>
      <c r="DA65" s="9">
        <v>42716618</v>
      </c>
      <c r="DB65" s="31">
        <v>42716618</v>
      </c>
      <c r="DC65" s="9">
        <v>0</v>
      </c>
      <c r="DD65" s="9">
        <v>657362</v>
      </c>
      <c r="DE65" s="9">
        <v>3183823</v>
      </c>
      <c r="DF65" s="9">
        <v>4662253</v>
      </c>
      <c r="DG65" s="9">
        <v>6155698</v>
      </c>
      <c r="DH65" s="9">
        <v>7271485</v>
      </c>
      <c r="DI65" s="9">
        <v>9031446</v>
      </c>
      <c r="DJ65" s="9">
        <v>12807723</v>
      </c>
      <c r="DK65" s="9">
        <v>13742157</v>
      </c>
      <c r="DL65" s="9">
        <v>18463384</v>
      </c>
      <c r="DM65" s="9">
        <v>19497988</v>
      </c>
      <c r="DN65" s="9">
        <v>23859820</v>
      </c>
      <c r="DO65" s="31">
        <v>23859820</v>
      </c>
      <c r="DP65" s="9">
        <v>0</v>
      </c>
      <c r="DQ65" s="9">
        <v>0</v>
      </c>
      <c r="DR65" s="9">
        <v>1759597</v>
      </c>
      <c r="DS65" s="9">
        <v>4820809</v>
      </c>
      <c r="DT65" s="9">
        <v>6439881</v>
      </c>
      <c r="DU65" s="9">
        <v>7225208</v>
      </c>
      <c r="DV65" s="9">
        <v>8273830</v>
      </c>
      <c r="DW65" s="9">
        <v>9178235</v>
      </c>
      <c r="DX65" s="9">
        <v>10128666</v>
      </c>
      <c r="DY65" s="9">
        <v>11064936</v>
      </c>
      <c r="DZ65" s="9">
        <v>12936677</v>
      </c>
      <c r="EA65" s="9">
        <v>19260006</v>
      </c>
      <c r="EB65" s="31">
        <v>19260006</v>
      </c>
      <c r="EC65" s="9">
        <v>0</v>
      </c>
      <c r="ED65" s="9">
        <v>2285271</v>
      </c>
      <c r="EE65" s="9">
        <v>6353892</v>
      </c>
      <c r="EF65" s="9">
        <v>8808680</v>
      </c>
      <c r="EG65" s="9">
        <v>12513159</v>
      </c>
      <c r="EH65" s="9">
        <v>16159085</v>
      </c>
      <c r="EI65" s="9">
        <v>18987404</v>
      </c>
      <c r="EJ65" s="9">
        <v>21464836</v>
      </c>
      <c r="EK65" s="9">
        <v>25519330</v>
      </c>
      <c r="EL65" s="9">
        <v>29523436</v>
      </c>
      <c r="EM65" s="9">
        <v>31822430</v>
      </c>
      <c r="EN65" s="9">
        <v>36426224</v>
      </c>
      <c r="EO65" s="31">
        <v>36426224</v>
      </c>
      <c r="EP65" s="9">
        <v>0</v>
      </c>
      <c r="EQ65" s="9">
        <v>621192</v>
      </c>
      <c r="ER65" s="9">
        <v>11552530</v>
      </c>
      <c r="ES65" s="9">
        <v>16193347</v>
      </c>
      <c r="ET65" s="9">
        <v>19223073</v>
      </c>
      <c r="EU65" s="9">
        <v>21735398</v>
      </c>
      <c r="EV65" s="9">
        <v>24324094</v>
      </c>
      <c r="EW65" s="9">
        <v>26563836</v>
      </c>
      <c r="EX65" s="9">
        <v>29341068</v>
      </c>
      <c r="EY65" s="9">
        <v>31306890</v>
      </c>
      <c r="EZ65" s="9">
        <v>32947404</v>
      </c>
      <c r="FA65" s="9">
        <v>38076572</v>
      </c>
      <c r="FB65" s="31">
        <v>38076572</v>
      </c>
      <c r="FC65" s="9">
        <v>0</v>
      </c>
      <c r="FD65" s="9">
        <v>462550</v>
      </c>
      <c r="FE65" s="9">
        <v>2437039</v>
      </c>
      <c r="FF65" s="9">
        <v>4582281</v>
      </c>
      <c r="FG65" s="9">
        <v>5203766</v>
      </c>
      <c r="FH65" s="9">
        <v>7510694</v>
      </c>
      <c r="FI65" s="9">
        <v>8326344</v>
      </c>
      <c r="FJ65" s="9">
        <v>8326344</v>
      </c>
      <c r="FK65" s="9">
        <v>8326344</v>
      </c>
      <c r="FL65" s="9">
        <v>8326344</v>
      </c>
      <c r="FM65" s="9">
        <v>8326344</v>
      </c>
      <c r="FN65" s="9">
        <v>8326344</v>
      </c>
      <c r="FO65" s="31">
        <v>8326344</v>
      </c>
    </row>
    <row r="66" spans="2:171" x14ac:dyDescent="0.3">
      <c r="B66" s="7" t="s">
        <v>60</v>
      </c>
      <c r="C66" s="9">
        <v>0</v>
      </c>
      <c r="D66" s="9">
        <v>2051734</v>
      </c>
      <c r="E66" s="9">
        <v>3544751</v>
      </c>
      <c r="F66" s="9">
        <v>4764875</v>
      </c>
      <c r="G66" s="9">
        <v>5688755</v>
      </c>
      <c r="H66" s="9">
        <v>6581297</v>
      </c>
      <c r="I66" s="9">
        <v>7356698</v>
      </c>
      <c r="J66" s="9">
        <v>8020190</v>
      </c>
      <c r="K66" s="9">
        <v>8487580</v>
      </c>
      <c r="L66" s="9">
        <v>9218732</v>
      </c>
      <c r="M66" s="9">
        <v>10318999</v>
      </c>
      <c r="N66" s="9">
        <v>13812657</v>
      </c>
      <c r="O66" s="31">
        <v>13812657</v>
      </c>
      <c r="P66" s="9">
        <v>0</v>
      </c>
      <c r="Q66" s="9">
        <v>1209742</v>
      </c>
      <c r="R66" s="9">
        <v>2159659</v>
      </c>
      <c r="S66" s="9">
        <v>2727933</v>
      </c>
      <c r="T66" s="9">
        <v>4215728</v>
      </c>
      <c r="U66" s="9">
        <v>4854093</v>
      </c>
      <c r="V66" s="9">
        <v>5609586</v>
      </c>
      <c r="W66" s="9">
        <v>6144635</v>
      </c>
      <c r="X66" s="9">
        <v>6591941</v>
      </c>
      <c r="Y66" s="9">
        <v>7465299</v>
      </c>
      <c r="Z66" s="9">
        <v>8600388</v>
      </c>
      <c r="AA66" s="9">
        <v>11152174</v>
      </c>
      <c r="AB66" s="31">
        <v>11152174</v>
      </c>
      <c r="AC66" s="9">
        <v>90576</v>
      </c>
      <c r="AD66" s="9">
        <v>750340</v>
      </c>
      <c r="AE66" s="9">
        <v>2657778</v>
      </c>
      <c r="AF66" s="9">
        <v>3845128</v>
      </c>
      <c r="AG66" s="9">
        <v>5175531</v>
      </c>
      <c r="AH66" s="9">
        <v>5690420</v>
      </c>
      <c r="AI66" s="9">
        <v>6183284</v>
      </c>
      <c r="AJ66" s="9">
        <v>7050684</v>
      </c>
      <c r="AK66" s="9">
        <v>7513326</v>
      </c>
      <c r="AL66" s="9">
        <v>7778480</v>
      </c>
      <c r="AM66" s="9">
        <v>8775300</v>
      </c>
      <c r="AN66" s="9">
        <v>10761815</v>
      </c>
      <c r="AO66" s="31">
        <v>10761815</v>
      </c>
      <c r="AP66" s="9">
        <v>0</v>
      </c>
      <c r="AQ66" s="9">
        <v>937081</v>
      </c>
      <c r="AR66" s="9">
        <v>2218349</v>
      </c>
      <c r="AS66" s="9">
        <v>2777303</v>
      </c>
      <c r="AT66" s="9">
        <v>3384544</v>
      </c>
      <c r="AU66" s="9">
        <v>3942514</v>
      </c>
      <c r="AV66" s="9">
        <v>4275279</v>
      </c>
      <c r="AW66" s="9">
        <v>4363129</v>
      </c>
      <c r="AX66" s="9">
        <v>4623420</v>
      </c>
      <c r="AY66" s="9">
        <v>6480462</v>
      </c>
      <c r="AZ66" s="9">
        <v>7219163</v>
      </c>
      <c r="BA66" s="9">
        <v>10759149</v>
      </c>
      <c r="BB66" s="31">
        <v>10759149</v>
      </c>
      <c r="BC66" s="9">
        <v>0</v>
      </c>
      <c r="BD66" s="9">
        <v>71978</v>
      </c>
      <c r="BE66" s="9">
        <v>3354980</v>
      </c>
      <c r="BF66" s="9">
        <v>4258224</v>
      </c>
      <c r="BG66" s="9">
        <v>5231390</v>
      </c>
      <c r="BH66" s="9">
        <v>6005430</v>
      </c>
      <c r="BI66" s="9">
        <v>6853554</v>
      </c>
      <c r="BJ66" s="9">
        <v>8257561</v>
      </c>
      <c r="BK66" s="9">
        <v>9546976</v>
      </c>
      <c r="BL66" s="9">
        <v>10546010</v>
      </c>
      <c r="BM66" s="9">
        <v>12110895</v>
      </c>
      <c r="BN66" s="9">
        <v>15522598</v>
      </c>
      <c r="BO66" s="31">
        <v>15522598</v>
      </c>
      <c r="BP66" s="9">
        <v>0</v>
      </c>
      <c r="BQ66" s="9">
        <v>1212269</v>
      </c>
      <c r="BR66" s="9">
        <v>3701019</v>
      </c>
      <c r="BS66" s="9">
        <v>5184609</v>
      </c>
      <c r="BT66" s="9">
        <v>6236310</v>
      </c>
      <c r="BU66" s="9">
        <v>7058479</v>
      </c>
      <c r="BV66" s="9">
        <v>8036749</v>
      </c>
      <c r="BW66" s="9">
        <v>8875066</v>
      </c>
      <c r="BX66" s="9">
        <v>9586714</v>
      </c>
      <c r="BY66" s="9">
        <v>10891731</v>
      </c>
      <c r="BZ66" s="9">
        <v>11758503</v>
      </c>
      <c r="CA66" s="9">
        <v>15072435</v>
      </c>
      <c r="CB66" s="31">
        <v>15072435</v>
      </c>
      <c r="CC66" s="9">
        <v>0</v>
      </c>
      <c r="CD66" s="9">
        <v>0</v>
      </c>
      <c r="CE66" s="9">
        <v>1442121</v>
      </c>
      <c r="CF66" s="9">
        <v>2004041</v>
      </c>
      <c r="CG66" s="9">
        <v>3549426</v>
      </c>
      <c r="CH66" s="9">
        <v>4307703</v>
      </c>
      <c r="CI66" s="9">
        <v>4807994</v>
      </c>
      <c r="CJ66" s="9">
        <v>5364388</v>
      </c>
      <c r="CK66" s="9">
        <v>5794502</v>
      </c>
      <c r="CL66" s="9">
        <v>6571831</v>
      </c>
      <c r="CM66" s="9">
        <v>7519300</v>
      </c>
      <c r="CN66" s="9">
        <v>8412486</v>
      </c>
      <c r="CO66" s="31">
        <v>8412486</v>
      </c>
      <c r="CP66" s="9">
        <v>0</v>
      </c>
      <c r="CQ66" s="9">
        <v>27435</v>
      </c>
      <c r="CR66" s="9">
        <v>467777</v>
      </c>
      <c r="CS66" s="9">
        <v>2743726</v>
      </c>
      <c r="CT66" s="9">
        <v>3356489</v>
      </c>
      <c r="CU66" s="9">
        <v>3709806</v>
      </c>
      <c r="CV66" s="9">
        <v>4286840</v>
      </c>
      <c r="CW66" s="9">
        <v>7579524</v>
      </c>
      <c r="CX66" s="9">
        <v>8436086</v>
      </c>
      <c r="CY66" s="9">
        <v>9134011</v>
      </c>
      <c r="CZ66" s="9">
        <v>10229876</v>
      </c>
      <c r="DA66" s="9">
        <v>13903694</v>
      </c>
      <c r="DB66" s="31">
        <v>13903694</v>
      </c>
      <c r="DC66" s="9">
        <v>0</v>
      </c>
      <c r="DD66" s="9">
        <v>1010021</v>
      </c>
      <c r="DE66" s="9">
        <v>2498540</v>
      </c>
      <c r="DF66" s="9">
        <v>3851519</v>
      </c>
      <c r="DG66" s="9">
        <v>6078244</v>
      </c>
      <c r="DH66" s="9">
        <v>7635624</v>
      </c>
      <c r="DI66" s="9">
        <v>8485040</v>
      </c>
      <c r="DJ66" s="9">
        <v>9268932</v>
      </c>
      <c r="DK66" s="9">
        <v>13349886</v>
      </c>
      <c r="DL66" s="9">
        <v>14149755</v>
      </c>
      <c r="DM66" s="9">
        <v>14832392</v>
      </c>
      <c r="DN66" s="9">
        <v>17437828</v>
      </c>
      <c r="DO66" s="31">
        <v>17437828</v>
      </c>
      <c r="DP66" s="9">
        <v>0</v>
      </c>
      <c r="DQ66" s="9">
        <v>0</v>
      </c>
      <c r="DR66" s="9">
        <v>2335653</v>
      </c>
      <c r="DS66" s="9">
        <v>2951583</v>
      </c>
      <c r="DT66" s="9">
        <v>3316903</v>
      </c>
      <c r="DU66" s="9">
        <v>3760714</v>
      </c>
      <c r="DV66" s="9">
        <v>4048159</v>
      </c>
      <c r="DW66" s="9">
        <v>4559712</v>
      </c>
      <c r="DX66" s="9">
        <v>4919719</v>
      </c>
      <c r="DY66" s="9">
        <v>5407256</v>
      </c>
      <c r="DZ66" s="9">
        <v>6200305</v>
      </c>
      <c r="EA66" s="9">
        <v>8838243</v>
      </c>
      <c r="EB66" s="31">
        <v>8838243</v>
      </c>
      <c r="EC66" s="9">
        <v>0</v>
      </c>
      <c r="ED66" s="9">
        <v>7700</v>
      </c>
      <c r="EE66" s="9">
        <v>3038795</v>
      </c>
      <c r="EF66" s="9">
        <v>4226426</v>
      </c>
      <c r="EG66" s="9">
        <v>5050926</v>
      </c>
      <c r="EH66" s="9">
        <v>6055745</v>
      </c>
      <c r="EI66" s="9">
        <v>6653509</v>
      </c>
      <c r="EJ66" s="9">
        <v>7461171</v>
      </c>
      <c r="EK66" s="9">
        <v>8300531</v>
      </c>
      <c r="EL66" s="9">
        <v>9566238</v>
      </c>
      <c r="EM66" s="9">
        <v>10997168</v>
      </c>
      <c r="EN66" s="9">
        <v>12655537</v>
      </c>
      <c r="EO66" s="31">
        <v>12655537</v>
      </c>
      <c r="EP66" s="9">
        <v>0</v>
      </c>
      <c r="EQ66" s="9">
        <v>0</v>
      </c>
      <c r="ER66" s="9">
        <v>193260</v>
      </c>
      <c r="ES66" s="9">
        <v>3443387</v>
      </c>
      <c r="ET66" s="9">
        <v>4404167</v>
      </c>
      <c r="EU66" s="9">
        <v>4709219</v>
      </c>
      <c r="EV66" s="9">
        <v>5193606</v>
      </c>
      <c r="EW66" s="9">
        <v>5513800</v>
      </c>
      <c r="EX66" s="9">
        <v>6207367</v>
      </c>
      <c r="EY66" s="9">
        <v>6484370</v>
      </c>
      <c r="EZ66" s="9">
        <v>6871735</v>
      </c>
      <c r="FA66" s="9">
        <v>8624945</v>
      </c>
      <c r="FB66" s="31">
        <v>8624945</v>
      </c>
      <c r="FC66" s="9">
        <v>0</v>
      </c>
      <c r="FD66" s="9">
        <v>0</v>
      </c>
      <c r="FE66" s="9">
        <v>1168665</v>
      </c>
      <c r="FF66" s="9">
        <v>3012381</v>
      </c>
      <c r="FG66" s="9">
        <v>4000734</v>
      </c>
      <c r="FH66" s="9">
        <v>4646571</v>
      </c>
      <c r="FI66" s="9">
        <v>5357802</v>
      </c>
      <c r="FJ66" s="9">
        <v>5357802</v>
      </c>
      <c r="FK66" s="9">
        <v>5357802</v>
      </c>
      <c r="FL66" s="9">
        <v>5357802</v>
      </c>
      <c r="FM66" s="9">
        <v>5357802</v>
      </c>
      <c r="FN66" s="9">
        <v>5357802</v>
      </c>
      <c r="FO66" s="31">
        <v>5357802</v>
      </c>
    </row>
    <row r="67" spans="2:171" x14ac:dyDescent="0.3">
      <c r="B67" s="7" t="s">
        <v>61</v>
      </c>
      <c r="C67" s="9">
        <v>0</v>
      </c>
      <c r="D67" s="9">
        <v>1162124</v>
      </c>
      <c r="E67" s="9">
        <v>3526783</v>
      </c>
      <c r="F67" s="9">
        <v>4785547</v>
      </c>
      <c r="G67" s="9">
        <v>5704910</v>
      </c>
      <c r="H67" s="9">
        <v>6555107</v>
      </c>
      <c r="I67" s="9">
        <v>8071066</v>
      </c>
      <c r="J67" s="9">
        <v>8761489</v>
      </c>
      <c r="K67" s="9">
        <v>9895554</v>
      </c>
      <c r="L67" s="9">
        <v>10978959</v>
      </c>
      <c r="M67" s="9">
        <v>12379981</v>
      </c>
      <c r="N67" s="9">
        <v>17469799</v>
      </c>
      <c r="O67" s="31">
        <v>17469799</v>
      </c>
      <c r="P67" s="9">
        <v>2308</v>
      </c>
      <c r="Q67" s="9">
        <v>2712982</v>
      </c>
      <c r="R67" s="9">
        <v>5074420</v>
      </c>
      <c r="S67" s="9">
        <v>6482210</v>
      </c>
      <c r="T67" s="9">
        <v>7820239</v>
      </c>
      <c r="U67" s="9">
        <v>10692854</v>
      </c>
      <c r="V67" s="9">
        <v>11888583</v>
      </c>
      <c r="W67" s="9">
        <v>12694889</v>
      </c>
      <c r="X67" s="9">
        <v>13929713</v>
      </c>
      <c r="Y67" s="9">
        <v>15839991</v>
      </c>
      <c r="Z67" s="9">
        <v>18407076</v>
      </c>
      <c r="AA67" s="9">
        <v>21416137</v>
      </c>
      <c r="AB67" s="31">
        <v>21416137</v>
      </c>
      <c r="AC67" s="9">
        <v>179</v>
      </c>
      <c r="AD67" s="9">
        <v>3483173</v>
      </c>
      <c r="AE67" s="9">
        <v>5636657</v>
      </c>
      <c r="AF67" s="9">
        <v>7164123</v>
      </c>
      <c r="AG67" s="9">
        <v>8255632</v>
      </c>
      <c r="AH67" s="9">
        <v>9044624</v>
      </c>
      <c r="AI67" s="9">
        <v>9981988</v>
      </c>
      <c r="AJ67" s="9">
        <v>10825521</v>
      </c>
      <c r="AK67" s="9">
        <v>15737343</v>
      </c>
      <c r="AL67" s="9">
        <v>17189461</v>
      </c>
      <c r="AM67" s="9">
        <v>18423031</v>
      </c>
      <c r="AN67" s="9">
        <v>21404873</v>
      </c>
      <c r="AO67" s="31">
        <v>21404873</v>
      </c>
      <c r="AP67" s="9">
        <v>0</v>
      </c>
      <c r="AQ67" s="9">
        <v>1057685</v>
      </c>
      <c r="AR67" s="9">
        <v>2450746</v>
      </c>
      <c r="AS67" s="9">
        <v>3358060</v>
      </c>
      <c r="AT67" s="9">
        <v>4223769</v>
      </c>
      <c r="AU67" s="9">
        <v>5336111</v>
      </c>
      <c r="AV67" s="9">
        <v>6018224</v>
      </c>
      <c r="AW67" s="9">
        <v>9128059</v>
      </c>
      <c r="AX67" s="9">
        <v>10109811</v>
      </c>
      <c r="AY67" s="9">
        <v>11164174</v>
      </c>
      <c r="AZ67" s="9">
        <v>13331630</v>
      </c>
      <c r="BA67" s="9">
        <v>17598447</v>
      </c>
      <c r="BB67" s="31">
        <v>17598447</v>
      </c>
      <c r="BC67" s="9">
        <v>0</v>
      </c>
      <c r="BD67" s="9">
        <v>2019088</v>
      </c>
      <c r="BE67" s="9">
        <v>4224402</v>
      </c>
      <c r="BF67" s="9">
        <v>4868774</v>
      </c>
      <c r="BG67" s="9">
        <v>5519303</v>
      </c>
      <c r="BH67" s="9">
        <v>8946391</v>
      </c>
      <c r="BI67" s="9">
        <v>10517439</v>
      </c>
      <c r="BJ67" s="9">
        <v>11046363</v>
      </c>
      <c r="BK67" s="9">
        <v>11527393</v>
      </c>
      <c r="BL67" s="9">
        <v>12070964</v>
      </c>
      <c r="BM67" s="9">
        <v>13354911</v>
      </c>
      <c r="BN67" s="9">
        <v>16611135</v>
      </c>
      <c r="BO67" s="31">
        <v>16611135</v>
      </c>
      <c r="BP67" s="9">
        <v>0</v>
      </c>
      <c r="BQ67" s="9">
        <v>2340477</v>
      </c>
      <c r="BR67" s="9">
        <v>3777342</v>
      </c>
      <c r="BS67" s="9">
        <v>6042707</v>
      </c>
      <c r="BT67" s="9">
        <v>6835162</v>
      </c>
      <c r="BU67" s="9">
        <v>9056626</v>
      </c>
      <c r="BV67" s="9">
        <v>9438369</v>
      </c>
      <c r="BW67" s="9">
        <v>10048729</v>
      </c>
      <c r="BX67" s="9">
        <v>10574523</v>
      </c>
      <c r="BY67" s="9">
        <v>14878879</v>
      </c>
      <c r="BZ67" s="9">
        <v>16599729</v>
      </c>
      <c r="CA67" s="9">
        <v>18419721</v>
      </c>
      <c r="CB67" s="31">
        <v>18419721</v>
      </c>
      <c r="CC67" s="9">
        <v>0</v>
      </c>
      <c r="CD67" s="9">
        <v>1454828</v>
      </c>
      <c r="CE67" s="9">
        <v>2634819</v>
      </c>
      <c r="CF67" s="9">
        <v>4523045</v>
      </c>
      <c r="CG67" s="9">
        <v>6217689</v>
      </c>
      <c r="CH67" s="9">
        <v>7921209</v>
      </c>
      <c r="CI67" s="9">
        <v>8404096</v>
      </c>
      <c r="CJ67" s="9">
        <v>9260321</v>
      </c>
      <c r="CK67" s="9">
        <v>10521502</v>
      </c>
      <c r="CL67" s="9">
        <v>11702897</v>
      </c>
      <c r="CM67" s="9">
        <v>16550958</v>
      </c>
      <c r="CN67" s="9">
        <v>18087928</v>
      </c>
      <c r="CO67" s="31">
        <v>18087928</v>
      </c>
      <c r="CP67" s="9">
        <v>996487</v>
      </c>
      <c r="CQ67" s="9">
        <v>2043266</v>
      </c>
      <c r="CR67" s="9">
        <v>4020536</v>
      </c>
      <c r="CS67" s="9">
        <v>6275646</v>
      </c>
      <c r="CT67" s="9">
        <v>7328899</v>
      </c>
      <c r="CU67" s="9">
        <v>8194186</v>
      </c>
      <c r="CV67" s="9">
        <v>9468982</v>
      </c>
      <c r="CW67" s="9">
        <v>10913380</v>
      </c>
      <c r="CX67" s="9">
        <v>12417213</v>
      </c>
      <c r="CY67" s="9">
        <v>15385505</v>
      </c>
      <c r="CZ67" s="9">
        <v>17535907</v>
      </c>
      <c r="DA67" s="9">
        <v>21836636</v>
      </c>
      <c r="DB67" s="31">
        <v>21836636</v>
      </c>
      <c r="DC67" s="9">
        <v>0</v>
      </c>
      <c r="DD67" s="9">
        <v>1898044</v>
      </c>
      <c r="DE67" s="9">
        <v>3748855</v>
      </c>
      <c r="DF67" s="9">
        <v>5981074</v>
      </c>
      <c r="DG67" s="9">
        <v>7852783</v>
      </c>
      <c r="DH67" s="9">
        <v>10182413</v>
      </c>
      <c r="DI67" s="9">
        <v>12417380</v>
      </c>
      <c r="DJ67" s="9">
        <v>14929801</v>
      </c>
      <c r="DK67" s="9">
        <v>16836563</v>
      </c>
      <c r="DL67" s="9">
        <v>18703431</v>
      </c>
      <c r="DM67" s="9">
        <v>20946638</v>
      </c>
      <c r="DN67" s="9">
        <v>24175752</v>
      </c>
      <c r="DO67" s="31">
        <v>24175752</v>
      </c>
      <c r="DP67" s="9">
        <v>0</v>
      </c>
      <c r="DQ67" s="9">
        <v>439429</v>
      </c>
      <c r="DR67" s="9">
        <v>3653930</v>
      </c>
      <c r="DS67" s="9">
        <v>5425318</v>
      </c>
      <c r="DT67" s="9">
        <v>6826595</v>
      </c>
      <c r="DU67" s="9">
        <v>7934457</v>
      </c>
      <c r="DV67" s="9">
        <v>9042095</v>
      </c>
      <c r="DW67" s="9">
        <v>10268165</v>
      </c>
      <c r="DX67" s="9">
        <v>11721084</v>
      </c>
      <c r="DY67" s="9">
        <v>12463765</v>
      </c>
      <c r="DZ67" s="9">
        <v>15088975</v>
      </c>
      <c r="EA67" s="9">
        <v>18038656</v>
      </c>
      <c r="EB67" s="31">
        <v>18038656</v>
      </c>
      <c r="EC67" s="9">
        <v>0</v>
      </c>
      <c r="ED67" s="9">
        <v>85525</v>
      </c>
      <c r="EE67" s="9">
        <v>3808215</v>
      </c>
      <c r="EF67" s="9">
        <v>6052141</v>
      </c>
      <c r="EG67" s="9">
        <v>7089017</v>
      </c>
      <c r="EH67" s="9">
        <v>7804598</v>
      </c>
      <c r="EI67" s="9">
        <v>8459942</v>
      </c>
      <c r="EJ67" s="9">
        <v>9411168</v>
      </c>
      <c r="EK67" s="9">
        <v>10320441</v>
      </c>
      <c r="EL67" s="9">
        <v>11294472</v>
      </c>
      <c r="EM67" s="9">
        <v>12568946</v>
      </c>
      <c r="EN67" s="9">
        <v>16578842</v>
      </c>
      <c r="EO67" s="31">
        <v>16578842</v>
      </c>
      <c r="EP67" s="9">
        <v>0</v>
      </c>
      <c r="EQ67" s="9">
        <v>0</v>
      </c>
      <c r="ER67" s="9">
        <v>2933902</v>
      </c>
      <c r="ES67" s="9">
        <v>3530295</v>
      </c>
      <c r="ET67" s="9">
        <v>4379069</v>
      </c>
      <c r="EU67" s="9">
        <v>5099188</v>
      </c>
      <c r="EV67" s="9">
        <v>5972178</v>
      </c>
      <c r="EW67" s="9">
        <v>7046961</v>
      </c>
      <c r="EX67" s="9">
        <v>8090235</v>
      </c>
      <c r="EY67" s="9">
        <v>9289014</v>
      </c>
      <c r="EZ67" s="9">
        <v>10551843</v>
      </c>
      <c r="FA67" s="9">
        <v>13871396</v>
      </c>
      <c r="FB67" s="31">
        <v>13871396</v>
      </c>
      <c r="FC67" s="9">
        <v>0</v>
      </c>
      <c r="FD67" s="9">
        <v>96726</v>
      </c>
      <c r="FE67" s="9">
        <v>1392605</v>
      </c>
      <c r="FF67" s="9">
        <v>2906542</v>
      </c>
      <c r="FG67" s="9">
        <v>3332831</v>
      </c>
      <c r="FH67" s="9">
        <v>3844505</v>
      </c>
      <c r="FI67" s="9">
        <v>4487280</v>
      </c>
      <c r="FJ67" s="9">
        <v>4487280</v>
      </c>
      <c r="FK67" s="9">
        <v>4487280</v>
      </c>
      <c r="FL67" s="9">
        <v>4487280</v>
      </c>
      <c r="FM67" s="9">
        <v>4487280</v>
      </c>
      <c r="FN67" s="9">
        <v>4487280</v>
      </c>
      <c r="FO67" s="31">
        <v>4487280</v>
      </c>
    </row>
    <row r="68" spans="2:171" x14ac:dyDescent="0.3">
      <c r="B68" s="7" t="s">
        <v>62</v>
      </c>
      <c r="C68" s="9">
        <v>0</v>
      </c>
      <c r="D68" s="9">
        <v>348662</v>
      </c>
      <c r="E68" s="9">
        <v>738720</v>
      </c>
      <c r="F68" s="9">
        <v>1205611</v>
      </c>
      <c r="G68" s="9">
        <v>1580771</v>
      </c>
      <c r="H68" s="9">
        <v>1714115</v>
      </c>
      <c r="I68" s="9">
        <v>1912607</v>
      </c>
      <c r="J68" s="9">
        <v>2136476</v>
      </c>
      <c r="K68" s="9">
        <v>2227297</v>
      </c>
      <c r="L68" s="9">
        <v>2449057</v>
      </c>
      <c r="M68" s="9">
        <v>2824846</v>
      </c>
      <c r="N68" s="9">
        <v>3499059</v>
      </c>
      <c r="O68" s="31">
        <v>3499059</v>
      </c>
      <c r="P68" s="9">
        <v>50114</v>
      </c>
      <c r="Q68" s="9">
        <v>442207</v>
      </c>
      <c r="R68" s="9">
        <v>583332</v>
      </c>
      <c r="S68" s="9">
        <v>752453</v>
      </c>
      <c r="T68" s="9">
        <v>844531</v>
      </c>
      <c r="U68" s="9">
        <v>916943</v>
      </c>
      <c r="V68" s="9">
        <v>969083</v>
      </c>
      <c r="W68" s="9">
        <v>1083486</v>
      </c>
      <c r="X68" s="9">
        <v>1283474</v>
      </c>
      <c r="Y68" s="9">
        <v>1669530</v>
      </c>
      <c r="Z68" s="9">
        <v>1959125</v>
      </c>
      <c r="AA68" s="9">
        <v>2503811</v>
      </c>
      <c r="AB68" s="31">
        <v>2503811</v>
      </c>
      <c r="AC68" s="9">
        <v>9795</v>
      </c>
      <c r="AD68" s="9">
        <v>397499</v>
      </c>
      <c r="AE68" s="9">
        <v>1458428</v>
      </c>
      <c r="AF68" s="9">
        <v>1721314</v>
      </c>
      <c r="AG68" s="9">
        <v>2525321</v>
      </c>
      <c r="AH68" s="9">
        <v>3135645</v>
      </c>
      <c r="AI68" s="9">
        <v>3496332</v>
      </c>
      <c r="AJ68" s="9">
        <v>3794095</v>
      </c>
      <c r="AK68" s="9">
        <v>3919556</v>
      </c>
      <c r="AL68" s="9">
        <v>4156682</v>
      </c>
      <c r="AM68" s="9">
        <v>4698479</v>
      </c>
      <c r="AN68" s="9">
        <v>5287513</v>
      </c>
      <c r="AO68" s="31">
        <v>5287513</v>
      </c>
      <c r="AP68" s="9">
        <v>978</v>
      </c>
      <c r="AQ68" s="9">
        <v>210276</v>
      </c>
      <c r="AR68" s="9">
        <v>1174253</v>
      </c>
      <c r="AS68" s="9">
        <v>1574605</v>
      </c>
      <c r="AT68" s="9">
        <v>2370909</v>
      </c>
      <c r="AU68" s="9">
        <v>2796086</v>
      </c>
      <c r="AV68" s="9">
        <v>2988302</v>
      </c>
      <c r="AW68" s="9">
        <v>3363738</v>
      </c>
      <c r="AX68" s="9">
        <v>3760610</v>
      </c>
      <c r="AY68" s="9">
        <v>4043089</v>
      </c>
      <c r="AZ68" s="9">
        <v>4322784</v>
      </c>
      <c r="BA68" s="9">
        <v>4941495</v>
      </c>
      <c r="BB68" s="31">
        <v>4941495</v>
      </c>
      <c r="BC68" s="9">
        <v>0</v>
      </c>
      <c r="BD68" s="9">
        <v>0</v>
      </c>
      <c r="BE68" s="9">
        <v>877635</v>
      </c>
      <c r="BF68" s="9">
        <v>1328232</v>
      </c>
      <c r="BG68" s="9">
        <v>1935041</v>
      </c>
      <c r="BH68" s="9">
        <v>2225706</v>
      </c>
      <c r="BI68" s="9">
        <v>2564885</v>
      </c>
      <c r="BJ68" s="9">
        <v>3091667</v>
      </c>
      <c r="BK68" s="9">
        <v>4003664</v>
      </c>
      <c r="BL68" s="9">
        <v>4551397</v>
      </c>
      <c r="BM68" s="9">
        <v>4880075</v>
      </c>
      <c r="BN68" s="9">
        <v>5947605</v>
      </c>
      <c r="BO68" s="31">
        <v>5947605</v>
      </c>
      <c r="BP68" s="9">
        <v>0</v>
      </c>
      <c r="BQ68" s="9">
        <v>211656</v>
      </c>
      <c r="BR68" s="9">
        <v>735110</v>
      </c>
      <c r="BS68" s="9">
        <v>915715</v>
      </c>
      <c r="BT68" s="9">
        <v>1490278</v>
      </c>
      <c r="BU68" s="9">
        <v>1693527</v>
      </c>
      <c r="BV68" s="9">
        <v>1864527</v>
      </c>
      <c r="BW68" s="9">
        <v>1864527</v>
      </c>
      <c r="BX68" s="9">
        <v>2538460</v>
      </c>
      <c r="BY68" s="9">
        <v>3265227</v>
      </c>
      <c r="BZ68" s="9">
        <v>4411543</v>
      </c>
      <c r="CA68" s="9">
        <v>5722857</v>
      </c>
      <c r="CB68" s="31">
        <v>5722857</v>
      </c>
      <c r="CC68" s="9">
        <v>0</v>
      </c>
      <c r="CD68" s="9">
        <v>0</v>
      </c>
      <c r="CE68" s="9">
        <v>1951458</v>
      </c>
      <c r="CF68" s="9">
        <v>2637501</v>
      </c>
      <c r="CG68" s="9">
        <v>2864447</v>
      </c>
      <c r="CH68" s="9">
        <v>3121910</v>
      </c>
      <c r="CI68" s="9">
        <v>3645693</v>
      </c>
      <c r="CJ68" s="9">
        <v>4063974</v>
      </c>
      <c r="CK68" s="9">
        <v>4390332</v>
      </c>
      <c r="CL68" s="9">
        <v>5157581</v>
      </c>
      <c r="CM68" s="9">
        <v>6164978</v>
      </c>
      <c r="CN68" s="9">
        <v>6860033</v>
      </c>
      <c r="CO68" s="31">
        <v>6860033</v>
      </c>
      <c r="CP68" s="9">
        <v>0</v>
      </c>
      <c r="CQ68" s="9">
        <v>1844972</v>
      </c>
      <c r="CR68" s="9">
        <v>2980291</v>
      </c>
      <c r="CS68" s="9">
        <v>3911425</v>
      </c>
      <c r="CT68" s="9">
        <v>4668165</v>
      </c>
      <c r="CU68" s="9">
        <v>5530256</v>
      </c>
      <c r="CV68" s="9">
        <v>6492621</v>
      </c>
      <c r="CW68" s="9">
        <v>7015153</v>
      </c>
      <c r="CX68" s="9">
        <v>7721800</v>
      </c>
      <c r="CY68" s="9">
        <v>8180927</v>
      </c>
      <c r="CZ68" s="9">
        <v>8292205</v>
      </c>
      <c r="DA68" s="9">
        <v>9649410</v>
      </c>
      <c r="DB68" s="31">
        <v>9649410</v>
      </c>
      <c r="DC68" s="9">
        <v>0</v>
      </c>
      <c r="DD68" s="9">
        <v>718578</v>
      </c>
      <c r="DE68" s="9">
        <v>1229113</v>
      </c>
      <c r="DF68" s="9">
        <v>1651954</v>
      </c>
      <c r="DG68" s="9">
        <v>1867508</v>
      </c>
      <c r="DH68" s="9">
        <v>2126715</v>
      </c>
      <c r="DI68" s="9">
        <v>2490807</v>
      </c>
      <c r="DJ68" s="9">
        <v>2717171</v>
      </c>
      <c r="DK68" s="9">
        <v>3353547</v>
      </c>
      <c r="DL68" s="9">
        <v>3962955</v>
      </c>
      <c r="DM68" s="9">
        <v>4581541</v>
      </c>
      <c r="DN68" s="9">
        <v>5155650</v>
      </c>
      <c r="DO68" s="31">
        <v>5155650</v>
      </c>
      <c r="DP68" s="9">
        <v>0</v>
      </c>
      <c r="DQ68" s="9">
        <v>689936</v>
      </c>
      <c r="DR68" s="9">
        <v>2502173</v>
      </c>
      <c r="DS68" s="9">
        <v>2849773</v>
      </c>
      <c r="DT68" s="9">
        <v>3189668</v>
      </c>
      <c r="DU68" s="9">
        <v>3348927</v>
      </c>
      <c r="DV68" s="9">
        <v>3400352</v>
      </c>
      <c r="DW68" s="9">
        <v>4186629</v>
      </c>
      <c r="DX68" s="9">
        <v>4466306</v>
      </c>
      <c r="DY68" s="9">
        <v>4749091</v>
      </c>
      <c r="DZ68" s="9">
        <v>5080327</v>
      </c>
      <c r="EA68" s="9">
        <v>5693269</v>
      </c>
      <c r="EB68" s="31">
        <v>5693269</v>
      </c>
      <c r="EC68" s="9">
        <v>0</v>
      </c>
      <c r="ED68" s="9">
        <v>13338</v>
      </c>
      <c r="EE68" s="9">
        <v>2113530</v>
      </c>
      <c r="EF68" s="9">
        <v>2657230</v>
      </c>
      <c r="EG68" s="9">
        <v>3267050</v>
      </c>
      <c r="EH68" s="9">
        <v>3738634</v>
      </c>
      <c r="EI68" s="9">
        <v>4195604</v>
      </c>
      <c r="EJ68" s="9">
        <v>4944777</v>
      </c>
      <c r="EK68" s="9">
        <v>5784209</v>
      </c>
      <c r="EL68" s="9">
        <v>6407848</v>
      </c>
      <c r="EM68" s="9">
        <v>6823454</v>
      </c>
      <c r="EN68" s="9">
        <v>7636879</v>
      </c>
      <c r="EO68" s="31">
        <v>7636879</v>
      </c>
      <c r="EP68" s="9">
        <v>0</v>
      </c>
      <c r="EQ68" s="9">
        <v>0</v>
      </c>
      <c r="ER68" s="9">
        <v>773456</v>
      </c>
      <c r="ES68" s="9">
        <v>1228452</v>
      </c>
      <c r="ET68" s="9">
        <v>1463264</v>
      </c>
      <c r="EU68" s="9">
        <v>1843650</v>
      </c>
      <c r="EV68" s="9">
        <v>2269505</v>
      </c>
      <c r="EW68" s="9">
        <v>2548202</v>
      </c>
      <c r="EX68" s="9">
        <v>2878045</v>
      </c>
      <c r="EY68" s="9">
        <v>3291372</v>
      </c>
      <c r="EZ68" s="9">
        <v>3836142</v>
      </c>
      <c r="FA68" s="9">
        <v>5294326</v>
      </c>
      <c r="FB68" s="31">
        <v>5294326</v>
      </c>
      <c r="FC68" s="9">
        <v>0</v>
      </c>
      <c r="FD68" s="9">
        <v>0</v>
      </c>
      <c r="FE68" s="9">
        <v>1059921</v>
      </c>
      <c r="FF68" s="9">
        <v>1655837</v>
      </c>
      <c r="FG68" s="9">
        <v>2238440</v>
      </c>
      <c r="FH68" s="9">
        <v>2714836</v>
      </c>
      <c r="FI68" s="9">
        <v>2830250</v>
      </c>
      <c r="FJ68" s="9">
        <v>2830250</v>
      </c>
      <c r="FK68" s="9">
        <v>2830250</v>
      </c>
      <c r="FL68" s="9">
        <v>2830250</v>
      </c>
      <c r="FM68" s="9">
        <v>2830250</v>
      </c>
      <c r="FN68" s="9">
        <v>2830250</v>
      </c>
      <c r="FO68" s="31">
        <v>2830250</v>
      </c>
    </row>
    <row r="69" spans="2:171" x14ac:dyDescent="0.3">
      <c r="B69" s="7" t="s">
        <v>63</v>
      </c>
      <c r="C69" s="9">
        <v>0</v>
      </c>
      <c r="D69" s="9">
        <v>0</v>
      </c>
      <c r="E69" s="9">
        <v>0</v>
      </c>
      <c r="F69" s="9">
        <v>0</v>
      </c>
      <c r="G69" s="9">
        <v>2236759</v>
      </c>
      <c r="H69" s="9">
        <v>2936263</v>
      </c>
      <c r="I69" s="9">
        <v>3376405</v>
      </c>
      <c r="J69" s="9">
        <v>3831284</v>
      </c>
      <c r="K69" s="9">
        <v>4373377</v>
      </c>
      <c r="L69" s="9">
        <v>5605051</v>
      </c>
      <c r="M69" s="9">
        <v>7083064</v>
      </c>
      <c r="N69" s="9">
        <v>10086654</v>
      </c>
      <c r="O69" s="31">
        <v>10086654</v>
      </c>
      <c r="P69" s="9">
        <v>0</v>
      </c>
      <c r="Q69" s="9">
        <v>1355193</v>
      </c>
      <c r="R69" s="9">
        <v>2305331</v>
      </c>
      <c r="S69" s="9">
        <v>2786520</v>
      </c>
      <c r="T69" s="9">
        <v>2927940</v>
      </c>
      <c r="U69" s="9">
        <v>3122432</v>
      </c>
      <c r="V69" s="9">
        <v>3439673</v>
      </c>
      <c r="W69" s="9">
        <v>4069347</v>
      </c>
      <c r="X69" s="9">
        <v>4682305</v>
      </c>
      <c r="Y69" s="9">
        <v>5401569</v>
      </c>
      <c r="Z69" s="9">
        <v>6287608</v>
      </c>
      <c r="AA69" s="9">
        <v>7294234</v>
      </c>
      <c r="AB69" s="31">
        <v>7294234</v>
      </c>
      <c r="AC69" s="9">
        <v>0</v>
      </c>
      <c r="AD69" s="9">
        <v>483</v>
      </c>
      <c r="AE69" s="9">
        <v>1413270</v>
      </c>
      <c r="AF69" s="9">
        <v>1980069</v>
      </c>
      <c r="AG69" s="9">
        <v>2272091</v>
      </c>
      <c r="AH69" s="9">
        <v>2491838</v>
      </c>
      <c r="AI69" s="9">
        <v>2746815</v>
      </c>
      <c r="AJ69" s="9">
        <v>3018326</v>
      </c>
      <c r="AK69" s="9">
        <v>3473818</v>
      </c>
      <c r="AL69" s="9">
        <v>3981430</v>
      </c>
      <c r="AM69" s="9">
        <v>5163052</v>
      </c>
      <c r="AN69" s="9">
        <v>6987365</v>
      </c>
      <c r="AO69" s="31">
        <v>6987365</v>
      </c>
      <c r="AP69" s="9">
        <v>0</v>
      </c>
      <c r="AQ69" s="9">
        <v>158172</v>
      </c>
      <c r="AR69" s="9">
        <v>909922</v>
      </c>
      <c r="AS69" s="9">
        <v>1390797</v>
      </c>
      <c r="AT69" s="9">
        <v>1705539</v>
      </c>
      <c r="AU69" s="9">
        <v>2153438</v>
      </c>
      <c r="AV69" s="9">
        <v>2716665</v>
      </c>
      <c r="AW69" s="9">
        <v>3592634</v>
      </c>
      <c r="AX69" s="9">
        <v>4907018</v>
      </c>
      <c r="AY69" s="9">
        <v>6713412</v>
      </c>
      <c r="AZ69" s="9">
        <v>8822110</v>
      </c>
      <c r="BA69" s="9">
        <v>12128181</v>
      </c>
      <c r="BB69" s="31">
        <v>12128181</v>
      </c>
      <c r="BC69" s="9">
        <v>0</v>
      </c>
      <c r="BD69" s="9">
        <v>0</v>
      </c>
      <c r="BE69" s="9">
        <v>1538137</v>
      </c>
      <c r="BF69" s="9">
        <v>2152907</v>
      </c>
      <c r="BG69" s="9">
        <v>2673139</v>
      </c>
      <c r="BH69" s="9">
        <v>3045374</v>
      </c>
      <c r="BI69" s="9">
        <v>3298116</v>
      </c>
      <c r="BJ69" s="9">
        <v>3687401</v>
      </c>
      <c r="BK69" s="9">
        <v>3907234</v>
      </c>
      <c r="BL69" s="9">
        <v>4735498</v>
      </c>
      <c r="BM69" s="9">
        <v>5847323</v>
      </c>
      <c r="BN69" s="9">
        <v>8358099</v>
      </c>
      <c r="BO69" s="31">
        <v>8358099</v>
      </c>
      <c r="BP69" s="9">
        <v>0</v>
      </c>
      <c r="BQ69" s="9">
        <v>0</v>
      </c>
      <c r="BR69" s="9">
        <v>2506319</v>
      </c>
      <c r="BS69" s="9">
        <v>3406649</v>
      </c>
      <c r="BT69" s="9">
        <v>4321791</v>
      </c>
      <c r="BU69" s="9">
        <v>4770627</v>
      </c>
      <c r="BV69" s="9">
        <v>5172462</v>
      </c>
      <c r="BW69" s="9">
        <v>5172462</v>
      </c>
      <c r="BX69" s="9">
        <v>6207780</v>
      </c>
      <c r="BY69" s="9">
        <v>7894979</v>
      </c>
      <c r="BZ69" s="9">
        <v>9688128</v>
      </c>
      <c r="CA69" s="9">
        <v>11296807</v>
      </c>
      <c r="CB69" s="31">
        <v>11296807</v>
      </c>
      <c r="CC69" s="9">
        <v>0</v>
      </c>
      <c r="CD69" s="9">
        <v>0</v>
      </c>
      <c r="CE69" s="9">
        <v>1868482</v>
      </c>
      <c r="CF69" s="9">
        <v>3082450</v>
      </c>
      <c r="CG69" s="9">
        <v>3421285</v>
      </c>
      <c r="CH69" s="9">
        <v>3921486</v>
      </c>
      <c r="CI69" s="9">
        <v>4631969</v>
      </c>
      <c r="CJ69" s="9">
        <v>5189973</v>
      </c>
      <c r="CK69" s="9">
        <v>5834945</v>
      </c>
      <c r="CL69" s="9">
        <v>6703659</v>
      </c>
      <c r="CM69" s="9">
        <v>7658162</v>
      </c>
      <c r="CN69" s="9">
        <v>9121098</v>
      </c>
      <c r="CO69" s="31">
        <v>9121098</v>
      </c>
      <c r="CP69" s="9">
        <v>0</v>
      </c>
      <c r="CQ69" s="9">
        <v>780964</v>
      </c>
      <c r="CR69" s="9">
        <v>2329121</v>
      </c>
      <c r="CS69" s="9">
        <v>2781402</v>
      </c>
      <c r="CT69" s="9">
        <v>3961113</v>
      </c>
      <c r="CU69" s="9">
        <v>4999318</v>
      </c>
      <c r="CV69" s="9">
        <v>5729292</v>
      </c>
      <c r="CW69" s="9">
        <v>6450230</v>
      </c>
      <c r="CX69" s="9">
        <v>7246756</v>
      </c>
      <c r="CY69" s="9">
        <v>8083876</v>
      </c>
      <c r="CZ69" s="9">
        <v>9157163</v>
      </c>
      <c r="DA69" s="9">
        <v>10738590</v>
      </c>
      <c r="DB69" s="31">
        <v>10738590</v>
      </c>
      <c r="DC69" s="9">
        <v>0</v>
      </c>
      <c r="DD69" s="9">
        <v>531868</v>
      </c>
      <c r="DE69" s="9">
        <v>979900</v>
      </c>
      <c r="DF69" s="9">
        <v>1668995</v>
      </c>
      <c r="DG69" s="9">
        <v>2067161</v>
      </c>
      <c r="DH69" s="9">
        <v>2495250</v>
      </c>
      <c r="DI69" s="9">
        <v>2833549</v>
      </c>
      <c r="DJ69" s="9">
        <v>3310447</v>
      </c>
      <c r="DK69" s="9">
        <v>4180470</v>
      </c>
      <c r="DL69" s="9">
        <v>5410940</v>
      </c>
      <c r="DM69" s="9">
        <v>6546938</v>
      </c>
      <c r="DN69" s="9">
        <v>9221232</v>
      </c>
      <c r="DO69" s="31">
        <v>9221232</v>
      </c>
      <c r="DP69" s="9">
        <v>0</v>
      </c>
      <c r="DQ69" s="9">
        <v>242363</v>
      </c>
      <c r="DR69" s="9">
        <v>2468853</v>
      </c>
      <c r="DS69" s="9">
        <v>3552694</v>
      </c>
      <c r="DT69" s="9">
        <v>4986547</v>
      </c>
      <c r="DU69" s="9">
        <v>6240668</v>
      </c>
      <c r="DV69" s="9">
        <v>7483453</v>
      </c>
      <c r="DW69" s="9">
        <v>8011980</v>
      </c>
      <c r="DX69" s="9">
        <v>9004344</v>
      </c>
      <c r="DY69" s="9">
        <v>10464944</v>
      </c>
      <c r="DZ69" s="9">
        <v>11221564</v>
      </c>
      <c r="EA69" s="9">
        <v>12894724</v>
      </c>
      <c r="EB69" s="31">
        <v>12894724</v>
      </c>
      <c r="EC69" s="9">
        <v>0</v>
      </c>
      <c r="ED69" s="9">
        <v>0</v>
      </c>
      <c r="EE69" s="9">
        <v>3256958</v>
      </c>
      <c r="EF69" s="9">
        <v>5254963</v>
      </c>
      <c r="EG69" s="9">
        <v>7343946</v>
      </c>
      <c r="EH69" s="9">
        <v>8984252</v>
      </c>
      <c r="EI69" s="9">
        <v>11604334</v>
      </c>
      <c r="EJ69" s="9">
        <v>12582118</v>
      </c>
      <c r="EK69" s="9">
        <v>13958919</v>
      </c>
      <c r="EL69" s="9">
        <v>15014924</v>
      </c>
      <c r="EM69" s="9">
        <v>16146052</v>
      </c>
      <c r="EN69" s="9">
        <v>17938143</v>
      </c>
      <c r="EO69" s="31">
        <v>17938143</v>
      </c>
      <c r="EP69" s="9">
        <v>0</v>
      </c>
      <c r="EQ69" s="9">
        <v>656162</v>
      </c>
      <c r="ER69" s="9">
        <v>1462430</v>
      </c>
      <c r="ES69" s="9">
        <v>2617816</v>
      </c>
      <c r="ET69" s="9">
        <v>3672318</v>
      </c>
      <c r="EU69" s="9">
        <v>4549506</v>
      </c>
      <c r="EV69" s="9">
        <v>5755024</v>
      </c>
      <c r="EW69" s="9">
        <v>6518863</v>
      </c>
      <c r="EX69" s="9">
        <v>8081693</v>
      </c>
      <c r="EY69" s="9">
        <v>9963180</v>
      </c>
      <c r="EZ69" s="9">
        <v>11073504</v>
      </c>
      <c r="FA69" s="9">
        <v>14403339</v>
      </c>
      <c r="FB69" s="31">
        <v>14403339</v>
      </c>
      <c r="FC69" s="9">
        <v>0</v>
      </c>
      <c r="FD69" s="9">
        <v>2033211</v>
      </c>
      <c r="FE69" s="9">
        <v>4073385</v>
      </c>
      <c r="FF69" s="9">
        <v>5482094</v>
      </c>
      <c r="FG69" s="9">
        <v>6965527</v>
      </c>
      <c r="FH69" s="9">
        <v>10120647</v>
      </c>
      <c r="FI69" s="9">
        <v>11843248</v>
      </c>
      <c r="FJ69" s="9">
        <v>11843248</v>
      </c>
      <c r="FK69" s="9">
        <v>11843248</v>
      </c>
      <c r="FL69" s="9">
        <v>11843248</v>
      </c>
      <c r="FM69" s="9">
        <v>11843248</v>
      </c>
      <c r="FN69" s="9">
        <v>11843248</v>
      </c>
      <c r="FO69" s="31">
        <v>11843248</v>
      </c>
    </row>
    <row r="70" spans="2:171" x14ac:dyDescent="0.3">
      <c r="B70" s="11" t="s">
        <v>121</v>
      </c>
      <c r="C70" s="13">
        <f t="shared" ref="C70:AH70" si="12">SUM(C52:C69)</f>
        <v>0</v>
      </c>
      <c r="D70" s="13">
        <f t="shared" si="12"/>
        <v>6707055</v>
      </c>
      <c r="E70" s="13">
        <f t="shared" si="12"/>
        <v>42771872</v>
      </c>
      <c r="F70" s="13">
        <f t="shared" si="12"/>
        <v>67048131</v>
      </c>
      <c r="G70" s="13">
        <f t="shared" si="12"/>
        <v>91643055</v>
      </c>
      <c r="H70" s="13">
        <f t="shared" si="12"/>
        <v>112124722</v>
      </c>
      <c r="I70" s="13">
        <f t="shared" si="12"/>
        <v>131413645</v>
      </c>
      <c r="J70" s="13">
        <f t="shared" si="12"/>
        <v>150483865</v>
      </c>
      <c r="K70" s="13">
        <f t="shared" si="12"/>
        <v>174037694</v>
      </c>
      <c r="L70" s="13">
        <f t="shared" si="12"/>
        <v>203930517</v>
      </c>
      <c r="M70" s="13">
        <f t="shared" si="12"/>
        <v>249259888</v>
      </c>
      <c r="N70" s="13">
        <f t="shared" si="12"/>
        <v>321378807</v>
      </c>
      <c r="O70" s="13">
        <f t="shared" si="12"/>
        <v>321378807</v>
      </c>
      <c r="P70" s="13">
        <f t="shared" si="12"/>
        <v>9476614</v>
      </c>
      <c r="Q70" s="13">
        <f t="shared" si="12"/>
        <v>33250047</v>
      </c>
      <c r="R70" s="13">
        <f t="shared" si="12"/>
        <v>60458715</v>
      </c>
      <c r="S70" s="13">
        <f t="shared" si="12"/>
        <v>89282044</v>
      </c>
      <c r="T70" s="13">
        <f t="shared" si="12"/>
        <v>119070811</v>
      </c>
      <c r="U70" s="13">
        <f t="shared" si="12"/>
        <v>144056425</v>
      </c>
      <c r="V70" s="13">
        <f t="shared" si="12"/>
        <v>166693798</v>
      </c>
      <c r="W70" s="13">
        <f t="shared" si="12"/>
        <v>190172819</v>
      </c>
      <c r="X70" s="13">
        <f t="shared" si="12"/>
        <v>215825108</v>
      </c>
      <c r="Y70" s="13">
        <f t="shared" si="12"/>
        <v>254391013</v>
      </c>
      <c r="Z70" s="13">
        <f t="shared" si="12"/>
        <v>295606373</v>
      </c>
      <c r="AA70" s="13">
        <f t="shared" si="12"/>
        <v>382984709</v>
      </c>
      <c r="AB70" s="13">
        <f t="shared" si="12"/>
        <v>382984709</v>
      </c>
      <c r="AC70" s="13">
        <f t="shared" si="12"/>
        <v>7857941</v>
      </c>
      <c r="AD70" s="13">
        <f t="shared" si="12"/>
        <v>31306196</v>
      </c>
      <c r="AE70" s="13">
        <f t="shared" si="12"/>
        <v>74678837</v>
      </c>
      <c r="AF70" s="13">
        <f t="shared" si="12"/>
        <v>104342887</v>
      </c>
      <c r="AG70" s="13">
        <f t="shared" si="12"/>
        <v>130174609</v>
      </c>
      <c r="AH70" s="13">
        <f t="shared" si="12"/>
        <v>162354863</v>
      </c>
      <c r="AI70" s="13">
        <f t="shared" ref="AI70:BN70" si="13">SUM(AI52:AI69)</f>
        <v>182533436</v>
      </c>
      <c r="AJ70" s="13">
        <f t="shared" si="13"/>
        <v>208687592</v>
      </c>
      <c r="AK70" s="13">
        <f t="shared" si="13"/>
        <v>242026073</v>
      </c>
      <c r="AL70" s="13">
        <f t="shared" si="13"/>
        <v>269361453</v>
      </c>
      <c r="AM70" s="13">
        <f t="shared" si="13"/>
        <v>309347457</v>
      </c>
      <c r="AN70" s="13">
        <f t="shared" si="13"/>
        <v>393581347</v>
      </c>
      <c r="AO70" s="13">
        <f t="shared" si="13"/>
        <v>393581347</v>
      </c>
      <c r="AP70" s="13">
        <f t="shared" si="13"/>
        <v>352743</v>
      </c>
      <c r="AQ70" s="13">
        <f t="shared" si="13"/>
        <v>21474057</v>
      </c>
      <c r="AR70" s="13">
        <f t="shared" si="13"/>
        <v>58986674</v>
      </c>
      <c r="AS70" s="13">
        <f t="shared" si="13"/>
        <v>86249468</v>
      </c>
      <c r="AT70" s="13">
        <f t="shared" si="13"/>
        <v>114114808</v>
      </c>
      <c r="AU70" s="13">
        <f t="shared" si="13"/>
        <v>145624990</v>
      </c>
      <c r="AV70" s="13">
        <f t="shared" si="13"/>
        <v>170294814</v>
      </c>
      <c r="AW70" s="13">
        <f t="shared" si="13"/>
        <v>203151850</v>
      </c>
      <c r="AX70" s="13">
        <f t="shared" si="13"/>
        <v>231446027</v>
      </c>
      <c r="AY70" s="13">
        <f t="shared" si="13"/>
        <v>264933992</v>
      </c>
      <c r="AZ70" s="13">
        <f t="shared" si="13"/>
        <v>306887310</v>
      </c>
      <c r="BA70" s="13">
        <f t="shared" si="13"/>
        <v>406406082</v>
      </c>
      <c r="BB70" s="13">
        <f t="shared" si="13"/>
        <v>406406082</v>
      </c>
      <c r="BC70" s="13">
        <f t="shared" si="13"/>
        <v>2991337</v>
      </c>
      <c r="BD70" s="13">
        <f t="shared" si="13"/>
        <v>17348100</v>
      </c>
      <c r="BE70" s="13">
        <f t="shared" si="13"/>
        <v>68960019</v>
      </c>
      <c r="BF70" s="13">
        <f t="shared" si="13"/>
        <v>100434891</v>
      </c>
      <c r="BG70" s="13">
        <f t="shared" si="13"/>
        <v>127505911</v>
      </c>
      <c r="BH70" s="13">
        <f t="shared" si="13"/>
        <v>155130833</v>
      </c>
      <c r="BI70" s="13">
        <f t="shared" si="13"/>
        <v>176906341</v>
      </c>
      <c r="BJ70" s="13">
        <f t="shared" si="13"/>
        <v>202307510</v>
      </c>
      <c r="BK70" s="13">
        <f t="shared" si="13"/>
        <v>227865291</v>
      </c>
      <c r="BL70" s="13">
        <f t="shared" si="13"/>
        <v>253629526</v>
      </c>
      <c r="BM70" s="13">
        <f t="shared" si="13"/>
        <v>290719477</v>
      </c>
      <c r="BN70" s="13">
        <f t="shared" si="13"/>
        <v>362504381</v>
      </c>
      <c r="BO70" s="13">
        <f t="shared" ref="BO70:CT70" si="14">SUM(BO52:BO69)</f>
        <v>362504381</v>
      </c>
      <c r="BP70" s="13">
        <f t="shared" si="14"/>
        <v>0</v>
      </c>
      <c r="BQ70" s="13">
        <f t="shared" si="14"/>
        <v>10264467</v>
      </c>
      <c r="BR70" s="13">
        <f t="shared" si="14"/>
        <v>56805006</v>
      </c>
      <c r="BS70" s="13">
        <f t="shared" si="14"/>
        <v>93796341</v>
      </c>
      <c r="BT70" s="13">
        <f t="shared" si="14"/>
        <v>119963838</v>
      </c>
      <c r="BU70" s="13">
        <f t="shared" si="14"/>
        <v>151655156</v>
      </c>
      <c r="BV70" s="13">
        <f t="shared" si="14"/>
        <v>175614966</v>
      </c>
      <c r="BW70" s="13">
        <f t="shared" si="14"/>
        <v>197126318</v>
      </c>
      <c r="BX70" s="13">
        <f t="shared" si="14"/>
        <v>218681031</v>
      </c>
      <c r="BY70" s="13">
        <f t="shared" si="14"/>
        <v>251846522</v>
      </c>
      <c r="BZ70" s="13">
        <f t="shared" si="14"/>
        <v>293228892</v>
      </c>
      <c r="CA70" s="13">
        <f t="shared" si="14"/>
        <v>368050018</v>
      </c>
      <c r="CB70" s="13">
        <f t="shared" si="14"/>
        <v>368050018</v>
      </c>
      <c r="CC70" s="13">
        <f t="shared" si="14"/>
        <v>0</v>
      </c>
      <c r="CD70" s="13">
        <f t="shared" si="14"/>
        <v>4032334</v>
      </c>
      <c r="CE70" s="13">
        <f t="shared" si="14"/>
        <v>55050269</v>
      </c>
      <c r="CF70" s="13">
        <f t="shared" si="14"/>
        <v>80944122</v>
      </c>
      <c r="CG70" s="13">
        <f t="shared" si="14"/>
        <v>107651039</v>
      </c>
      <c r="CH70" s="13">
        <f t="shared" si="14"/>
        <v>132414219</v>
      </c>
      <c r="CI70" s="13">
        <f t="shared" si="14"/>
        <v>152542840</v>
      </c>
      <c r="CJ70" s="13">
        <f t="shared" si="14"/>
        <v>175874281</v>
      </c>
      <c r="CK70" s="13">
        <f t="shared" si="14"/>
        <v>205824687</v>
      </c>
      <c r="CL70" s="13">
        <f t="shared" si="14"/>
        <v>233767486</v>
      </c>
      <c r="CM70" s="13">
        <f t="shared" si="14"/>
        <v>279357157</v>
      </c>
      <c r="CN70" s="13">
        <f t="shared" si="14"/>
        <v>358435748</v>
      </c>
      <c r="CO70" s="13">
        <f t="shared" si="14"/>
        <v>358435748</v>
      </c>
      <c r="CP70" s="13">
        <f t="shared" si="14"/>
        <v>1227550</v>
      </c>
      <c r="CQ70" s="13">
        <f t="shared" si="14"/>
        <v>23205600</v>
      </c>
      <c r="CR70" s="13">
        <f t="shared" si="14"/>
        <v>70585804</v>
      </c>
      <c r="CS70" s="13">
        <f t="shared" si="14"/>
        <v>116596570</v>
      </c>
      <c r="CT70" s="13">
        <f t="shared" si="14"/>
        <v>147285990</v>
      </c>
      <c r="CU70" s="13">
        <f t="shared" ref="CU70:DZ70" si="15">SUM(CU52:CU69)</f>
        <v>178003787</v>
      </c>
      <c r="CV70" s="13">
        <f t="shared" si="15"/>
        <v>208095844</v>
      </c>
      <c r="CW70" s="13">
        <f t="shared" si="15"/>
        <v>240830600</v>
      </c>
      <c r="CX70" s="13">
        <f t="shared" si="15"/>
        <v>275077882</v>
      </c>
      <c r="CY70" s="13">
        <f t="shared" si="15"/>
        <v>314578963</v>
      </c>
      <c r="CZ70" s="13">
        <f t="shared" si="15"/>
        <v>351228752</v>
      </c>
      <c r="DA70" s="13">
        <f t="shared" si="15"/>
        <v>459047874</v>
      </c>
      <c r="DB70" s="13">
        <f t="shared" si="15"/>
        <v>459047874</v>
      </c>
      <c r="DC70" s="13">
        <f t="shared" si="15"/>
        <v>0</v>
      </c>
      <c r="DD70" s="13">
        <f t="shared" si="15"/>
        <v>15937508</v>
      </c>
      <c r="DE70" s="13">
        <f t="shared" si="15"/>
        <v>53939941</v>
      </c>
      <c r="DF70" s="13">
        <f t="shared" si="15"/>
        <v>86006136</v>
      </c>
      <c r="DG70" s="13">
        <f t="shared" si="15"/>
        <v>113991726</v>
      </c>
      <c r="DH70" s="13">
        <f t="shared" si="15"/>
        <v>144118770</v>
      </c>
      <c r="DI70" s="13">
        <f t="shared" si="15"/>
        <v>170065489</v>
      </c>
      <c r="DJ70" s="13">
        <f t="shared" si="15"/>
        <v>196472717</v>
      </c>
      <c r="DK70" s="13">
        <f t="shared" si="15"/>
        <v>228211281</v>
      </c>
      <c r="DL70" s="13">
        <f t="shared" si="15"/>
        <v>260208477</v>
      </c>
      <c r="DM70" s="13">
        <f t="shared" si="15"/>
        <v>294925986</v>
      </c>
      <c r="DN70" s="13">
        <f t="shared" si="15"/>
        <v>385420730</v>
      </c>
      <c r="DO70" s="13">
        <f t="shared" si="15"/>
        <v>385420730</v>
      </c>
      <c r="DP70" s="13">
        <f t="shared" si="15"/>
        <v>0</v>
      </c>
      <c r="DQ70" s="13">
        <f t="shared" si="15"/>
        <v>9126217</v>
      </c>
      <c r="DR70" s="13">
        <f t="shared" si="15"/>
        <v>53484083</v>
      </c>
      <c r="DS70" s="13">
        <f t="shared" si="15"/>
        <v>84743676</v>
      </c>
      <c r="DT70" s="13">
        <f t="shared" si="15"/>
        <v>119482475</v>
      </c>
      <c r="DU70" s="13">
        <f t="shared" si="15"/>
        <v>147778699</v>
      </c>
      <c r="DV70" s="13">
        <f t="shared" si="15"/>
        <v>171361237</v>
      </c>
      <c r="DW70" s="13">
        <f t="shared" si="15"/>
        <v>197992385</v>
      </c>
      <c r="DX70" s="13">
        <f t="shared" si="15"/>
        <v>218566789</v>
      </c>
      <c r="DY70" s="13">
        <f t="shared" si="15"/>
        <v>243066350</v>
      </c>
      <c r="DZ70" s="13">
        <f t="shared" si="15"/>
        <v>274654101</v>
      </c>
      <c r="EA70" s="13">
        <f t="shared" ref="EA70:FF70" si="16">SUM(EA52:EA69)</f>
        <v>363051838</v>
      </c>
      <c r="EB70" s="13">
        <f t="shared" si="16"/>
        <v>363051838</v>
      </c>
      <c r="EC70" s="13">
        <f t="shared" si="16"/>
        <v>0</v>
      </c>
      <c r="ED70" s="13">
        <f t="shared" si="16"/>
        <v>10091232</v>
      </c>
      <c r="EE70" s="13">
        <f t="shared" si="16"/>
        <v>65119288</v>
      </c>
      <c r="EF70" s="13">
        <f t="shared" si="16"/>
        <v>116494414</v>
      </c>
      <c r="EG70" s="13">
        <f t="shared" si="16"/>
        <v>154812807</v>
      </c>
      <c r="EH70" s="13">
        <f t="shared" si="16"/>
        <v>185718005</v>
      </c>
      <c r="EI70" s="13">
        <f t="shared" si="16"/>
        <v>210799179</v>
      </c>
      <c r="EJ70" s="13">
        <f t="shared" si="16"/>
        <v>237549250</v>
      </c>
      <c r="EK70" s="13">
        <f t="shared" si="16"/>
        <v>266509037</v>
      </c>
      <c r="EL70" s="13">
        <f t="shared" si="16"/>
        <v>292857224</v>
      </c>
      <c r="EM70" s="13">
        <f t="shared" si="16"/>
        <v>321792904</v>
      </c>
      <c r="EN70" s="13">
        <f t="shared" si="16"/>
        <v>388712182</v>
      </c>
      <c r="EO70" s="13">
        <f t="shared" si="16"/>
        <v>388712182</v>
      </c>
      <c r="EP70" s="13">
        <f t="shared" si="16"/>
        <v>0</v>
      </c>
      <c r="EQ70" s="13">
        <f t="shared" si="16"/>
        <v>15961675</v>
      </c>
      <c r="ER70" s="13">
        <f t="shared" si="16"/>
        <v>75098688</v>
      </c>
      <c r="ES70" s="13">
        <f t="shared" si="16"/>
        <v>127209565</v>
      </c>
      <c r="ET70" s="13">
        <f t="shared" si="16"/>
        <v>165256720</v>
      </c>
      <c r="EU70" s="13">
        <f t="shared" si="16"/>
        <v>198246550</v>
      </c>
      <c r="EV70" s="13">
        <f t="shared" si="16"/>
        <v>234857305</v>
      </c>
      <c r="EW70" s="13">
        <f t="shared" si="16"/>
        <v>260653577</v>
      </c>
      <c r="EX70" s="13">
        <f t="shared" si="16"/>
        <v>286668116</v>
      </c>
      <c r="EY70" s="13">
        <f t="shared" si="16"/>
        <v>326400154</v>
      </c>
      <c r="EZ70" s="13">
        <f t="shared" si="16"/>
        <v>350774992</v>
      </c>
      <c r="FA70" s="13">
        <f t="shared" si="16"/>
        <v>423841945</v>
      </c>
      <c r="FB70" s="13">
        <f t="shared" si="16"/>
        <v>423841945</v>
      </c>
      <c r="FC70" s="13">
        <f t="shared" si="16"/>
        <v>204442</v>
      </c>
      <c r="FD70" s="13">
        <f t="shared" si="16"/>
        <v>20389701</v>
      </c>
      <c r="FE70" s="13">
        <f t="shared" si="16"/>
        <v>61056221</v>
      </c>
      <c r="FF70" s="13">
        <f t="shared" si="16"/>
        <v>87064052</v>
      </c>
      <c r="FG70" s="13">
        <f t="shared" ref="FG70:GL70" si="17">SUM(FG52:FG69)</f>
        <v>109327219</v>
      </c>
      <c r="FH70" s="13">
        <f t="shared" si="17"/>
        <v>134059355</v>
      </c>
      <c r="FI70" s="13">
        <f t="shared" si="17"/>
        <v>155690398</v>
      </c>
      <c r="FJ70" s="13">
        <f t="shared" si="17"/>
        <v>155690398</v>
      </c>
      <c r="FK70" s="13">
        <f t="shared" si="17"/>
        <v>155690398</v>
      </c>
      <c r="FL70" s="13">
        <f t="shared" si="17"/>
        <v>155690398</v>
      </c>
      <c r="FM70" s="13">
        <f t="shared" si="17"/>
        <v>155690398</v>
      </c>
      <c r="FN70" s="13">
        <f t="shared" si="17"/>
        <v>155690398</v>
      </c>
      <c r="FO70" s="13">
        <f t="shared" si="17"/>
        <v>155690398</v>
      </c>
    </row>
    <row r="73" spans="2:171" ht="17.399999999999999" x14ac:dyDescent="0.35">
      <c r="B73" s="29" t="s">
        <v>122</v>
      </c>
    </row>
    <row r="74" spans="2:171" x14ac:dyDescent="0.3">
      <c r="B74" s="5" t="s">
        <v>123</v>
      </c>
    </row>
    <row r="75" spans="2:171" x14ac:dyDescent="0.3">
      <c r="C75" s="49" t="s">
        <v>90</v>
      </c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49" t="s">
        <v>91</v>
      </c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49" t="s">
        <v>92</v>
      </c>
      <c r="AD75" s="50"/>
      <c r="AE75" s="50"/>
      <c r="AF75" s="50"/>
      <c r="AG75" s="50"/>
      <c r="AH75" s="50"/>
      <c r="AI75" s="50"/>
      <c r="AJ75" s="50"/>
      <c r="AK75" s="50"/>
      <c r="AL75" s="50"/>
      <c r="AM75" s="50"/>
      <c r="AN75" s="50"/>
      <c r="AO75" s="50"/>
      <c r="AP75" s="49" t="s">
        <v>93</v>
      </c>
      <c r="AQ75" s="50"/>
      <c r="AR75" s="50"/>
      <c r="AS75" s="50"/>
      <c r="AT75" s="50"/>
      <c r="AU75" s="50"/>
      <c r="AV75" s="50"/>
      <c r="AW75" s="50"/>
      <c r="AX75" s="50"/>
      <c r="AY75" s="50"/>
      <c r="AZ75" s="50"/>
      <c r="BA75" s="50"/>
      <c r="BB75" s="50"/>
      <c r="BC75" s="49" t="s">
        <v>94</v>
      </c>
      <c r="BD75" s="50"/>
      <c r="BE75" s="50"/>
      <c r="BF75" s="50"/>
      <c r="BG75" s="50"/>
      <c r="BH75" s="50"/>
      <c r="BI75" s="50"/>
      <c r="BJ75" s="50"/>
      <c r="BK75" s="50"/>
      <c r="BL75" s="50"/>
      <c r="BM75" s="50"/>
      <c r="BN75" s="50"/>
      <c r="BO75" s="50"/>
      <c r="BP75" s="49" t="s">
        <v>95</v>
      </c>
      <c r="BQ75" s="50"/>
      <c r="BR75" s="50"/>
      <c r="BS75" s="50"/>
      <c r="BT75" s="50"/>
      <c r="BU75" s="50"/>
      <c r="BV75" s="50"/>
      <c r="BW75" s="50"/>
      <c r="BX75" s="50"/>
      <c r="BY75" s="50"/>
      <c r="BZ75" s="50"/>
      <c r="CA75" s="50"/>
      <c r="CB75" s="50"/>
      <c r="CC75" s="49" t="s">
        <v>96</v>
      </c>
      <c r="CD75" s="50"/>
      <c r="CE75" s="50"/>
      <c r="CF75" s="50"/>
      <c r="CG75" s="50"/>
      <c r="CH75" s="50"/>
      <c r="CI75" s="50"/>
      <c r="CJ75" s="50"/>
      <c r="CK75" s="50"/>
      <c r="CL75" s="50"/>
      <c r="CM75" s="50"/>
      <c r="CN75" s="50"/>
      <c r="CO75" s="50"/>
      <c r="CP75" s="49" t="s">
        <v>97</v>
      </c>
      <c r="CQ75" s="50"/>
      <c r="CR75" s="50"/>
      <c r="CS75" s="50"/>
      <c r="CT75" s="50"/>
      <c r="CU75" s="50"/>
      <c r="CV75" s="50"/>
      <c r="CW75" s="50"/>
      <c r="CX75" s="50"/>
      <c r="CY75" s="50"/>
      <c r="CZ75" s="50"/>
      <c r="DA75" s="50"/>
      <c r="DB75" s="50"/>
      <c r="DC75" s="49" t="s">
        <v>98</v>
      </c>
      <c r="DD75" s="50"/>
      <c r="DE75" s="50"/>
      <c r="DF75" s="50"/>
      <c r="DG75" s="50"/>
      <c r="DH75" s="50"/>
      <c r="DI75" s="50"/>
      <c r="DJ75" s="50"/>
      <c r="DK75" s="50"/>
      <c r="DL75" s="50"/>
      <c r="DM75" s="50"/>
      <c r="DN75" s="50"/>
      <c r="DO75" s="50"/>
      <c r="DP75" s="49" t="s">
        <v>99</v>
      </c>
      <c r="DQ75" s="50"/>
      <c r="DR75" s="50"/>
      <c r="DS75" s="50"/>
      <c r="DT75" s="50"/>
      <c r="DU75" s="50"/>
      <c r="DV75" s="50"/>
      <c r="DW75" s="50"/>
      <c r="DX75" s="50"/>
      <c r="DY75" s="50"/>
      <c r="DZ75" s="50"/>
      <c r="EA75" s="50"/>
      <c r="EB75" s="50"/>
      <c r="EC75" s="49" t="s">
        <v>100</v>
      </c>
      <c r="ED75" s="50"/>
      <c r="EE75" s="50"/>
      <c r="EF75" s="50"/>
      <c r="EG75" s="50"/>
      <c r="EH75" s="50"/>
      <c r="EI75" s="50"/>
      <c r="EJ75" s="50"/>
      <c r="EK75" s="50"/>
      <c r="EL75" s="50"/>
      <c r="EM75" s="50"/>
      <c r="EN75" s="50"/>
      <c r="EO75" s="50"/>
      <c r="EP75" s="49" t="s">
        <v>101</v>
      </c>
      <c r="EQ75" s="50"/>
      <c r="ER75" s="50"/>
      <c r="ES75" s="50"/>
      <c r="ET75" s="50"/>
      <c r="EU75" s="50"/>
      <c r="EV75" s="50"/>
      <c r="EW75" s="50"/>
      <c r="EX75" s="50"/>
      <c r="EY75" s="50"/>
      <c r="EZ75" s="50"/>
      <c r="FA75" s="50"/>
      <c r="FB75" s="50"/>
      <c r="FC75" s="49" t="s">
        <v>102</v>
      </c>
      <c r="FD75" s="50"/>
      <c r="FE75" s="50"/>
      <c r="FF75" s="50"/>
      <c r="FG75" s="50"/>
      <c r="FH75" s="50"/>
      <c r="FI75" s="50"/>
      <c r="FJ75" s="50"/>
      <c r="FK75" s="50"/>
      <c r="FL75" s="50"/>
      <c r="FM75" s="50"/>
      <c r="FN75" s="50"/>
      <c r="FO75" s="50"/>
    </row>
    <row r="76" spans="2:171" x14ac:dyDescent="0.3">
      <c r="B76" s="19" t="s">
        <v>103</v>
      </c>
      <c r="C76" s="30" t="s">
        <v>67</v>
      </c>
      <c r="D76" s="30" t="s">
        <v>68</v>
      </c>
      <c r="E76" s="30" t="s">
        <v>69</v>
      </c>
      <c r="F76" s="30" t="s">
        <v>70</v>
      </c>
      <c r="G76" s="30" t="s">
        <v>71</v>
      </c>
      <c r="H76" s="30" t="s">
        <v>72</v>
      </c>
      <c r="I76" s="30" t="s">
        <v>73</v>
      </c>
      <c r="J76" s="30" t="s">
        <v>74</v>
      </c>
      <c r="K76" s="30" t="s">
        <v>75</v>
      </c>
      <c r="L76" s="30" t="s">
        <v>76</v>
      </c>
      <c r="M76" s="30" t="s">
        <v>77</v>
      </c>
      <c r="N76" s="30" t="s">
        <v>78</v>
      </c>
      <c r="O76" s="30" t="s">
        <v>104</v>
      </c>
      <c r="P76" s="30" t="s">
        <v>67</v>
      </c>
      <c r="Q76" s="30" t="s">
        <v>68</v>
      </c>
      <c r="R76" s="30" t="s">
        <v>69</v>
      </c>
      <c r="S76" s="30" t="s">
        <v>70</v>
      </c>
      <c r="T76" s="30" t="s">
        <v>71</v>
      </c>
      <c r="U76" s="30" t="s">
        <v>72</v>
      </c>
      <c r="V76" s="30" t="s">
        <v>73</v>
      </c>
      <c r="W76" s="30" t="s">
        <v>74</v>
      </c>
      <c r="X76" s="30" t="s">
        <v>75</v>
      </c>
      <c r="Y76" s="30" t="s">
        <v>76</v>
      </c>
      <c r="Z76" s="30" t="s">
        <v>77</v>
      </c>
      <c r="AA76" s="30" t="s">
        <v>78</v>
      </c>
      <c r="AB76" s="30" t="s">
        <v>105</v>
      </c>
      <c r="AC76" s="30" t="s">
        <v>67</v>
      </c>
      <c r="AD76" s="30" t="s">
        <v>68</v>
      </c>
      <c r="AE76" s="30" t="s">
        <v>69</v>
      </c>
      <c r="AF76" s="30" t="s">
        <v>70</v>
      </c>
      <c r="AG76" s="30" t="s">
        <v>71</v>
      </c>
      <c r="AH76" s="30" t="s">
        <v>72</v>
      </c>
      <c r="AI76" s="30" t="s">
        <v>73</v>
      </c>
      <c r="AJ76" s="30" t="s">
        <v>74</v>
      </c>
      <c r="AK76" s="30" t="s">
        <v>75</v>
      </c>
      <c r="AL76" s="30" t="s">
        <v>76</v>
      </c>
      <c r="AM76" s="30" t="s">
        <v>77</v>
      </c>
      <c r="AN76" s="30" t="s">
        <v>78</v>
      </c>
      <c r="AO76" s="30" t="s">
        <v>106</v>
      </c>
      <c r="AP76" s="30" t="s">
        <v>67</v>
      </c>
      <c r="AQ76" s="30" t="s">
        <v>68</v>
      </c>
      <c r="AR76" s="30" t="s">
        <v>69</v>
      </c>
      <c r="AS76" s="30" t="s">
        <v>70</v>
      </c>
      <c r="AT76" s="30" t="s">
        <v>71</v>
      </c>
      <c r="AU76" s="30" t="s">
        <v>72</v>
      </c>
      <c r="AV76" s="30" t="s">
        <v>73</v>
      </c>
      <c r="AW76" s="30" t="s">
        <v>74</v>
      </c>
      <c r="AX76" s="30" t="s">
        <v>75</v>
      </c>
      <c r="AY76" s="30" t="s">
        <v>76</v>
      </c>
      <c r="AZ76" s="30" t="s">
        <v>77</v>
      </c>
      <c r="BA76" s="30" t="s">
        <v>78</v>
      </c>
      <c r="BB76" s="30" t="s">
        <v>107</v>
      </c>
      <c r="BC76" s="30" t="s">
        <v>67</v>
      </c>
      <c r="BD76" s="30" t="s">
        <v>68</v>
      </c>
      <c r="BE76" s="30" t="s">
        <v>69</v>
      </c>
      <c r="BF76" s="30" t="s">
        <v>70</v>
      </c>
      <c r="BG76" s="30" t="s">
        <v>71</v>
      </c>
      <c r="BH76" s="30" t="s">
        <v>72</v>
      </c>
      <c r="BI76" s="30" t="s">
        <v>73</v>
      </c>
      <c r="BJ76" s="30" t="s">
        <v>74</v>
      </c>
      <c r="BK76" s="30" t="s">
        <v>75</v>
      </c>
      <c r="BL76" s="30" t="s">
        <v>76</v>
      </c>
      <c r="BM76" s="30" t="s">
        <v>77</v>
      </c>
      <c r="BN76" s="30" t="s">
        <v>78</v>
      </c>
      <c r="BO76" s="30" t="s">
        <v>108</v>
      </c>
      <c r="BP76" s="30" t="s">
        <v>67</v>
      </c>
      <c r="BQ76" s="30" t="s">
        <v>68</v>
      </c>
      <c r="BR76" s="30" t="s">
        <v>69</v>
      </c>
      <c r="BS76" s="30" t="s">
        <v>70</v>
      </c>
      <c r="BT76" s="30" t="s">
        <v>71</v>
      </c>
      <c r="BU76" s="30" t="s">
        <v>72</v>
      </c>
      <c r="BV76" s="30" t="s">
        <v>73</v>
      </c>
      <c r="BW76" s="30" t="s">
        <v>74</v>
      </c>
      <c r="BX76" s="30" t="s">
        <v>75</v>
      </c>
      <c r="BY76" s="30" t="s">
        <v>76</v>
      </c>
      <c r="BZ76" s="30" t="s">
        <v>77</v>
      </c>
      <c r="CA76" s="30" t="s">
        <v>78</v>
      </c>
      <c r="CB76" s="30" t="s">
        <v>109</v>
      </c>
      <c r="CC76" s="30" t="s">
        <v>67</v>
      </c>
      <c r="CD76" s="30" t="s">
        <v>68</v>
      </c>
      <c r="CE76" s="30" t="s">
        <v>69</v>
      </c>
      <c r="CF76" s="30" t="s">
        <v>70</v>
      </c>
      <c r="CG76" s="30" t="s">
        <v>71</v>
      </c>
      <c r="CH76" s="30" t="s">
        <v>72</v>
      </c>
      <c r="CI76" s="30" t="s">
        <v>73</v>
      </c>
      <c r="CJ76" s="30" t="s">
        <v>74</v>
      </c>
      <c r="CK76" s="30" t="s">
        <v>75</v>
      </c>
      <c r="CL76" s="30" t="s">
        <v>76</v>
      </c>
      <c r="CM76" s="30" t="s">
        <v>77</v>
      </c>
      <c r="CN76" s="30" t="s">
        <v>78</v>
      </c>
      <c r="CO76" s="30" t="s">
        <v>110</v>
      </c>
      <c r="CP76" s="30" t="s">
        <v>67</v>
      </c>
      <c r="CQ76" s="30" t="s">
        <v>68</v>
      </c>
      <c r="CR76" s="30" t="s">
        <v>69</v>
      </c>
      <c r="CS76" s="30" t="s">
        <v>70</v>
      </c>
      <c r="CT76" s="30" t="s">
        <v>71</v>
      </c>
      <c r="CU76" s="30" t="s">
        <v>72</v>
      </c>
      <c r="CV76" s="30" t="s">
        <v>73</v>
      </c>
      <c r="CW76" s="30" t="s">
        <v>74</v>
      </c>
      <c r="CX76" s="30" t="s">
        <v>75</v>
      </c>
      <c r="CY76" s="30" t="s">
        <v>76</v>
      </c>
      <c r="CZ76" s="30" t="s">
        <v>77</v>
      </c>
      <c r="DA76" s="30" t="s">
        <v>78</v>
      </c>
      <c r="DB76" s="30" t="s">
        <v>111</v>
      </c>
      <c r="DC76" s="30" t="s">
        <v>67</v>
      </c>
      <c r="DD76" s="30" t="s">
        <v>68</v>
      </c>
      <c r="DE76" s="30" t="s">
        <v>69</v>
      </c>
      <c r="DF76" s="30" t="s">
        <v>70</v>
      </c>
      <c r="DG76" s="30" t="s">
        <v>71</v>
      </c>
      <c r="DH76" s="30" t="s">
        <v>72</v>
      </c>
      <c r="DI76" s="30" t="s">
        <v>73</v>
      </c>
      <c r="DJ76" s="30" t="s">
        <v>74</v>
      </c>
      <c r="DK76" s="30" t="s">
        <v>75</v>
      </c>
      <c r="DL76" s="30" t="s">
        <v>76</v>
      </c>
      <c r="DM76" s="30" t="s">
        <v>77</v>
      </c>
      <c r="DN76" s="30" t="s">
        <v>78</v>
      </c>
      <c r="DO76" s="30" t="s">
        <v>112</v>
      </c>
      <c r="DP76" s="30" t="s">
        <v>67</v>
      </c>
      <c r="DQ76" s="30" t="s">
        <v>68</v>
      </c>
      <c r="DR76" s="30" t="s">
        <v>69</v>
      </c>
      <c r="DS76" s="30" t="s">
        <v>70</v>
      </c>
      <c r="DT76" s="30" t="s">
        <v>71</v>
      </c>
      <c r="DU76" s="30" t="s">
        <v>72</v>
      </c>
      <c r="DV76" s="30" t="s">
        <v>73</v>
      </c>
      <c r="DW76" s="30" t="s">
        <v>74</v>
      </c>
      <c r="DX76" s="30" t="s">
        <v>75</v>
      </c>
      <c r="DY76" s="30" t="s">
        <v>76</v>
      </c>
      <c r="DZ76" s="30" t="s">
        <v>77</v>
      </c>
      <c r="EA76" s="30" t="s">
        <v>78</v>
      </c>
      <c r="EB76" s="30" t="s">
        <v>113</v>
      </c>
      <c r="EC76" s="30" t="s">
        <v>67</v>
      </c>
      <c r="ED76" s="30" t="s">
        <v>68</v>
      </c>
      <c r="EE76" s="30" t="s">
        <v>69</v>
      </c>
      <c r="EF76" s="30" t="s">
        <v>70</v>
      </c>
      <c r="EG76" s="30" t="s">
        <v>71</v>
      </c>
      <c r="EH76" s="30" t="s">
        <v>72</v>
      </c>
      <c r="EI76" s="30" t="s">
        <v>73</v>
      </c>
      <c r="EJ76" s="30" t="s">
        <v>74</v>
      </c>
      <c r="EK76" s="30" t="s">
        <v>75</v>
      </c>
      <c r="EL76" s="30" t="s">
        <v>76</v>
      </c>
      <c r="EM76" s="30" t="s">
        <v>77</v>
      </c>
      <c r="EN76" s="30" t="s">
        <v>78</v>
      </c>
      <c r="EO76" s="30" t="s">
        <v>114</v>
      </c>
      <c r="EP76" s="30" t="s">
        <v>67</v>
      </c>
      <c r="EQ76" s="30" t="s">
        <v>68</v>
      </c>
      <c r="ER76" s="30" t="s">
        <v>69</v>
      </c>
      <c r="ES76" s="30" t="s">
        <v>70</v>
      </c>
      <c r="ET76" s="30" t="s">
        <v>71</v>
      </c>
      <c r="EU76" s="30" t="s">
        <v>72</v>
      </c>
      <c r="EV76" s="30" t="s">
        <v>73</v>
      </c>
      <c r="EW76" s="30" t="s">
        <v>74</v>
      </c>
      <c r="EX76" s="30" t="s">
        <v>75</v>
      </c>
      <c r="EY76" s="30" t="s">
        <v>76</v>
      </c>
      <c r="EZ76" s="30" t="s">
        <v>77</v>
      </c>
      <c r="FA76" s="30" t="s">
        <v>78</v>
      </c>
      <c r="FB76" s="30" t="s">
        <v>115</v>
      </c>
      <c r="FC76" s="30" t="s">
        <v>67</v>
      </c>
      <c r="FD76" s="30" t="s">
        <v>68</v>
      </c>
      <c r="FE76" s="30" t="s">
        <v>69</v>
      </c>
      <c r="FF76" s="30" t="s">
        <v>70</v>
      </c>
      <c r="FG76" s="30" t="s">
        <v>71</v>
      </c>
      <c r="FH76" s="30" t="s">
        <v>72</v>
      </c>
      <c r="FI76" s="30" t="s">
        <v>73</v>
      </c>
      <c r="FJ76" s="30" t="s">
        <v>74</v>
      </c>
      <c r="FK76" s="30" t="s">
        <v>75</v>
      </c>
      <c r="FL76" s="30" t="s">
        <v>76</v>
      </c>
      <c r="FM76" s="30" t="s">
        <v>77</v>
      </c>
      <c r="FN76" s="30" t="s">
        <v>78</v>
      </c>
      <c r="FO76" s="30" t="s">
        <v>116</v>
      </c>
    </row>
    <row r="77" spans="2:171" x14ac:dyDescent="0.3">
      <c r="B77" s="7" t="s">
        <v>46</v>
      </c>
      <c r="C77" s="9">
        <v>4128812</v>
      </c>
      <c r="D77" s="9">
        <v>4128812</v>
      </c>
      <c r="E77" s="9">
        <v>15897592</v>
      </c>
      <c r="F77" s="9">
        <v>15897592</v>
      </c>
      <c r="G77" s="9">
        <v>15897592</v>
      </c>
      <c r="H77" s="9">
        <v>15897592</v>
      </c>
      <c r="I77" s="9">
        <v>15897592</v>
      </c>
      <c r="J77" s="9">
        <v>15897592</v>
      </c>
      <c r="K77" s="9">
        <v>15897592</v>
      </c>
      <c r="L77" s="9">
        <v>15897592</v>
      </c>
      <c r="M77" s="9">
        <v>15897592</v>
      </c>
      <c r="N77" s="9">
        <v>15897592</v>
      </c>
      <c r="O77" s="31">
        <v>15897592</v>
      </c>
      <c r="P77" s="9">
        <v>4693552</v>
      </c>
      <c r="Q77" s="9">
        <v>4693552</v>
      </c>
      <c r="R77" s="9">
        <v>4693552</v>
      </c>
      <c r="S77" s="9">
        <v>4693552</v>
      </c>
      <c r="T77" s="9">
        <v>4693552</v>
      </c>
      <c r="U77" s="9">
        <v>4693552</v>
      </c>
      <c r="V77" s="9">
        <v>4693552</v>
      </c>
      <c r="W77" s="9">
        <v>4693552</v>
      </c>
      <c r="X77" s="9">
        <v>4693552</v>
      </c>
      <c r="Y77" s="9">
        <v>4693552</v>
      </c>
      <c r="Z77" s="9">
        <v>4693552</v>
      </c>
      <c r="AA77" s="9">
        <v>4693552</v>
      </c>
      <c r="AB77" s="31">
        <v>4693552</v>
      </c>
      <c r="AC77" s="9">
        <v>3911026</v>
      </c>
      <c r="AD77" s="9">
        <v>3911026</v>
      </c>
      <c r="AE77" s="9">
        <v>3911026</v>
      </c>
      <c r="AF77" s="9">
        <v>3911026</v>
      </c>
      <c r="AG77" s="9">
        <v>3911026</v>
      </c>
      <c r="AH77" s="9">
        <v>3911026</v>
      </c>
      <c r="AI77" s="9">
        <v>3911026</v>
      </c>
      <c r="AJ77" s="9">
        <v>3911026</v>
      </c>
      <c r="AK77" s="9">
        <v>3911026</v>
      </c>
      <c r="AL77" s="9">
        <v>3911026</v>
      </c>
      <c r="AM77" s="9">
        <v>3911026</v>
      </c>
      <c r="AN77" s="9">
        <v>3911026</v>
      </c>
      <c r="AO77" s="31">
        <v>3911026</v>
      </c>
      <c r="AP77" s="9">
        <v>4389807</v>
      </c>
      <c r="AQ77" s="9">
        <v>4389807</v>
      </c>
      <c r="AR77" s="9">
        <v>4389807</v>
      </c>
      <c r="AS77" s="9">
        <v>4389807</v>
      </c>
      <c r="AT77" s="9">
        <v>4389807</v>
      </c>
      <c r="AU77" s="9">
        <v>4389807</v>
      </c>
      <c r="AV77" s="9">
        <v>4389807</v>
      </c>
      <c r="AW77" s="9">
        <v>4389807</v>
      </c>
      <c r="AX77" s="9">
        <v>4389807</v>
      </c>
      <c r="AY77" s="9">
        <v>4389807</v>
      </c>
      <c r="AZ77" s="9">
        <v>4389807</v>
      </c>
      <c r="BA77" s="9">
        <v>4389807</v>
      </c>
      <c r="BB77" s="31">
        <v>4389807</v>
      </c>
      <c r="BC77" s="9">
        <v>4513827</v>
      </c>
      <c r="BD77" s="9">
        <v>4513827</v>
      </c>
      <c r="BE77" s="9">
        <v>4513827</v>
      </c>
      <c r="BF77" s="9">
        <v>4513827</v>
      </c>
      <c r="BG77" s="9">
        <v>4513827</v>
      </c>
      <c r="BH77" s="9">
        <v>4513827</v>
      </c>
      <c r="BI77" s="9">
        <v>4513827</v>
      </c>
      <c r="BJ77" s="9">
        <v>4513827</v>
      </c>
      <c r="BK77" s="9">
        <v>4513827</v>
      </c>
      <c r="BL77" s="9">
        <v>4513827</v>
      </c>
      <c r="BM77" s="9">
        <v>4513827</v>
      </c>
      <c r="BN77" s="9">
        <v>4513827</v>
      </c>
      <c r="BO77" s="31">
        <v>4513827</v>
      </c>
      <c r="BP77" s="9">
        <v>4195666</v>
      </c>
      <c r="BQ77" s="9">
        <v>4195666</v>
      </c>
      <c r="BR77" s="9">
        <v>4195666</v>
      </c>
      <c r="BS77" s="9">
        <v>4195666</v>
      </c>
      <c r="BT77" s="9">
        <v>4195666</v>
      </c>
      <c r="BU77" s="9">
        <v>4195666</v>
      </c>
      <c r="BV77" s="9">
        <v>4195666</v>
      </c>
      <c r="BW77" s="9">
        <v>4195666</v>
      </c>
      <c r="BX77" s="9">
        <v>4195666</v>
      </c>
      <c r="BY77" s="9">
        <v>4195666</v>
      </c>
      <c r="BZ77" s="9">
        <v>4195666</v>
      </c>
      <c r="CA77" s="9">
        <v>4195666</v>
      </c>
      <c r="CB77" s="31">
        <v>4195666</v>
      </c>
      <c r="CC77" s="9">
        <v>4783688</v>
      </c>
      <c r="CD77" s="9">
        <v>4783688</v>
      </c>
      <c r="CE77" s="9">
        <v>4783688</v>
      </c>
      <c r="CF77" s="9">
        <v>4783688</v>
      </c>
      <c r="CG77" s="9">
        <v>4783688</v>
      </c>
      <c r="CH77" s="9">
        <v>4783688</v>
      </c>
      <c r="CI77" s="9">
        <v>4783688</v>
      </c>
      <c r="CJ77" s="9">
        <v>4783688</v>
      </c>
      <c r="CK77" s="9">
        <v>4783688</v>
      </c>
      <c r="CL77" s="9">
        <v>4783688</v>
      </c>
      <c r="CM77" s="9">
        <v>4783688</v>
      </c>
      <c r="CN77" s="9">
        <v>4783688</v>
      </c>
      <c r="CO77" s="31">
        <v>4783688</v>
      </c>
      <c r="CP77" s="9">
        <v>3879109</v>
      </c>
      <c r="CQ77" s="9">
        <v>3879109</v>
      </c>
      <c r="CR77" s="9">
        <v>3879109</v>
      </c>
      <c r="CS77" s="9">
        <v>3879109</v>
      </c>
      <c r="CT77" s="9">
        <v>3879109</v>
      </c>
      <c r="CU77" s="9">
        <v>3879109</v>
      </c>
      <c r="CV77" s="9">
        <v>3879109</v>
      </c>
      <c r="CW77" s="9">
        <v>3879109</v>
      </c>
      <c r="CX77" s="9">
        <v>3879109</v>
      </c>
      <c r="CY77" s="9">
        <v>3879109</v>
      </c>
      <c r="CZ77" s="9">
        <v>3879109</v>
      </c>
      <c r="DA77" s="9">
        <v>3879109</v>
      </c>
      <c r="DB77" s="31">
        <v>3879109</v>
      </c>
      <c r="DC77" s="9">
        <v>3677484</v>
      </c>
      <c r="DD77" s="9">
        <v>3677484</v>
      </c>
      <c r="DE77" s="9">
        <v>3677484</v>
      </c>
      <c r="DF77" s="9">
        <v>3677484</v>
      </c>
      <c r="DG77" s="9">
        <v>3677484</v>
      </c>
      <c r="DH77" s="9">
        <v>3677484</v>
      </c>
      <c r="DI77" s="9">
        <v>3677484</v>
      </c>
      <c r="DJ77" s="9">
        <v>3677484</v>
      </c>
      <c r="DK77" s="9">
        <v>3677484</v>
      </c>
      <c r="DL77" s="9">
        <v>3677484</v>
      </c>
      <c r="DM77" s="9">
        <v>3677484</v>
      </c>
      <c r="DN77" s="9">
        <v>3677484</v>
      </c>
      <c r="DO77" s="31">
        <v>3677484</v>
      </c>
      <c r="DP77" s="9">
        <v>4127526</v>
      </c>
      <c r="DQ77" s="9">
        <v>4127526</v>
      </c>
      <c r="DR77" s="9">
        <v>4127526</v>
      </c>
      <c r="DS77" s="9">
        <v>4127526</v>
      </c>
      <c r="DT77" s="9">
        <v>4127526</v>
      </c>
      <c r="DU77" s="9">
        <v>4127526</v>
      </c>
      <c r="DV77" s="9">
        <v>4127526</v>
      </c>
      <c r="DW77" s="9">
        <v>4127526</v>
      </c>
      <c r="DX77" s="9">
        <v>4127526</v>
      </c>
      <c r="DY77" s="9">
        <v>4127526</v>
      </c>
      <c r="DZ77" s="9">
        <v>4127526</v>
      </c>
      <c r="EA77" s="9">
        <v>4127526</v>
      </c>
      <c r="EB77" s="31">
        <v>4127526</v>
      </c>
      <c r="EC77" s="9">
        <v>30674754</v>
      </c>
      <c r="ED77" s="9">
        <v>30674754</v>
      </c>
      <c r="EE77" s="9">
        <v>30674754</v>
      </c>
      <c r="EF77" s="9">
        <v>30674754</v>
      </c>
      <c r="EG77" s="9">
        <v>30674754</v>
      </c>
      <c r="EH77" s="9">
        <v>30674754</v>
      </c>
      <c r="EI77" s="9">
        <v>30674754</v>
      </c>
      <c r="EJ77" s="9">
        <v>30674754</v>
      </c>
      <c r="EK77" s="9">
        <v>30674754</v>
      </c>
      <c r="EL77" s="9">
        <v>30674754</v>
      </c>
      <c r="EM77" s="9">
        <v>30674754</v>
      </c>
      <c r="EN77" s="9">
        <v>30674754</v>
      </c>
      <c r="EO77" s="31">
        <v>30674754</v>
      </c>
      <c r="EP77" s="9">
        <v>4669285</v>
      </c>
      <c r="EQ77" s="9">
        <v>4669285</v>
      </c>
      <c r="ER77" s="9">
        <v>4669285</v>
      </c>
      <c r="ES77" s="9">
        <v>4669285</v>
      </c>
      <c r="ET77" s="9">
        <v>4669285</v>
      </c>
      <c r="EU77" s="9">
        <v>4669285</v>
      </c>
      <c r="EV77" s="9">
        <v>4669285</v>
      </c>
      <c r="EW77" s="9">
        <v>4669285</v>
      </c>
      <c r="EX77" s="9">
        <v>4669285</v>
      </c>
      <c r="EY77" s="9">
        <v>4669285</v>
      </c>
      <c r="EZ77" s="9">
        <v>4669285</v>
      </c>
      <c r="FA77" s="9">
        <v>4669285</v>
      </c>
      <c r="FB77" s="31">
        <v>4669285</v>
      </c>
      <c r="FC77" s="9">
        <v>4182704</v>
      </c>
      <c r="FD77" s="9">
        <v>4182704</v>
      </c>
      <c r="FE77" s="9">
        <v>4182704</v>
      </c>
      <c r="FF77" s="9">
        <v>4182704</v>
      </c>
      <c r="FG77" s="9">
        <v>4182704</v>
      </c>
      <c r="FH77" s="9">
        <v>4182704</v>
      </c>
      <c r="FI77" s="9">
        <v>4182704</v>
      </c>
      <c r="FJ77" s="9">
        <v>4182704</v>
      </c>
      <c r="FK77" s="9">
        <v>4182704</v>
      </c>
      <c r="FL77" s="9">
        <v>4182704</v>
      </c>
      <c r="FM77" s="9">
        <v>4182704</v>
      </c>
      <c r="FN77" s="9">
        <v>4182704</v>
      </c>
      <c r="FO77" s="31">
        <v>4182704</v>
      </c>
    </row>
    <row r="78" spans="2:171" x14ac:dyDescent="0.3">
      <c r="B78" s="7" t="s">
        <v>47</v>
      </c>
      <c r="C78" s="9">
        <v>54576</v>
      </c>
      <c r="D78" s="9">
        <v>54576</v>
      </c>
      <c r="E78" s="9">
        <v>54576</v>
      </c>
      <c r="F78" s="9">
        <v>54576</v>
      </c>
      <c r="G78" s="9">
        <v>54576</v>
      </c>
      <c r="H78" s="9">
        <v>54576</v>
      </c>
      <c r="I78" s="9">
        <v>54576</v>
      </c>
      <c r="J78" s="9">
        <v>54576</v>
      </c>
      <c r="K78" s="9">
        <v>54576</v>
      </c>
      <c r="L78" s="9">
        <v>54576</v>
      </c>
      <c r="M78" s="9">
        <v>54576</v>
      </c>
      <c r="N78" s="9">
        <v>54576</v>
      </c>
      <c r="O78" s="31">
        <v>54576</v>
      </c>
      <c r="P78" s="9">
        <v>56213</v>
      </c>
      <c r="Q78" s="9">
        <v>56213</v>
      </c>
      <c r="R78" s="9">
        <v>56213</v>
      </c>
      <c r="S78" s="9">
        <v>56213</v>
      </c>
      <c r="T78" s="9">
        <v>56213</v>
      </c>
      <c r="U78" s="9">
        <v>56213</v>
      </c>
      <c r="V78" s="9">
        <v>56213</v>
      </c>
      <c r="W78" s="9">
        <v>56213</v>
      </c>
      <c r="X78" s="9">
        <v>56213</v>
      </c>
      <c r="Y78" s="9">
        <v>56213</v>
      </c>
      <c r="Z78" s="9">
        <v>56213</v>
      </c>
      <c r="AA78" s="9">
        <v>56213</v>
      </c>
      <c r="AB78" s="31">
        <v>56213</v>
      </c>
      <c r="AC78" s="9">
        <v>58349</v>
      </c>
      <c r="AD78" s="9">
        <v>58349</v>
      </c>
      <c r="AE78" s="9">
        <v>58349</v>
      </c>
      <c r="AF78" s="9">
        <v>58349</v>
      </c>
      <c r="AG78" s="9">
        <v>58349</v>
      </c>
      <c r="AH78" s="9">
        <v>58349</v>
      </c>
      <c r="AI78" s="9">
        <v>58349</v>
      </c>
      <c r="AJ78" s="9">
        <v>58349</v>
      </c>
      <c r="AK78" s="9">
        <v>58349</v>
      </c>
      <c r="AL78" s="9">
        <v>58349</v>
      </c>
      <c r="AM78" s="9">
        <v>58349</v>
      </c>
      <c r="AN78" s="9">
        <v>58349</v>
      </c>
      <c r="AO78" s="31">
        <v>58349</v>
      </c>
      <c r="AP78" s="9">
        <v>64890</v>
      </c>
      <c r="AQ78" s="9">
        <v>64890</v>
      </c>
      <c r="AR78" s="9">
        <v>64890</v>
      </c>
      <c r="AS78" s="9">
        <v>64890</v>
      </c>
      <c r="AT78" s="9">
        <v>64890</v>
      </c>
      <c r="AU78" s="9">
        <v>64890</v>
      </c>
      <c r="AV78" s="9">
        <v>64890</v>
      </c>
      <c r="AW78" s="9">
        <v>64890</v>
      </c>
      <c r="AX78" s="9">
        <v>64890</v>
      </c>
      <c r="AY78" s="9">
        <v>64890</v>
      </c>
      <c r="AZ78" s="9">
        <v>64890</v>
      </c>
      <c r="BA78" s="9">
        <v>64890</v>
      </c>
      <c r="BB78" s="31">
        <v>64890</v>
      </c>
      <c r="BC78" s="9">
        <v>104652</v>
      </c>
      <c r="BD78" s="9">
        <v>104652</v>
      </c>
      <c r="BE78" s="9">
        <v>104652</v>
      </c>
      <c r="BF78" s="9">
        <v>104652</v>
      </c>
      <c r="BG78" s="9">
        <v>104652</v>
      </c>
      <c r="BH78" s="9">
        <v>104652</v>
      </c>
      <c r="BI78" s="9">
        <v>104652</v>
      </c>
      <c r="BJ78" s="9">
        <v>104652</v>
      </c>
      <c r="BK78" s="9">
        <v>104652</v>
      </c>
      <c r="BL78" s="9">
        <v>104652</v>
      </c>
      <c r="BM78" s="9">
        <v>104652</v>
      </c>
      <c r="BN78" s="9">
        <v>104652</v>
      </c>
      <c r="BO78" s="31">
        <v>104652</v>
      </c>
      <c r="BP78" s="9">
        <v>141261</v>
      </c>
      <c r="BQ78" s="9">
        <v>141261</v>
      </c>
      <c r="BR78" s="9">
        <v>141261</v>
      </c>
      <c r="BS78" s="9">
        <v>141261</v>
      </c>
      <c r="BT78" s="9">
        <v>141261</v>
      </c>
      <c r="BU78" s="9">
        <v>141261</v>
      </c>
      <c r="BV78" s="9">
        <v>141261</v>
      </c>
      <c r="BW78" s="9">
        <v>141261</v>
      </c>
      <c r="BX78" s="9">
        <v>141261</v>
      </c>
      <c r="BY78" s="9">
        <v>141261</v>
      </c>
      <c r="BZ78" s="9">
        <v>141261</v>
      </c>
      <c r="CA78" s="9">
        <v>141261</v>
      </c>
      <c r="CB78" s="31">
        <v>141261</v>
      </c>
      <c r="CC78" s="9">
        <v>144934</v>
      </c>
      <c r="CD78" s="9">
        <v>144934</v>
      </c>
      <c r="CE78" s="9">
        <v>144934</v>
      </c>
      <c r="CF78" s="9">
        <v>144934</v>
      </c>
      <c r="CG78" s="9">
        <v>144934</v>
      </c>
      <c r="CH78" s="9">
        <v>144934</v>
      </c>
      <c r="CI78" s="9">
        <v>144934</v>
      </c>
      <c r="CJ78" s="9">
        <v>144934</v>
      </c>
      <c r="CK78" s="9">
        <v>144934</v>
      </c>
      <c r="CL78" s="9">
        <v>144934</v>
      </c>
      <c r="CM78" s="9">
        <v>144934</v>
      </c>
      <c r="CN78" s="9">
        <v>144934</v>
      </c>
      <c r="CO78" s="31">
        <v>144934</v>
      </c>
      <c r="CP78" s="9">
        <v>71111</v>
      </c>
      <c r="CQ78" s="9">
        <v>71111</v>
      </c>
      <c r="CR78" s="9">
        <v>71111</v>
      </c>
      <c r="CS78" s="9">
        <v>71111</v>
      </c>
      <c r="CT78" s="9">
        <v>71111</v>
      </c>
      <c r="CU78" s="9">
        <v>71111</v>
      </c>
      <c r="CV78" s="9">
        <v>71111</v>
      </c>
      <c r="CW78" s="9">
        <v>71111</v>
      </c>
      <c r="CX78" s="9">
        <v>71111</v>
      </c>
      <c r="CY78" s="9">
        <v>71111</v>
      </c>
      <c r="CZ78" s="9">
        <v>71111</v>
      </c>
      <c r="DA78" s="9">
        <v>71111</v>
      </c>
      <c r="DB78" s="31">
        <v>71111</v>
      </c>
      <c r="DC78" s="9">
        <v>33328</v>
      </c>
      <c r="DD78" s="9">
        <v>33328</v>
      </c>
      <c r="DE78" s="9">
        <v>33328</v>
      </c>
      <c r="DF78" s="9">
        <v>33328</v>
      </c>
      <c r="DG78" s="9">
        <v>33328</v>
      </c>
      <c r="DH78" s="9">
        <v>33328</v>
      </c>
      <c r="DI78" s="9">
        <v>33328</v>
      </c>
      <c r="DJ78" s="9">
        <v>33328</v>
      </c>
      <c r="DK78" s="9">
        <v>33328</v>
      </c>
      <c r="DL78" s="9">
        <v>33328</v>
      </c>
      <c r="DM78" s="9">
        <v>33328</v>
      </c>
      <c r="DN78" s="9">
        <v>33328</v>
      </c>
      <c r="DO78" s="31">
        <v>33328</v>
      </c>
      <c r="DP78" s="9">
        <v>0</v>
      </c>
      <c r="DQ78" s="9">
        <v>0</v>
      </c>
      <c r="DR78" s="9">
        <v>0</v>
      </c>
      <c r="DS78" s="9">
        <v>0</v>
      </c>
      <c r="DT78" s="9">
        <v>0</v>
      </c>
      <c r="DU78" s="9">
        <v>0</v>
      </c>
      <c r="DV78" s="9">
        <v>0</v>
      </c>
      <c r="DW78" s="9">
        <v>0</v>
      </c>
      <c r="DX78" s="9">
        <v>0</v>
      </c>
      <c r="DY78" s="9">
        <v>0</v>
      </c>
      <c r="DZ78" s="9">
        <v>0</v>
      </c>
      <c r="EA78" s="9">
        <v>0</v>
      </c>
      <c r="EB78" s="31">
        <v>0</v>
      </c>
      <c r="EC78" s="9">
        <v>0</v>
      </c>
      <c r="ED78" s="9">
        <v>0</v>
      </c>
      <c r="EE78" s="9">
        <v>0</v>
      </c>
      <c r="EF78" s="9">
        <v>0</v>
      </c>
      <c r="EG78" s="9">
        <v>0</v>
      </c>
      <c r="EH78" s="9">
        <v>0</v>
      </c>
      <c r="EI78" s="9">
        <v>0</v>
      </c>
      <c r="EJ78" s="9">
        <v>0</v>
      </c>
      <c r="EK78" s="9">
        <v>0</v>
      </c>
      <c r="EL78" s="9">
        <v>0</v>
      </c>
      <c r="EM78" s="9">
        <v>0</v>
      </c>
      <c r="EN78" s="9">
        <v>0</v>
      </c>
      <c r="EO78" s="31">
        <v>0</v>
      </c>
      <c r="EP78" s="9">
        <v>7294</v>
      </c>
      <c r="EQ78" s="9">
        <v>7294</v>
      </c>
      <c r="ER78" s="9">
        <v>7294</v>
      </c>
      <c r="ES78" s="9">
        <v>7294</v>
      </c>
      <c r="ET78" s="9">
        <v>7294</v>
      </c>
      <c r="EU78" s="9">
        <v>7294</v>
      </c>
      <c r="EV78" s="9">
        <v>7294</v>
      </c>
      <c r="EW78" s="9">
        <v>7294</v>
      </c>
      <c r="EX78" s="9">
        <v>7294</v>
      </c>
      <c r="EY78" s="9">
        <v>7294</v>
      </c>
      <c r="EZ78" s="9">
        <v>7294</v>
      </c>
      <c r="FA78" s="9">
        <v>7294</v>
      </c>
      <c r="FB78" s="31">
        <v>7294</v>
      </c>
      <c r="FC78" s="9">
        <v>0</v>
      </c>
      <c r="FD78" s="9">
        <v>0</v>
      </c>
      <c r="FE78" s="9">
        <v>0</v>
      </c>
      <c r="FF78" s="9">
        <v>0</v>
      </c>
      <c r="FG78" s="9">
        <v>0</v>
      </c>
      <c r="FH78" s="9">
        <v>0</v>
      </c>
      <c r="FI78" s="9">
        <v>0</v>
      </c>
      <c r="FJ78" s="9">
        <v>0</v>
      </c>
      <c r="FK78" s="9">
        <v>0</v>
      </c>
      <c r="FL78" s="9">
        <v>0</v>
      </c>
      <c r="FM78" s="9">
        <v>0</v>
      </c>
      <c r="FN78" s="9">
        <v>0</v>
      </c>
      <c r="FO78" s="31">
        <v>0</v>
      </c>
    </row>
    <row r="79" spans="2:171" x14ac:dyDescent="0.3">
      <c r="B79" s="7" t="s">
        <v>48</v>
      </c>
      <c r="C79" s="9">
        <v>23059</v>
      </c>
      <c r="D79" s="9">
        <v>23059</v>
      </c>
      <c r="E79" s="9">
        <v>23059</v>
      </c>
      <c r="F79" s="9">
        <v>23059</v>
      </c>
      <c r="G79" s="9">
        <v>23059</v>
      </c>
      <c r="H79" s="9">
        <v>23059</v>
      </c>
      <c r="I79" s="9">
        <v>23059</v>
      </c>
      <c r="J79" s="9">
        <v>23059</v>
      </c>
      <c r="K79" s="9">
        <v>23059</v>
      </c>
      <c r="L79" s="9">
        <v>23059</v>
      </c>
      <c r="M79" s="9">
        <v>23059</v>
      </c>
      <c r="N79" s="9">
        <v>23059</v>
      </c>
      <c r="O79" s="31">
        <v>23059</v>
      </c>
      <c r="P79" s="9">
        <v>24642</v>
      </c>
      <c r="Q79" s="9">
        <v>24642</v>
      </c>
      <c r="R79" s="9">
        <v>24642</v>
      </c>
      <c r="S79" s="9">
        <v>24642</v>
      </c>
      <c r="T79" s="9">
        <v>24642</v>
      </c>
      <c r="U79" s="9">
        <v>24642</v>
      </c>
      <c r="V79" s="9">
        <v>24642</v>
      </c>
      <c r="W79" s="9">
        <v>24642</v>
      </c>
      <c r="X79" s="9">
        <v>24642</v>
      </c>
      <c r="Y79" s="9">
        <v>24642</v>
      </c>
      <c r="Z79" s="9">
        <v>24642</v>
      </c>
      <c r="AA79" s="9">
        <v>24642</v>
      </c>
      <c r="AB79" s="31">
        <v>24642</v>
      </c>
      <c r="AC79" s="9">
        <v>23431</v>
      </c>
      <c r="AD79" s="9">
        <v>23431</v>
      </c>
      <c r="AE79" s="9">
        <v>23431</v>
      </c>
      <c r="AF79" s="9">
        <v>23431</v>
      </c>
      <c r="AG79" s="9">
        <v>23431</v>
      </c>
      <c r="AH79" s="9">
        <v>23431</v>
      </c>
      <c r="AI79" s="9">
        <v>23431</v>
      </c>
      <c r="AJ79" s="9">
        <v>23431</v>
      </c>
      <c r="AK79" s="9">
        <v>23431</v>
      </c>
      <c r="AL79" s="9">
        <v>23431</v>
      </c>
      <c r="AM79" s="9">
        <v>23431</v>
      </c>
      <c r="AN79" s="9">
        <v>23431</v>
      </c>
      <c r="AO79" s="31">
        <v>23431</v>
      </c>
      <c r="AP79" s="9">
        <v>13390</v>
      </c>
      <c r="AQ79" s="9">
        <v>13390</v>
      </c>
      <c r="AR79" s="9">
        <v>13390</v>
      </c>
      <c r="AS79" s="9">
        <v>13390</v>
      </c>
      <c r="AT79" s="9">
        <v>13390</v>
      </c>
      <c r="AU79" s="9">
        <v>13390</v>
      </c>
      <c r="AV79" s="9">
        <v>13390</v>
      </c>
      <c r="AW79" s="9">
        <v>13390</v>
      </c>
      <c r="AX79" s="9">
        <v>13390</v>
      </c>
      <c r="AY79" s="9">
        <v>13390</v>
      </c>
      <c r="AZ79" s="9">
        <v>13390</v>
      </c>
      <c r="BA79" s="9">
        <v>13390</v>
      </c>
      <c r="BB79" s="31">
        <v>13390</v>
      </c>
      <c r="BC79" s="9">
        <v>18468</v>
      </c>
      <c r="BD79" s="9">
        <v>18468</v>
      </c>
      <c r="BE79" s="9">
        <v>18468</v>
      </c>
      <c r="BF79" s="9">
        <v>18468</v>
      </c>
      <c r="BG79" s="9">
        <v>18468</v>
      </c>
      <c r="BH79" s="9">
        <v>18468</v>
      </c>
      <c r="BI79" s="9">
        <v>18468</v>
      </c>
      <c r="BJ79" s="9">
        <v>18468</v>
      </c>
      <c r="BK79" s="9">
        <v>18468</v>
      </c>
      <c r="BL79" s="9">
        <v>18468</v>
      </c>
      <c r="BM79" s="9">
        <v>18468</v>
      </c>
      <c r="BN79" s="9">
        <v>18468</v>
      </c>
      <c r="BO79" s="31">
        <v>18468</v>
      </c>
      <c r="BP79" s="9">
        <v>11102</v>
      </c>
      <c r="BQ79" s="9">
        <v>11102</v>
      </c>
      <c r="BR79" s="9">
        <v>11102</v>
      </c>
      <c r="BS79" s="9">
        <v>11102</v>
      </c>
      <c r="BT79" s="9">
        <v>11102</v>
      </c>
      <c r="BU79" s="9">
        <v>11102</v>
      </c>
      <c r="BV79" s="9">
        <v>11102</v>
      </c>
      <c r="BW79" s="9">
        <v>11102</v>
      </c>
      <c r="BX79" s="9">
        <v>11102</v>
      </c>
      <c r="BY79" s="9">
        <v>11102</v>
      </c>
      <c r="BZ79" s="9">
        <v>11102</v>
      </c>
      <c r="CA79" s="9">
        <v>11102</v>
      </c>
      <c r="CB79" s="31">
        <v>11102</v>
      </c>
      <c r="CC79" s="9">
        <v>11391</v>
      </c>
      <c r="CD79" s="9">
        <v>11391</v>
      </c>
      <c r="CE79" s="9">
        <v>11391</v>
      </c>
      <c r="CF79" s="9">
        <v>11391</v>
      </c>
      <c r="CG79" s="9">
        <v>11391</v>
      </c>
      <c r="CH79" s="9">
        <v>11391</v>
      </c>
      <c r="CI79" s="9">
        <v>11391</v>
      </c>
      <c r="CJ79" s="9">
        <v>11391</v>
      </c>
      <c r="CK79" s="9">
        <v>11391</v>
      </c>
      <c r="CL79" s="9">
        <v>11391</v>
      </c>
      <c r="CM79" s="9">
        <v>11391</v>
      </c>
      <c r="CN79" s="9">
        <v>11391</v>
      </c>
      <c r="CO79" s="31">
        <v>11391</v>
      </c>
      <c r="CP79" s="9">
        <v>8967</v>
      </c>
      <c r="CQ79" s="9">
        <v>8967</v>
      </c>
      <c r="CR79" s="9">
        <v>8967</v>
      </c>
      <c r="CS79" s="9">
        <v>8967</v>
      </c>
      <c r="CT79" s="9">
        <v>8967</v>
      </c>
      <c r="CU79" s="9">
        <v>8967</v>
      </c>
      <c r="CV79" s="9">
        <v>8967</v>
      </c>
      <c r="CW79" s="9">
        <v>8967</v>
      </c>
      <c r="CX79" s="9">
        <v>8967</v>
      </c>
      <c r="CY79" s="9">
        <v>8967</v>
      </c>
      <c r="CZ79" s="9">
        <v>8967</v>
      </c>
      <c r="DA79" s="9">
        <v>8967</v>
      </c>
      <c r="DB79" s="31">
        <v>8967</v>
      </c>
      <c r="DC79" s="9">
        <v>0</v>
      </c>
      <c r="DD79" s="9">
        <v>0</v>
      </c>
      <c r="DE79" s="9">
        <v>0</v>
      </c>
      <c r="DF79" s="9">
        <v>0</v>
      </c>
      <c r="DG79" s="9">
        <v>0</v>
      </c>
      <c r="DH79" s="9">
        <v>0</v>
      </c>
      <c r="DI79" s="9">
        <v>0</v>
      </c>
      <c r="DJ79" s="9">
        <v>0</v>
      </c>
      <c r="DK79" s="9">
        <v>0</v>
      </c>
      <c r="DL79" s="9">
        <v>0</v>
      </c>
      <c r="DM79" s="9">
        <v>0</v>
      </c>
      <c r="DN79" s="9">
        <v>0</v>
      </c>
      <c r="DO79" s="31">
        <v>0</v>
      </c>
      <c r="DP79" s="9">
        <v>0</v>
      </c>
      <c r="DQ79" s="9">
        <v>0</v>
      </c>
      <c r="DR79" s="9">
        <v>0</v>
      </c>
      <c r="DS79" s="9">
        <v>0</v>
      </c>
      <c r="DT79" s="9">
        <v>0</v>
      </c>
      <c r="DU79" s="9">
        <v>0</v>
      </c>
      <c r="DV79" s="9">
        <v>0</v>
      </c>
      <c r="DW79" s="9">
        <v>0</v>
      </c>
      <c r="DX79" s="9">
        <v>0</v>
      </c>
      <c r="DY79" s="9">
        <v>0</v>
      </c>
      <c r="DZ79" s="9">
        <v>0</v>
      </c>
      <c r="EA79" s="9">
        <v>0</v>
      </c>
      <c r="EB79" s="31">
        <v>0</v>
      </c>
      <c r="EC79" s="9">
        <v>0</v>
      </c>
      <c r="ED79" s="9">
        <v>0</v>
      </c>
      <c r="EE79" s="9">
        <v>0</v>
      </c>
      <c r="EF79" s="9">
        <v>0</v>
      </c>
      <c r="EG79" s="9">
        <v>0</v>
      </c>
      <c r="EH79" s="9">
        <v>0</v>
      </c>
      <c r="EI79" s="9">
        <v>0</v>
      </c>
      <c r="EJ79" s="9">
        <v>0</v>
      </c>
      <c r="EK79" s="9">
        <v>0</v>
      </c>
      <c r="EL79" s="9">
        <v>0</v>
      </c>
      <c r="EM79" s="9">
        <v>0</v>
      </c>
      <c r="EN79" s="9">
        <v>0</v>
      </c>
      <c r="EO79" s="31">
        <v>0</v>
      </c>
      <c r="EP79" s="9">
        <v>3126</v>
      </c>
      <c r="EQ79" s="9">
        <v>3126</v>
      </c>
      <c r="ER79" s="9">
        <v>3126</v>
      </c>
      <c r="ES79" s="9">
        <v>3126</v>
      </c>
      <c r="ET79" s="9">
        <v>3126</v>
      </c>
      <c r="EU79" s="9">
        <v>3126</v>
      </c>
      <c r="EV79" s="9">
        <v>3126</v>
      </c>
      <c r="EW79" s="9">
        <v>3126</v>
      </c>
      <c r="EX79" s="9">
        <v>3126</v>
      </c>
      <c r="EY79" s="9">
        <v>3126</v>
      </c>
      <c r="EZ79" s="9">
        <v>3126</v>
      </c>
      <c r="FA79" s="9">
        <v>3126</v>
      </c>
      <c r="FB79" s="31">
        <v>3126</v>
      </c>
      <c r="FC79" s="9">
        <v>10</v>
      </c>
      <c r="FD79" s="9">
        <v>10</v>
      </c>
      <c r="FE79" s="9">
        <v>10</v>
      </c>
      <c r="FF79" s="9">
        <v>10</v>
      </c>
      <c r="FG79" s="9">
        <v>10</v>
      </c>
      <c r="FH79" s="9">
        <v>10</v>
      </c>
      <c r="FI79" s="9">
        <v>10</v>
      </c>
      <c r="FJ79" s="9">
        <v>10</v>
      </c>
      <c r="FK79" s="9">
        <v>10</v>
      </c>
      <c r="FL79" s="9">
        <v>10</v>
      </c>
      <c r="FM79" s="9">
        <v>10</v>
      </c>
      <c r="FN79" s="9">
        <v>10</v>
      </c>
      <c r="FO79" s="31">
        <v>10</v>
      </c>
    </row>
    <row r="80" spans="2:171" x14ac:dyDescent="0.3">
      <c r="B80" s="7" t="s">
        <v>49</v>
      </c>
      <c r="C80" s="9">
        <v>9750</v>
      </c>
      <c r="D80" s="9">
        <v>9750</v>
      </c>
      <c r="E80" s="9">
        <v>9750</v>
      </c>
      <c r="F80" s="9">
        <v>9750</v>
      </c>
      <c r="G80" s="9">
        <v>9750</v>
      </c>
      <c r="H80" s="9">
        <v>9750</v>
      </c>
      <c r="I80" s="9">
        <v>9750</v>
      </c>
      <c r="J80" s="9">
        <v>9750</v>
      </c>
      <c r="K80" s="9">
        <v>9750</v>
      </c>
      <c r="L80" s="9">
        <v>9750</v>
      </c>
      <c r="M80" s="9">
        <v>9750</v>
      </c>
      <c r="N80" s="9">
        <v>9750</v>
      </c>
      <c r="O80" s="31">
        <v>9750</v>
      </c>
      <c r="P80" s="9">
        <v>15091</v>
      </c>
      <c r="Q80" s="9">
        <v>15091</v>
      </c>
      <c r="R80" s="9">
        <v>15091</v>
      </c>
      <c r="S80" s="9">
        <v>15091</v>
      </c>
      <c r="T80" s="9">
        <v>15091</v>
      </c>
      <c r="U80" s="9">
        <v>15091</v>
      </c>
      <c r="V80" s="9">
        <v>15091</v>
      </c>
      <c r="W80" s="9">
        <v>15091</v>
      </c>
      <c r="X80" s="9">
        <v>15091</v>
      </c>
      <c r="Y80" s="9">
        <v>15091</v>
      </c>
      <c r="Z80" s="9">
        <v>15091</v>
      </c>
      <c r="AA80" s="9">
        <v>15091</v>
      </c>
      <c r="AB80" s="31">
        <v>15091</v>
      </c>
      <c r="AC80" s="9">
        <v>14630</v>
      </c>
      <c r="AD80" s="9">
        <v>14630</v>
      </c>
      <c r="AE80" s="9">
        <v>14630</v>
      </c>
      <c r="AF80" s="9">
        <v>14630</v>
      </c>
      <c r="AG80" s="9">
        <v>14630</v>
      </c>
      <c r="AH80" s="9">
        <v>14630</v>
      </c>
      <c r="AI80" s="9">
        <v>14630</v>
      </c>
      <c r="AJ80" s="9">
        <v>14630</v>
      </c>
      <c r="AK80" s="9">
        <v>14630</v>
      </c>
      <c r="AL80" s="9">
        <v>14630</v>
      </c>
      <c r="AM80" s="9">
        <v>14630</v>
      </c>
      <c r="AN80" s="9">
        <v>14630</v>
      </c>
      <c r="AO80" s="31">
        <v>14630</v>
      </c>
      <c r="AP80" s="9">
        <v>15965</v>
      </c>
      <c r="AQ80" s="9">
        <v>15965</v>
      </c>
      <c r="AR80" s="9">
        <v>15965</v>
      </c>
      <c r="AS80" s="9">
        <v>15965</v>
      </c>
      <c r="AT80" s="9">
        <v>15965</v>
      </c>
      <c r="AU80" s="9">
        <v>15965</v>
      </c>
      <c r="AV80" s="9">
        <v>15965</v>
      </c>
      <c r="AW80" s="9">
        <v>15965</v>
      </c>
      <c r="AX80" s="9">
        <v>15965</v>
      </c>
      <c r="AY80" s="9">
        <v>15965</v>
      </c>
      <c r="AZ80" s="9">
        <v>15965</v>
      </c>
      <c r="BA80" s="9">
        <v>15965</v>
      </c>
      <c r="BB80" s="31">
        <v>15965</v>
      </c>
      <c r="BC80" s="9">
        <v>15148</v>
      </c>
      <c r="BD80" s="9">
        <v>15148</v>
      </c>
      <c r="BE80" s="9">
        <v>15148</v>
      </c>
      <c r="BF80" s="9">
        <v>15148</v>
      </c>
      <c r="BG80" s="9">
        <v>15148</v>
      </c>
      <c r="BH80" s="9">
        <v>15148</v>
      </c>
      <c r="BI80" s="9">
        <v>15148</v>
      </c>
      <c r="BJ80" s="9">
        <v>15148</v>
      </c>
      <c r="BK80" s="9">
        <v>15148</v>
      </c>
      <c r="BL80" s="9">
        <v>15148</v>
      </c>
      <c r="BM80" s="9">
        <v>15148</v>
      </c>
      <c r="BN80" s="9">
        <v>15148</v>
      </c>
      <c r="BO80" s="31">
        <v>15148</v>
      </c>
      <c r="BP80" s="9">
        <v>17987</v>
      </c>
      <c r="BQ80" s="9">
        <v>17987</v>
      </c>
      <c r="BR80" s="9">
        <v>17987</v>
      </c>
      <c r="BS80" s="9">
        <v>17987</v>
      </c>
      <c r="BT80" s="9">
        <v>17987</v>
      </c>
      <c r="BU80" s="9">
        <v>17987</v>
      </c>
      <c r="BV80" s="9">
        <v>17987</v>
      </c>
      <c r="BW80" s="9">
        <v>17987</v>
      </c>
      <c r="BX80" s="9">
        <v>17987</v>
      </c>
      <c r="BY80" s="9">
        <v>17987</v>
      </c>
      <c r="BZ80" s="9">
        <v>17987</v>
      </c>
      <c r="CA80" s="9">
        <v>17987</v>
      </c>
      <c r="CB80" s="31">
        <v>17987</v>
      </c>
      <c r="CC80" s="9">
        <v>18455</v>
      </c>
      <c r="CD80" s="9">
        <v>18455</v>
      </c>
      <c r="CE80" s="9">
        <v>18455</v>
      </c>
      <c r="CF80" s="9">
        <v>18455</v>
      </c>
      <c r="CG80" s="9">
        <v>18455</v>
      </c>
      <c r="CH80" s="9">
        <v>18455</v>
      </c>
      <c r="CI80" s="9">
        <v>18455</v>
      </c>
      <c r="CJ80" s="9">
        <v>18455</v>
      </c>
      <c r="CK80" s="9">
        <v>18455</v>
      </c>
      <c r="CL80" s="9">
        <v>18455</v>
      </c>
      <c r="CM80" s="9">
        <v>18455</v>
      </c>
      <c r="CN80" s="9">
        <v>18455</v>
      </c>
      <c r="CO80" s="31">
        <v>18455</v>
      </c>
      <c r="CP80" s="9">
        <v>13147</v>
      </c>
      <c r="CQ80" s="9">
        <v>13147</v>
      </c>
      <c r="CR80" s="9">
        <v>13147</v>
      </c>
      <c r="CS80" s="9">
        <v>13147</v>
      </c>
      <c r="CT80" s="9">
        <v>13147</v>
      </c>
      <c r="CU80" s="9">
        <v>13147</v>
      </c>
      <c r="CV80" s="9">
        <v>13147</v>
      </c>
      <c r="CW80" s="9">
        <v>13147</v>
      </c>
      <c r="CX80" s="9">
        <v>13147</v>
      </c>
      <c r="CY80" s="9">
        <v>13147</v>
      </c>
      <c r="CZ80" s="9">
        <v>13147</v>
      </c>
      <c r="DA80" s="9">
        <v>13147</v>
      </c>
      <c r="DB80" s="31">
        <v>13147</v>
      </c>
      <c r="DC80" s="9">
        <v>0</v>
      </c>
      <c r="DD80" s="9">
        <v>0</v>
      </c>
      <c r="DE80" s="9">
        <v>0</v>
      </c>
      <c r="DF80" s="9">
        <v>0</v>
      </c>
      <c r="DG80" s="9">
        <v>0</v>
      </c>
      <c r="DH80" s="9">
        <v>0</v>
      </c>
      <c r="DI80" s="9">
        <v>0</v>
      </c>
      <c r="DJ80" s="9">
        <v>0</v>
      </c>
      <c r="DK80" s="9">
        <v>0</v>
      </c>
      <c r="DL80" s="9">
        <v>0</v>
      </c>
      <c r="DM80" s="9">
        <v>0</v>
      </c>
      <c r="DN80" s="9">
        <v>0</v>
      </c>
      <c r="DO80" s="31">
        <v>0</v>
      </c>
      <c r="DP80" s="9">
        <v>0</v>
      </c>
      <c r="DQ80" s="9">
        <v>0</v>
      </c>
      <c r="DR80" s="9">
        <v>0</v>
      </c>
      <c r="DS80" s="9">
        <v>0</v>
      </c>
      <c r="DT80" s="9">
        <v>0</v>
      </c>
      <c r="DU80" s="9">
        <v>0</v>
      </c>
      <c r="DV80" s="9">
        <v>0</v>
      </c>
      <c r="DW80" s="9">
        <v>0</v>
      </c>
      <c r="DX80" s="9">
        <v>0</v>
      </c>
      <c r="DY80" s="9">
        <v>0</v>
      </c>
      <c r="DZ80" s="9">
        <v>0</v>
      </c>
      <c r="EA80" s="9">
        <v>0</v>
      </c>
      <c r="EB80" s="31">
        <v>0</v>
      </c>
      <c r="EC80" s="9">
        <v>0</v>
      </c>
      <c r="ED80" s="9">
        <v>0</v>
      </c>
      <c r="EE80" s="9">
        <v>0</v>
      </c>
      <c r="EF80" s="9">
        <v>0</v>
      </c>
      <c r="EG80" s="9">
        <v>0</v>
      </c>
      <c r="EH80" s="9">
        <v>0</v>
      </c>
      <c r="EI80" s="9">
        <v>0</v>
      </c>
      <c r="EJ80" s="9">
        <v>0</v>
      </c>
      <c r="EK80" s="9">
        <v>0</v>
      </c>
      <c r="EL80" s="9">
        <v>0</v>
      </c>
      <c r="EM80" s="9">
        <v>0</v>
      </c>
      <c r="EN80" s="9">
        <v>0</v>
      </c>
      <c r="EO80" s="31">
        <v>0</v>
      </c>
      <c r="EP80" s="9">
        <v>6172</v>
      </c>
      <c r="EQ80" s="9">
        <v>6172</v>
      </c>
      <c r="ER80" s="9">
        <v>6172</v>
      </c>
      <c r="ES80" s="9">
        <v>6172</v>
      </c>
      <c r="ET80" s="9">
        <v>6172</v>
      </c>
      <c r="EU80" s="9">
        <v>6172</v>
      </c>
      <c r="EV80" s="9">
        <v>6172</v>
      </c>
      <c r="EW80" s="9">
        <v>6172</v>
      </c>
      <c r="EX80" s="9">
        <v>6172</v>
      </c>
      <c r="EY80" s="9">
        <v>6172</v>
      </c>
      <c r="EZ80" s="9">
        <v>6172</v>
      </c>
      <c r="FA80" s="9">
        <v>6172</v>
      </c>
      <c r="FB80" s="31">
        <v>6172</v>
      </c>
      <c r="FC80" s="9">
        <v>10</v>
      </c>
      <c r="FD80" s="9">
        <v>10</v>
      </c>
      <c r="FE80" s="9">
        <v>10</v>
      </c>
      <c r="FF80" s="9">
        <v>10</v>
      </c>
      <c r="FG80" s="9">
        <v>10</v>
      </c>
      <c r="FH80" s="9">
        <v>10</v>
      </c>
      <c r="FI80" s="9">
        <v>10</v>
      </c>
      <c r="FJ80" s="9">
        <v>10</v>
      </c>
      <c r="FK80" s="9">
        <v>10</v>
      </c>
      <c r="FL80" s="9">
        <v>10</v>
      </c>
      <c r="FM80" s="9">
        <v>10</v>
      </c>
      <c r="FN80" s="9">
        <v>10</v>
      </c>
      <c r="FO80" s="31">
        <v>10</v>
      </c>
    </row>
    <row r="81" spans="2:171" x14ac:dyDescent="0.3">
      <c r="B81" s="7" t="s">
        <v>50</v>
      </c>
      <c r="C81" s="9">
        <v>6703</v>
      </c>
      <c r="D81" s="9">
        <v>6703</v>
      </c>
      <c r="E81" s="9">
        <v>6703</v>
      </c>
      <c r="F81" s="9">
        <v>6703</v>
      </c>
      <c r="G81" s="9">
        <v>6703</v>
      </c>
      <c r="H81" s="9">
        <v>6703</v>
      </c>
      <c r="I81" s="9">
        <v>6703</v>
      </c>
      <c r="J81" s="9">
        <v>6703</v>
      </c>
      <c r="K81" s="9">
        <v>6703</v>
      </c>
      <c r="L81" s="9">
        <v>6703</v>
      </c>
      <c r="M81" s="9">
        <v>6703</v>
      </c>
      <c r="N81" s="9">
        <v>6703</v>
      </c>
      <c r="O81" s="31">
        <v>6703</v>
      </c>
      <c r="P81" s="9">
        <v>8171</v>
      </c>
      <c r="Q81" s="9">
        <v>8171</v>
      </c>
      <c r="R81" s="9">
        <v>8171</v>
      </c>
      <c r="S81" s="9">
        <v>8171</v>
      </c>
      <c r="T81" s="9">
        <v>8171</v>
      </c>
      <c r="U81" s="9">
        <v>8171</v>
      </c>
      <c r="V81" s="9">
        <v>8171</v>
      </c>
      <c r="W81" s="9">
        <v>8171</v>
      </c>
      <c r="X81" s="9">
        <v>8171</v>
      </c>
      <c r="Y81" s="9">
        <v>8171</v>
      </c>
      <c r="Z81" s="9">
        <v>8171</v>
      </c>
      <c r="AA81" s="9">
        <v>8171</v>
      </c>
      <c r="AB81" s="31">
        <v>8171</v>
      </c>
      <c r="AC81" s="9">
        <v>10165</v>
      </c>
      <c r="AD81" s="9">
        <v>10165</v>
      </c>
      <c r="AE81" s="9">
        <v>10165</v>
      </c>
      <c r="AF81" s="9">
        <v>10165</v>
      </c>
      <c r="AG81" s="9">
        <v>10165</v>
      </c>
      <c r="AH81" s="9">
        <v>10165</v>
      </c>
      <c r="AI81" s="9">
        <v>10165</v>
      </c>
      <c r="AJ81" s="9">
        <v>10165</v>
      </c>
      <c r="AK81" s="9">
        <v>10165</v>
      </c>
      <c r="AL81" s="9">
        <v>10165</v>
      </c>
      <c r="AM81" s="9">
        <v>10165</v>
      </c>
      <c r="AN81" s="9">
        <v>10165</v>
      </c>
      <c r="AO81" s="31">
        <v>10165</v>
      </c>
      <c r="AP81" s="9">
        <v>11330</v>
      </c>
      <c r="AQ81" s="9">
        <v>11330</v>
      </c>
      <c r="AR81" s="9">
        <v>11330</v>
      </c>
      <c r="AS81" s="9">
        <v>11330</v>
      </c>
      <c r="AT81" s="9">
        <v>11330</v>
      </c>
      <c r="AU81" s="9">
        <v>11330</v>
      </c>
      <c r="AV81" s="9">
        <v>11330</v>
      </c>
      <c r="AW81" s="9">
        <v>11330</v>
      </c>
      <c r="AX81" s="9">
        <v>11330</v>
      </c>
      <c r="AY81" s="9">
        <v>11330</v>
      </c>
      <c r="AZ81" s="9">
        <v>11330</v>
      </c>
      <c r="BA81" s="9">
        <v>11330</v>
      </c>
      <c r="BB81" s="31">
        <v>11330</v>
      </c>
      <c r="BC81" s="9">
        <v>1530650</v>
      </c>
      <c r="BD81" s="9">
        <v>1530650</v>
      </c>
      <c r="BE81" s="9">
        <v>1530650</v>
      </c>
      <c r="BF81" s="9">
        <v>1530650</v>
      </c>
      <c r="BG81" s="9">
        <v>1530650</v>
      </c>
      <c r="BH81" s="9">
        <v>1530650</v>
      </c>
      <c r="BI81" s="9">
        <v>1530650</v>
      </c>
      <c r="BJ81" s="9">
        <v>1530650</v>
      </c>
      <c r="BK81" s="9">
        <v>1530650</v>
      </c>
      <c r="BL81" s="9">
        <v>1530650</v>
      </c>
      <c r="BM81" s="9">
        <v>1530650</v>
      </c>
      <c r="BN81" s="9">
        <v>1530650</v>
      </c>
      <c r="BO81" s="31">
        <v>1530650</v>
      </c>
      <c r="BP81" s="9">
        <v>8728</v>
      </c>
      <c r="BQ81" s="9">
        <v>8728</v>
      </c>
      <c r="BR81" s="9">
        <v>8728</v>
      </c>
      <c r="BS81" s="9">
        <v>8728</v>
      </c>
      <c r="BT81" s="9">
        <v>8728</v>
      </c>
      <c r="BU81" s="9">
        <v>8728</v>
      </c>
      <c r="BV81" s="9">
        <v>8728</v>
      </c>
      <c r="BW81" s="9">
        <v>8728</v>
      </c>
      <c r="BX81" s="9">
        <v>8728</v>
      </c>
      <c r="BY81" s="9">
        <v>8728</v>
      </c>
      <c r="BZ81" s="9">
        <v>8728</v>
      </c>
      <c r="CA81" s="9">
        <v>8728</v>
      </c>
      <c r="CB81" s="31">
        <v>8728</v>
      </c>
      <c r="CC81" s="9">
        <v>7563</v>
      </c>
      <c r="CD81" s="9">
        <v>7563</v>
      </c>
      <c r="CE81" s="9">
        <v>7563</v>
      </c>
      <c r="CF81" s="9">
        <v>7563</v>
      </c>
      <c r="CG81" s="9">
        <v>7563</v>
      </c>
      <c r="CH81" s="9">
        <v>7563</v>
      </c>
      <c r="CI81" s="9">
        <v>7563</v>
      </c>
      <c r="CJ81" s="9">
        <v>7563</v>
      </c>
      <c r="CK81" s="9">
        <v>7563</v>
      </c>
      <c r="CL81" s="9">
        <v>7563</v>
      </c>
      <c r="CM81" s="9">
        <v>7563</v>
      </c>
      <c r="CN81" s="9">
        <v>7563</v>
      </c>
      <c r="CO81" s="31">
        <v>7563</v>
      </c>
      <c r="CP81" s="9">
        <v>1616</v>
      </c>
      <c r="CQ81" s="9">
        <v>1616</v>
      </c>
      <c r="CR81" s="9">
        <v>1616</v>
      </c>
      <c r="CS81" s="9">
        <v>1616</v>
      </c>
      <c r="CT81" s="9">
        <v>1616</v>
      </c>
      <c r="CU81" s="9">
        <v>1616</v>
      </c>
      <c r="CV81" s="9">
        <v>1616</v>
      </c>
      <c r="CW81" s="9">
        <v>1616</v>
      </c>
      <c r="CX81" s="9">
        <v>1616</v>
      </c>
      <c r="CY81" s="9">
        <v>1616</v>
      </c>
      <c r="CZ81" s="9">
        <v>1616</v>
      </c>
      <c r="DA81" s="9">
        <v>1616</v>
      </c>
      <c r="DB81" s="31">
        <v>1616</v>
      </c>
      <c r="DC81" s="9">
        <v>0</v>
      </c>
      <c r="DD81" s="9">
        <v>0</v>
      </c>
      <c r="DE81" s="9">
        <v>0</v>
      </c>
      <c r="DF81" s="9">
        <v>0</v>
      </c>
      <c r="DG81" s="9">
        <v>0</v>
      </c>
      <c r="DH81" s="9">
        <v>0</v>
      </c>
      <c r="DI81" s="9">
        <v>0</v>
      </c>
      <c r="DJ81" s="9">
        <v>0</v>
      </c>
      <c r="DK81" s="9">
        <v>0</v>
      </c>
      <c r="DL81" s="9">
        <v>0</v>
      </c>
      <c r="DM81" s="9">
        <v>0</v>
      </c>
      <c r="DN81" s="9">
        <v>0</v>
      </c>
      <c r="DO81" s="31">
        <v>0</v>
      </c>
      <c r="DP81" s="9">
        <v>0</v>
      </c>
      <c r="DQ81" s="9">
        <v>0</v>
      </c>
      <c r="DR81" s="9">
        <v>0</v>
      </c>
      <c r="DS81" s="9">
        <v>0</v>
      </c>
      <c r="DT81" s="9">
        <v>0</v>
      </c>
      <c r="DU81" s="9">
        <v>0</v>
      </c>
      <c r="DV81" s="9">
        <v>0</v>
      </c>
      <c r="DW81" s="9">
        <v>0</v>
      </c>
      <c r="DX81" s="9">
        <v>0</v>
      </c>
      <c r="DY81" s="9">
        <v>0</v>
      </c>
      <c r="DZ81" s="9">
        <v>0</v>
      </c>
      <c r="EA81" s="9">
        <v>0</v>
      </c>
      <c r="EB81" s="31">
        <v>0</v>
      </c>
      <c r="EC81" s="9">
        <v>0</v>
      </c>
      <c r="ED81" s="9">
        <v>0</v>
      </c>
      <c r="EE81" s="9">
        <v>0</v>
      </c>
      <c r="EF81" s="9">
        <v>0</v>
      </c>
      <c r="EG81" s="9">
        <v>0</v>
      </c>
      <c r="EH81" s="9">
        <v>0</v>
      </c>
      <c r="EI81" s="9">
        <v>0</v>
      </c>
      <c r="EJ81" s="9">
        <v>0</v>
      </c>
      <c r="EK81" s="9">
        <v>0</v>
      </c>
      <c r="EL81" s="9">
        <v>0</v>
      </c>
      <c r="EM81" s="9">
        <v>0</v>
      </c>
      <c r="EN81" s="9">
        <v>0</v>
      </c>
      <c r="EO81" s="31">
        <v>0</v>
      </c>
      <c r="EP81" s="9">
        <v>747</v>
      </c>
      <c r="EQ81" s="9">
        <v>747</v>
      </c>
      <c r="ER81" s="9">
        <v>747</v>
      </c>
      <c r="ES81" s="9">
        <v>747</v>
      </c>
      <c r="ET81" s="9">
        <v>747</v>
      </c>
      <c r="EU81" s="9">
        <v>747</v>
      </c>
      <c r="EV81" s="9">
        <v>747</v>
      </c>
      <c r="EW81" s="9">
        <v>747</v>
      </c>
      <c r="EX81" s="9">
        <v>747</v>
      </c>
      <c r="EY81" s="9">
        <v>747</v>
      </c>
      <c r="EZ81" s="9">
        <v>747</v>
      </c>
      <c r="FA81" s="9">
        <v>747</v>
      </c>
      <c r="FB81" s="31">
        <v>747</v>
      </c>
      <c r="FC81" s="9">
        <v>10</v>
      </c>
      <c r="FD81" s="9">
        <v>10</v>
      </c>
      <c r="FE81" s="9">
        <v>10</v>
      </c>
      <c r="FF81" s="9">
        <v>10</v>
      </c>
      <c r="FG81" s="9">
        <v>10</v>
      </c>
      <c r="FH81" s="9">
        <v>10</v>
      </c>
      <c r="FI81" s="9">
        <v>10</v>
      </c>
      <c r="FJ81" s="9">
        <v>10</v>
      </c>
      <c r="FK81" s="9">
        <v>10</v>
      </c>
      <c r="FL81" s="9">
        <v>10</v>
      </c>
      <c r="FM81" s="9">
        <v>10</v>
      </c>
      <c r="FN81" s="9">
        <v>10</v>
      </c>
      <c r="FO81" s="31">
        <v>10</v>
      </c>
    </row>
    <row r="82" spans="2:171" x14ac:dyDescent="0.3">
      <c r="B82" s="7" t="s">
        <v>51</v>
      </c>
      <c r="C82" s="9">
        <v>8794</v>
      </c>
      <c r="D82" s="9">
        <v>8794</v>
      </c>
      <c r="E82" s="9">
        <v>8794</v>
      </c>
      <c r="F82" s="9">
        <v>8794</v>
      </c>
      <c r="G82" s="9">
        <v>8794</v>
      </c>
      <c r="H82" s="9">
        <v>8794</v>
      </c>
      <c r="I82" s="9">
        <v>8794</v>
      </c>
      <c r="J82" s="9">
        <v>8794</v>
      </c>
      <c r="K82" s="9">
        <v>8794</v>
      </c>
      <c r="L82" s="9">
        <v>8794</v>
      </c>
      <c r="M82" s="9">
        <v>8794</v>
      </c>
      <c r="N82" s="9">
        <v>8794</v>
      </c>
      <c r="O82" s="31">
        <v>8794</v>
      </c>
      <c r="P82" s="9">
        <v>13274</v>
      </c>
      <c r="Q82" s="9">
        <v>13274</v>
      </c>
      <c r="R82" s="9">
        <v>13274</v>
      </c>
      <c r="S82" s="9">
        <v>13274</v>
      </c>
      <c r="T82" s="9">
        <v>13274</v>
      </c>
      <c r="U82" s="9">
        <v>13274</v>
      </c>
      <c r="V82" s="9">
        <v>13274</v>
      </c>
      <c r="W82" s="9">
        <v>13274</v>
      </c>
      <c r="X82" s="9">
        <v>13274</v>
      </c>
      <c r="Y82" s="9">
        <v>13274</v>
      </c>
      <c r="Z82" s="9">
        <v>13274</v>
      </c>
      <c r="AA82" s="9">
        <v>13274</v>
      </c>
      <c r="AB82" s="31">
        <v>13274</v>
      </c>
      <c r="AC82" s="9">
        <v>15315</v>
      </c>
      <c r="AD82" s="9">
        <v>15315</v>
      </c>
      <c r="AE82" s="9">
        <v>15315</v>
      </c>
      <c r="AF82" s="9">
        <v>15315</v>
      </c>
      <c r="AG82" s="9">
        <v>15315</v>
      </c>
      <c r="AH82" s="9">
        <v>15315</v>
      </c>
      <c r="AI82" s="9">
        <v>15315</v>
      </c>
      <c r="AJ82" s="9">
        <v>15315</v>
      </c>
      <c r="AK82" s="9">
        <v>15315</v>
      </c>
      <c r="AL82" s="9">
        <v>15315</v>
      </c>
      <c r="AM82" s="9">
        <v>15315</v>
      </c>
      <c r="AN82" s="9">
        <v>15315</v>
      </c>
      <c r="AO82" s="31">
        <v>15315</v>
      </c>
      <c r="AP82" s="9">
        <v>13699</v>
      </c>
      <c r="AQ82" s="9">
        <v>13699</v>
      </c>
      <c r="AR82" s="9">
        <v>13699</v>
      </c>
      <c r="AS82" s="9">
        <v>13699</v>
      </c>
      <c r="AT82" s="9">
        <v>13699</v>
      </c>
      <c r="AU82" s="9">
        <v>13699</v>
      </c>
      <c r="AV82" s="9">
        <v>13699</v>
      </c>
      <c r="AW82" s="9">
        <v>13699</v>
      </c>
      <c r="AX82" s="9">
        <v>13699</v>
      </c>
      <c r="AY82" s="9">
        <v>13699</v>
      </c>
      <c r="AZ82" s="9">
        <v>13699</v>
      </c>
      <c r="BA82" s="9">
        <v>13699</v>
      </c>
      <c r="BB82" s="31">
        <v>13699</v>
      </c>
      <c r="BC82" s="9">
        <v>18833</v>
      </c>
      <c r="BD82" s="9">
        <v>18833</v>
      </c>
      <c r="BE82" s="9">
        <v>18833</v>
      </c>
      <c r="BF82" s="9">
        <v>18833</v>
      </c>
      <c r="BG82" s="9">
        <v>18833</v>
      </c>
      <c r="BH82" s="9">
        <v>18833</v>
      </c>
      <c r="BI82" s="9">
        <v>18833</v>
      </c>
      <c r="BJ82" s="9">
        <v>18833</v>
      </c>
      <c r="BK82" s="9">
        <v>18833</v>
      </c>
      <c r="BL82" s="9">
        <v>18833</v>
      </c>
      <c r="BM82" s="9">
        <v>18833</v>
      </c>
      <c r="BN82" s="9">
        <v>18833</v>
      </c>
      <c r="BO82" s="31">
        <v>18833</v>
      </c>
      <c r="BP82" s="9">
        <v>13337</v>
      </c>
      <c r="BQ82" s="9">
        <v>13337</v>
      </c>
      <c r="BR82" s="9">
        <v>13337</v>
      </c>
      <c r="BS82" s="9">
        <v>13337</v>
      </c>
      <c r="BT82" s="9">
        <v>13337</v>
      </c>
      <c r="BU82" s="9">
        <v>13337</v>
      </c>
      <c r="BV82" s="9">
        <v>13337</v>
      </c>
      <c r="BW82" s="9">
        <v>13337</v>
      </c>
      <c r="BX82" s="9">
        <v>13337</v>
      </c>
      <c r="BY82" s="9">
        <v>13337</v>
      </c>
      <c r="BZ82" s="9">
        <v>13337</v>
      </c>
      <c r="CA82" s="9">
        <v>13337</v>
      </c>
      <c r="CB82" s="31">
        <v>13337</v>
      </c>
      <c r="CC82" s="9">
        <v>13684</v>
      </c>
      <c r="CD82" s="9">
        <v>13684</v>
      </c>
      <c r="CE82" s="9">
        <v>13684</v>
      </c>
      <c r="CF82" s="9">
        <v>13684</v>
      </c>
      <c r="CG82" s="9">
        <v>13684</v>
      </c>
      <c r="CH82" s="9">
        <v>13684</v>
      </c>
      <c r="CI82" s="9">
        <v>13684</v>
      </c>
      <c r="CJ82" s="9">
        <v>13684</v>
      </c>
      <c r="CK82" s="9">
        <v>13684</v>
      </c>
      <c r="CL82" s="9">
        <v>13684</v>
      </c>
      <c r="CM82" s="9">
        <v>13684</v>
      </c>
      <c r="CN82" s="9">
        <v>13684</v>
      </c>
      <c r="CO82" s="31">
        <v>13684</v>
      </c>
      <c r="CP82" s="9">
        <v>7771</v>
      </c>
      <c r="CQ82" s="9">
        <v>7771</v>
      </c>
      <c r="CR82" s="9">
        <v>7771</v>
      </c>
      <c r="CS82" s="9">
        <v>7771</v>
      </c>
      <c r="CT82" s="9">
        <v>7771</v>
      </c>
      <c r="CU82" s="9">
        <v>7771</v>
      </c>
      <c r="CV82" s="9">
        <v>7771</v>
      </c>
      <c r="CW82" s="9">
        <v>7771</v>
      </c>
      <c r="CX82" s="9">
        <v>7771</v>
      </c>
      <c r="CY82" s="9">
        <v>7771</v>
      </c>
      <c r="CZ82" s="9">
        <v>7771</v>
      </c>
      <c r="DA82" s="9">
        <v>7771</v>
      </c>
      <c r="DB82" s="31">
        <v>7771</v>
      </c>
      <c r="DC82" s="9">
        <v>0</v>
      </c>
      <c r="DD82" s="9">
        <v>0</v>
      </c>
      <c r="DE82" s="9">
        <v>0</v>
      </c>
      <c r="DF82" s="9">
        <v>0</v>
      </c>
      <c r="DG82" s="9">
        <v>0</v>
      </c>
      <c r="DH82" s="9">
        <v>0</v>
      </c>
      <c r="DI82" s="9">
        <v>0</v>
      </c>
      <c r="DJ82" s="9">
        <v>0</v>
      </c>
      <c r="DK82" s="9">
        <v>0</v>
      </c>
      <c r="DL82" s="9">
        <v>0</v>
      </c>
      <c r="DM82" s="9">
        <v>0</v>
      </c>
      <c r="DN82" s="9">
        <v>0</v>
      </c>
      <c r="DO82" s="31">
        <v>0</v>
      </c>
      <c r="DP82" s="9">
        <v>0</v>
      </c>
      <c r="DQ82" s="9">
        <v>0</v>
      </c>
      <c r="DR82" s="9">
        <v>0</v>
      </c>
      <c r="DS82" s="9">
        <v>0</v>
      </c>
      <c r="DT82" s="9">
        <v>0</v>
      </c>
      <c r="DU82" s="9">
        <v>0</v>
      </c>
      <c r="DV82" s="9">
        <v>0</v>
      </c>
      <c r="DW82" s="9">
        <v>0</v>
      </c>
      <c r="DX82" s="9">
        <v>0</v>
      </c>
      <c r="DY82" s="9">
        <v>0</v>
      </c>
      <c r="DZ82" s="9">
        <v>0</v>
      </c>
      <c r="EA82" s="9">
        <v>0</v>
      </c>
      <c r="EB82" s="31">
        <v>0</v>
      </c>
      <c r="EC82" s="9">
        <v>0</v>
      </c>
      <c r="ED82" s="9">
        <v>0</v>
      </c>
      <c r="EE82" s="9">
        <v>0</v>
      </c>
      <c r="EF82" s="9">
        <v>0</v>
      </c>
      <c r="EG82" s="9">
        <v>0</v>
      </c>
      <c r="EH82" s="9">
        <v>0</v>
      </c>
      <c r="EI82" s="9">
        <v>0</v>
      </c>
      <c r="EJ82" s="9">
        <v>0</v>
      </c>
      <c r="EK82" s="9">
        <v>0</v>
      </c>
      <c r="EL82" s="9">
        <v>0</v>
      </c>
      <c r="EM82" s="9">
        <v>0</v>
      </c>
      <c r="EN82" s="9">
        <v>0</v>
      </c>
      <c r="EO82" s="31">
        <v>0</v>
      </c>
      <c r="EP82" s="9">
        <v>6884</v>
      </c>
      <c r="EQ82" s="9">
        <v>6884</v>
      </c>
      <c r="ER82" s="9">
        <v>6884</v>
      </c>
      <c r="ES82" s="9">
        <v>6884</v>
      </c>
      <c r="ET82" s="9">
        <v>6884</v>
      </c>
      <c r="EU82" s="9">
        <v>6884</v>
      </c>
      <c r="EV82" s="9">
        <v>6884</v>
      </c>
      <c r="EW82" s="9">
        <v>6884</v>
      </c>
      <c r="EX82" s="9">
        <v>6884</v>
      </c>
      <c r="EY82" s="9">
        <v>6884</v>
      </c>
      <c r="EZ82" s="9">
        <v>6884</v>
      </c>
      <c r="FA82" s="9">
        <v>6884</v>
      </c>
      <c r="FB82" s="31">
        <v>6884</v>
      </c>
      <c r="FC82" s="9">
        <v>10</v>
      </c>
      <c r="FD82" s="9">
        <v>10</v>
      </c>
      <c r="FE82" s="9">
        <v>10</v>
      </c>
      <c r="FF82" s="9">
        <v>10</v>
      </c>
      <c r="FG82" s="9">
        <v>10</v>
      </c>
      <c r="FH82" s="9">
        <v>10</v>
      </c>
      <c r="FI82" s="9">
        <v>10</v>
      </c>
      <c r="FJ82" s="9">
        <v>10</v>
      </c>
      <c r="FK82" s="9">
        <v>10</v>
      </c>
      <c r="FL82" s="9">
        <v>10</v>
      </c>
      <c r="FM82" s="9">
        <v>10</v>
      </c>
      <c r="FN82" s="9">
        <v>10</v>
      </c>
      <c r="FO82" s="31">
        <v>10</v>
      </c>
    </row>
    <row r="83" spans="2:171" x14ac:dyDescent="0.3">
      <c r="B83" s="7" t="s">
        <v>52</v>
      </c>
      <c r="C83" s="9">
        <v>19164</v>
      </c>
      <c r="D83" s="9">
        <v>19164</v>
      </c>
      <c r="E83" s="9">
        <v>19164</v>
      </c>
      <c r="F83" s="9">
        <v>19164</v>
      </c>
      <c r="G83" s="9">
        <v>19164</v>
      </c>
      <c r="H83" s="9">
        <v>19164</v>
      </c>
      <c r="I83" s="9">
        <v>19164</v>
      </c>
      <c r="J83" s="9">
        <v>19164</v>
      </c>
      <c r="K83" s="9">
        <v>19164</v>
      </c>
      <c r="L83" s="9">
        <v>19164</v>
      </c>
      <c r="M83" s="9">
        <v>19164</v>
      </c>
      <c r="N83" s="9">
        <v>19164</v>
      </c>
      <c r="O83" s="31">
        <v>19164</v>
      </c>
      <c r="P83" s="9">
        <v>20898</v>
      </c>
      <c r="Q83" s="9">
        <v>20898</v>
      </c>
      <c r="R83" s="9">
        <v>20898</v>
      </c>
      <c r="S83" s="9">
        <v>20898</v>
      </c>
      <c r="T83" s="9">
        <v>20898</v>
      </c>
      <c r="U83" s="9">
        <v>20898</v>
      </c>
      <c r="V83" s="9">
        <v>20898</v>
      </c>
      <c r="W83" s="9">
        <v>20898</v>
      </c>
      <c r="X83" s="9">
        <v>20898</v>
      </c>
      <c r="Y83" s="9">
        <v>20898</v>
      </c>
      <c r="Z83" s="9">
        <v>20898</v>
      </c>
      <c r="AA83" s="9">
        <v>20898</v>
      </c>
      <c r="AB83" s="31">
        <v>20898</v>
      </c>
      <c r="AC83" s="9">
        <v>16233</v>
      </c>
      <c r="AD83" s="9">
        <v>16233</v>
      </c>
      <c r="AE83" s="9">
        <v>16233</v>
      </c>
      <c r="AF83" s="9">
        <v>16233</v>
      </c>
      <c r="AG83" s="9">
        <v>16233</v>
      </c>
      <c r="AH83" s="9">
        <v>16233</v>
      </c>
      <c r="AI83" s="9">
        <v>16233</v>
      </c>
      <c r="AJ83" s="9">
        <v>16233</v>
      </c>
      <c r="AK83" s="9">
        <v>16233</v>
      </c>
      <c r="AL83" s="9">
        <v>16233</v>
      </c>
      <c r="AM83" s="9">
        <v>16233</v>
      </c>
      <c r="AN83" s="9">
        <v>16233</v>
      </c>
      <c r="AO83" s="31">
        <v>16233</v>
      </c>
      <c r="AP83" s="9">
        <v>15038</v>
      </c>
      <c r="AQ83" s="9">
        <v>15038</v>
      </c>
      <c r="AR83" s="9">
        <v>15038</v>
      </c>
      <c r="AS83" s="9">
        <v>15038</v>
      </c>
      <c r="AT83" s="9">
        <v>15038</v>
      </c>
      <c r="AU83" s="9">
        <v>15038</v>
      </c>
      <c r="AV83" s="9">
        <v>15038</v>
      </c>
      <c r="AW83" s="9">
        <v>15038</v>
      </c>
      <c r="AX83" s="9">
        <v>15038</v>
      </c>
      <c r="AY83" s="9">
        <v>15038</v>
      </c>
      <c r="AZ83" s="9">
        <v>15038</v>
      </c>
      <c r="BA83" s="9">
        <v>15038</v>
      </c>
      <c r="BB83" s="31">
        <v>15038</v>
      </c>
      <c r="BC83" s="9">
        <v>17276</v>
      </c>
      <c r="BD83" s="9">
        <v>17276</v>
      </c>
      <c r="BE83" s="9">
        <v>17276</v>
      </c>
      <c r="BF83" s="9">
        <v>17276</v>
      </c>
      <c r="BG83" s="9">
        <v>17276</v>
      </c>
      <c r="BH83" s="9">
        <v>17276</v>
      </c>
      <c r="BI83" s="9">
        <v>17276</v>
      </c>
      <c r="BJ83" s="9">
        <v>17276</v>
      </c>
      <c r="BK83" s="9">
        <v>17276</v>
      </c>
      <c r="BL83" s="9">
        <v>17276</v>
      </c>
      <c r="BM83" s="9">
        <v>17276</v>
      </c>
      <c r="BN83" s="9">
        <v>17276</v>
      </c>
      <c r="BO83" s="31">
        <v>17276</v>
      </c>
      <c r="BP83" s="9">
        <v>11951</v>
      </c>
      <c r="BQ83" s="9">
        <v>11951</v>
      </c>
      <c r="BR83" s="9">
        <v>11951</v>
      </c>
      <c r="BS83" s="9">
        <v>11951</v>
      </c>
      <c r="BT83" s="9">
        <v>11951</v>
      </c>
      <c r="BU83" s="9">
        <v>11951</v>
      </c>
      <c r="BV83" s="9">
        <v>11951</v>
      </c>
      <c r="BW83" s="9">
        <v>11951</v>
      </c>
      <c r="BX83" s="9">
        <v>11951</v>
      </c>
      <c r="BY83" s="9">
        <v>11951</v>
      </c>
      <c r="BZ83" s="9">
        <v>11951</v>
      </c>
      <c r="CA83" s="9">
        <v>11951</v>
      </c>
      <c r="CB83" s="31">
        <v>11951</v>
      </c>
      <c r="CC83" s="9">
        <v>12262</v>
      </c>
      <c r="CD83" s="9">
        <v>12262</v>
      </c>
      <c r="CE83" s="9">
        <v>12262</v>
      </c>
      <c r="CF83" s="9">
        <v>12262</v>
      </c>
      <c r="CG83" s="9">
        <v>12262</v>
      </c>
      <c r="CH83" s="9">
        <v>12262</v>
      </c>
      <c r="CI83" s="9">
        <v>12262</v>
      </c>
      <c r="CJ83" s="9">
        <v>12262</v>
      </c>
      <c r="CK83" s="9">
        <v>12262</v>
      </c>
      <c r="CL83" s="9">
        <v>12262</v>
      </c>
      <c r="CM83" s="9">
        <v>12262</v>
      </c>
      <c r="CN83" s="9">
        <v>12262</v>
      </c>
      <c r="CO83" s="31">
        <v>12262</v>
      </c>
      <c r="CP83" s="9">
        <v>9458</v>
      </c>
      <c r="CQ83" s="9">
        <v>9458</v>
      </c>
      <c r="CR83" s="9">
        <v>9458</v>
      </c>
      <c r="CS83" s="9">
        <v>9458</v>
      </c>
      <c r="CT83" s="9">
        <v>9458</v>
      </c>
      <c r="CU83" s="9">
        <v>9458</v>
      </c>
      <c r="CV83" s="9">
        <v>9458</v>
      </c>
      <c r="CW83" s="9">
        <v>9458</v>
      </c>
      <c r="CX83" s="9">
        <v>9458</v>
      </c>
      <c r="CY83" s="9">
        <v>9458</v>
      </c>
      <c r="CZ83" s="9">
        <v>9458</v>
      </c>
      <c r="DA83" s="9">
        <v>9458</v>
      </c>
      <c r="DB83" s="31">
        <v>9458</v>
      </c>
      <c r="DC83" s="9">
        <v>0</v>
      </c>
      <c r="DD83" s="9">
        <v>0</v>
      </c>
      <c r="DE83" s="9">
        <v>0</v>
      </c>
      <c r="DF83" s="9">
        <v>0</v>
      </c>
      <c r="DG83" s="9">
        <v>0</v>
      </c>
      <c r="DH83" s="9">
        <v>0</v>
      </c>
      <c r="DI83" s="9">
        <v>0</v>
      </c>
      <c r="DJ83" s="9">
        <v>0</v>
      </c>
      <c r="DK83" s="9">
        <v>0</v>
      </c>
      <c r="DL83" s="9">
        <v>0</v>
      </c>
      <c r="DM83" s="9">
        <v>0</v>
      </c>
      <c r="DN83" s="9">
        <v>0</v>
      </c>
      <c r="DO83" s="31">
        <v>0</v>
      </c>
      <c r="DP83" s="9">
        <v>0</v>
      </c>
      <c r="DQ83" s="9">
        <v>0</v>
      </c>
      <c r="DR83" s="9">
        <v>0</v>
      </c>
      <c r="DS83" s="9">
        <v>0</v>
      </c>
      <c r="DT83" s="9">
        <v>0</v>
      </c>
      <c r="DU83" s="9">
        <v>0</v>
      </c>
      <c r="DV83" s="9">
        <v>0</v>
      </c>
      <c r="DW83" s="9">
        <v>0</v>
      </c>
      <c r="DX83" s="9">
        <v>0</v>
      </c>
      <c r="DY83" s="9">
        <v>0</v>
      </c>
      <c r="DZ83" s="9">
        <v>0</v>
      </c>
      <c r="EA83" s="9">
        <v>0</v>
      </c>
      <c r="EB83" s="31">
        <v>0</v>
      </c>
      <c r="EC83" s="9">
        <v>0</v>
      </c>
      <c r="ED83" s="9">
        <v>0</v>
      </c>
      <c r="EE83" s="9">
        <v>0</v>
      </c>
      <c r="EF83" s="9">
        <v>0</v>
      </c>
      <c r="EG83" s="9">
        <v>0</v>
      </c>
      <c r="EH83" s="9">
        <v>0</v>
      </c>
      <c r="EI83" s="9">
        <v>0</v>
      </c>
      <c r="EJ83" s="9">
        <v>0</v>
      </c>
      <c r="EK83" s="9">
        <v>0</v>
      </c>
      <c r="EL83" s="9">
        <v>0</v>
      </c>
      <c r="EM83" s="9">
        <v>0</v>
      </c>
      <c r="EN83" s="9">
        <v>0</v>
      </c>
      <c r="EO83" s="31">
        <v>0</v>
      </c>
      <c r="EP83" s="9">
        <v>6351</v>
      </c>
      <c r="EQ83" s="9">
        <v>6351</v>
      </c>
      <c r="ER83" s="9">
        <v>6351</v>
      </c>
      <c r="ES83" s="9">
        <v>6351</v>
      </c>
      <c r="ET83" s="9">
        <v>6351</v>
      </c>
      <c r="EU83" s="9">
        <v>6351</v>
      </c>
      <c r="EV83" s="9">
        <v>6351</v>
      </c>
      <c r="EW83" s="9">
        <v>6351</v>
      </c>
      <c r="EX83" s="9">
        <v>6351</v>
      </c>
      <c r="EY83" s="9">
        <v>6351</v>
      </c>
      <c r="EZ83" s="9">
        <v>6351</v>
      </c>
      <c r="FA83" s="9">
        <v>6351</v>
      </c>
      <c r="FB83" s="31">
        <v>6351</v>
      </c>
      <c r="FC83" s="9">
        <v>10</v>
      </c>
      <c r="FD83" s="9">
        <v>10</v>
      </c>
      <c r="FE83" s="9">
        <v>10</v>
      </c>
      <c r="FF83" s="9">
        <v>10</v>
      </c>
      <c r="FG83" s="9">
        <v>10</v>
      </c>
      <c r="FH83" s="9">
        <v>10</v>
      </c>
      <c r="FI83" s="9">
        <v>10</v>
      </c>
      <c r="FJ83" s="9">
        <v>10</v>
      </c>
      <c r="FK83" s="9">
        <v>10</v>
      </c>
      <c r="FL83" s="9">
        <v>10</v>
      </c>
      <c r="FM83" s="9">
        <v>10</v>
      </c>
      <c r="FN83" s="9">
        <v>10</v>
      </c>
      <c r="FO83" s="31">
        <v>10</v>
      </c>
    </row>
    <row r="84" spans="2:171" x14ac:dyDescent="0.3">
      <c r="B84" s="7" t="s">
        <v>53</v>
      </c>
      <c r="C84" s="9">
        <v>22603</v>
      </c>
      <c r="D84" s="9">
        <v>22603</v>
      </c>
      <c r="E84" s="9">
        <v>22603</v>
      </c>
      <c r="F84" s="9">
        <v>22603</v>
      </c>
      <c r="G84" s="9">
        <v>22603</v>
      </c>
      <c r="H84" s="9">
        <v>22603</v>
      </c>
      <c r="I84" s="9">
        <v>22603</v>
      </c>
      <c r="J84" s="9">
        <v>22603</v>
      </c>
      <c r="K84" s="9">
        <v>22603</v>
      </c>
      <c r="L84" s="9">
        <v>22603</v>
      </c>
      <c r="M84" s="9">
        <v>22603</v>
      </c>
      <c r="N84" s="9">
        <v>22603</v>
      </c>
      <c r="O84" s="31">
        <v>22603</v>
      </c>
      <c r="P84" s="9">
        <v>126364</v>
      </c>
      <c r="Q84" s="9">
        <v>126364</v>
      </c>
      <c r="R84" s="9">
        <v>126364</v>
      </c>
      <c r="S84" s="9">
        <v>126364</v>
      </c>
      <c r="T84" s="9">
        <v>126364</v>
      </c>
      <c r="U84" s="9">
        <v>126364</v>
      </c>
      <c r="V84" s="9">
        <v>126364</v>
      </c>
      <c r="W84" s="9">
        <v>126364</v>
      </c>
      <c r="X84" s="9">
        <v>126364</v>
      </c>
      <c r="Y84" s="9">
        <v>126364</v>
      </c>
      <c r="Z84" s="9">
        <v>126364</v>
      </c>
      <c r="AA84" s="9">
        <v>126364</v>
      </c>
      <c r="AB84" s="31">
        <v>126364</v>
      </c>
      <c r="AC84" s="9">
        <v>572264</v>
      </c>
      <c r="AD84" s="9">
        <v>572264</v>
      </c>
      <c r="AE84" s="9">
        <v>572264</v>
      </c>
      <c r="AF84" s="9">
        <v>572264</v>
      </c>
      <c r="AG84" s="9">
        <v>572264</v>
      </c>
      <c r="AH84" s="9">
        <v>572264</v>
      </c>
      <c r="AI84" s="9">
        <v>572264</v>
      </c>
      <c r="AJ84" s="9">
        <v>572264</v>
      </c>
      <c r="AK84" s="9">
        <v>572264</v>
      </c>
      <c r="AL84" s="9">
        <v>572264</v>
      </c>
      <c r="AM84" s="9">
        <v>572264</v>
      </c>
      <c r="AN84" s="9">
        <v>572264</v>
      </c>
      <c r="AO84" s="31">
        <v>572264</v>
      </c>
      <c r="AP84" s="9">
        <v>187666</v>
      </c>
      <c r="AQ84" s="9">
        <v>187666</v>
      </c>
      <c r="AR84" s="9">
        <v>187666</v>
      </c>
      <c r="AS84" s="9">
        <v>187666</v>
      </c>
      <c r="AT84" s="9">
        <v>187666</v>
      </c>
      <c r="AU84" s="9">
        <v>187666</v>
      </c>
      <c r="AV84" s="9">
        <v>187666</v>
      </c>
      <c r="AW84" s="9">
        <v>187666</v>
      </c>
      <c r="AX84" s="9">
        <v>187666</v>
      </c>
      <c r="AY84" s="9">
        <v>187666</v>
      </c>
      <c r="AZ84" s="9">
        <v>187666</v>
      </c>
      <c r="BA84" s="9">
        <v>187666</v>
      </c>
      <c r="BB84" s="31">
        <v>187666</v>
      </c>
      <c r="BC84" s="9">
        <v>29913</v>
      </c>
      <c r="BD84" s="9">
        <v>29913</v>
      </c>
      <c r="BE84" s="9">
        <v>29913</v>
      </c>
      <c r="BF84" s="9">
        <v>29913</v>
      </c>
      <c r="BG84" s="9">
        <v>29913</v>
      </c>
      <c r="BH84" s="9">
        <v>29913</v>
      </c>
      <c r="BI84" s="9">
        <v>29913</v>
      </c>
      <c r="BJ84" s="9">
        <v>29913</v>
      </c>
      <c r="BK84" s="9">
        <v>29913</v>
      </c>
      <c r="BL84" s="9">
        <v>29913</v>
      </c>
      <c r="BM84" s="9">
        <v>29913</v>
      </c>
      <c r="BN84" s="9">
        <v>29913</v>
      </c>
      <c r="BO84" s="31">
        <v>29913</v>
      </c>
      <c r="BP84" s="9">
        <v>22012</v>
      </c>
      <c r="BQ84" s="9">
        <v>22012</v>
      </c>
      <c r="BR84" s="9">
        <v>22012</v>
      </c>
      <c r="BS84" s="9">
        <v>22012</v>
      </c>
      <c r="BT84" s="9">
        <v>22012</v>
      </c>
      <c r="BU84" s="9">
        <v>22012</v>
      </c>
      <c r="BV84" s="9">
        <v>22012</v>
      </c>
      <c r="BW84" s="9">
        <v>22012</v>
      </c>
      <c r="BX84" s="9">
        <v>22012</v>
      </c>
      <c r="BY84" s="9">
        <v>22012</v>
      </c>
      <c r="BZ84" s="9">
        <v>22012</v>
      </c>
      <c r="CA84" s="9">
        <v>22012</v>
      </c>
      <c r="CB84" s="31">
        <v>22012</v>
      </c>
      <c r="CC84" s="9">
        <v>180044</v>
      </c>
      <c r="CD84" s="9">
        <v>180044</v>
      </c>
      <c r="CE84" s="9">
        <v>180044</v>
      </c>
      <c r="CF84" s="9">
        <v>180044</v>
      </c>
      <c r="CG84" s="9">
        <v>180044</v>
      </c>
      <c r="CH84" s="9">
        <v>180044</v>
      </c>
      <c r="CI84" s="9">
        <v>180044</v>
      </c>
      <c r="CJ84" s="9">
        <v>180044</v>
      </c>
      <c r="CK84" s="9">
        <v>180044</v>
      </c>
      <c r="CL84" s="9">
        <v>180044</v>
      </c>
      <c r="CM84" s="9">
        <v>180044</v>
      </c>
      <c r="CN84" s="9">
        <v>180044</v>
      </c>
      <c r="CO84" s="31">
        <v>180044</v>
      </c>
      <c r="CP84" s="9">
        <v>16432</v>
      </c>
      <c r="CQ84" s="9">
        <v>16432</v>
      </c>
      <c r="CR84" s="9">
        <v>16432</v>
      </c>
      <c r="CS84" s="9">
        <v>16432</v>
      </c>
      <c r="CT84" s="9">
        <v>16432</v>
      </c>
      <c r="CU84" s="9">
        <v>16432</v>
      </c>
      <c r="CV84" s="9">
        <v>16432</v>
      </c>
      <c r="CW84" s="9">
        <v>16432</v>
      </c>
      <c r="CX84" s="9">
        <v>16432</v>
      </c>
      <c r="CY84" s="9">
        <v>16432</v>
      </c>
      <c r="CZ84" s="9">
        <v>16432</v>
      </c>
      <c r="DA84" s="9">
        <v>16432</v>
      </c>
      <c r="DB84" s="31">
        <v>16432</v>
      </c>
      <c r="DC84" s="9">
        <v>0</v>
      </c>
      <c r="DD84" s="9">
        <v>0</v>
      </c>
      <c r="DE84" s="9">
        <v>0</v>
      </c>
      <c r="DF84" s="9">
        <v>0</v>
      </c>
      <c r="DG84" s="9">
        <v>0</v>
      </c>
      <c r="DH84" s="9">
        <v>0</v>
      </c>
      <c r="DI84" s="9">
        <v>0</v>
      </c>
      <c r="DJ84" s="9">
        <v>0</v>
      </c>
      <c r="DK84" s="9">
        <v>0</v>
      </c>
      <c r="DL84" s="9">
        <v>0</v>
      </c>
      <c r="DM84" s="9">
        <v>0</v>
      </c>
      <c r="DN84" s="9">
        <v>0</v>
      </c>
      <c r="DO84" s="31">
        <v>0</v>
      </c>
      <c r="DP84" s="9">
        <v>3986250</v>
      </c>
      <c r="DQ84" s="9">
        <v>3986250</v>
      </c>
      <c r="DR84" s="9">
        <v>3986250</v>
      </c>
      <c r="DS84" s="9">
        <v>3986250</v>
      </c>
      <c r="DT84" s="9">
        <v>3986250</v>
      </c>
      <c r="DU84" s="9">
        <v>3986250</v>
      </c>
      <c r="DV84" s="9">
        <v>3986250</v>
      </c>
      <c r="DW84" s="9">
        <v>3986250</v>
      </c>
      <c r="DX84" s="9">
        <v>3986250</v>
      </c>
      <c r="DY84" s="9">
        <v>3986250</v>
      </c>
      <c r="DZ84" s="9">
        <v>3986250</v>
      </c>
      <c r="EA84" s="9">
        <v>3986250</v>
      </c>
      <c r="EB84" s="31">
        <v>3986250</v>
      </c>
      <c r="EC84" s="9">
        <v>0</v>
      </c>
      <c r="ED84" s="9">
        <v>0</v>
      </c>
      <c r="EE84" s="9">
        <v>0</v>
      </c>
      <c r="EF84" s="9">
        <v>0</v>
      </c>
      <c r="EG84" s="9">
        <v>0</v>
      </c>
      <c r="EH84" s="9">
        <v>0</v>
      </c>
      <c r="EI84" s="9">
        <v>0</v>
      </c>
      <c r="EJ84" s="9">
        <v>0</v>
      </c>
      <c r="EK84" s="9">
        <v>0</v>
      </c>
      <c r="EL84" s="9">
        <v>0</v>
      </c>
      <c r="EM84" s="9">
        <v>0</v>
      </c>
      <c r="EN84" s="9">
        <v>0</v>
      </c>
      <c r="EO84" s="31">
        <v>0</v>
      </c>
      <c r="EP84" s="9">
        <v>7515</v>
      </c>
      <c r="EQ84" s="9">
        <v>7515</v>
      </c>
      <c r="ER84" s="9">
        <v>7515</v>
      </c>
      <c r="ES84" s="9">
        <v>7515</v>
      </c>
      <c r="ET84" s="9">
        <v>7515</v>
      </c>
      <c r="EU84" s="9">
        <v>7515</v>
      </c>
      <c r="EV84" s="9">
        <v>7515</v>
      </c>
      <c r="EW84" s="9">
        <v>7515</v>
      </c>
      <c r="EX84" s="9">
        <v>7515</v>
      </c>
      <c r="EY84" s="9">
        <v>7515</v>
      </c>
      <c r="EZ84" s="9">
        <v>7515</v>
      </c>
      <c r="FA84" s="9">
        <v>7515</v>
      </c>
      <c r="FB84" s="31">
        <v>7515</v>
      </c>
      <c r="FC84" s="9">
        <v>10</v>
      </c>
      <c r="FD84" s="9">
        <v>10</v>
      </c>
      <c r="FE84" s="9">
        <v>10</v>
      </c>
      <c r="FF84" s="9">
        <v>10</v>
      </c>
      <c r="FG84" s="9">
        <v>10</v>
      </c>
      <c r="FH84" s="9">
        <v>10</v>
      </c>
      <c r="FI84" s="9">
        <v>10</v>
      </c>
      <c r="FJ84" s="9">
        <v>10</v>
      </c>
      <c r="FK84" s="9">
        <v>10</v>
      </c>
      <c r="FL84" s="9">
        <v>10</v>
      </c>
      <c r="FM84" s="9">
        <v>10</v>
      </c>
      <c r="FN84" s="9">
        <v>10</v>
      </c>
      <c r="FO84" s="31">
        <v>10</v>
      </c>
    </row>
    <row r="85" spans="2:171" x14ac:dyDescent="0.3">
      <c r="B85" s="7" t="s">
        <v>54</v>
      </c>
      <c r="C85" s="9">
        <v>52172</v>
      </c>
      <c r="D85" s="9">
        <v>52172</v>
      </c>
      <c r="E85" s="9">
        <v>52172</v>
      </c>
      <c r="F85" s="9">
        <v>52172</v>
      </c>
      <c r="G85" s="9">
        <v>52172</v>
      </c>
      <c r="H85" s="9">
        <v>52172</v>
      </c>
      <c r="I85" s="9">
        <v>52172</v>
      </c>
      <c r="J85" s="9">
        <v>52172</v>
      </c>
      <c r="K85" s="9">
        <v>52172</v>
      </c>
      <c r="L85" s="9">
        <v>52172</v>
      </c>
      <c r="M85" s="9">
        <v>52172</v>
      </c>
      <c r="N85" s="9">
        <v>52172</v>
      </c>
      <c r="O85" s="31">
        <v>52172</v>
      </c>
      <c r="P85" s="9">
        <v>6810295</v>
      </c>
      <c r="Q85" s="9">
        <v>6810295</v>
      </c>
      <c r="R85" s="9">
        <v>6810295</v>
      </c>
      <c r="S85" s="9">
        <v>6810295</v>
      </c>
      <c r="T85" s="9">
        <v>6810295</v>
      </c>
      <c r="U85" s="9">
        <v>6810295</v>
      </c>
      <c r="V85" s="9">
        <v>6810295</v>
      </c>
      <c r="W85" s="9">
        <v>6810295</v>
      </c>
      <c r="X85" s="9">
        <v>6810295</v>
      </c>
      <c r="Y85" s="9">
        <v>6810295</v>
      </c>
      <c r="Z85" s="9">
        <v>6810295</v>
      </c>
      <c r="AA85" s="9">
        <v>6810295</v>
      </c>
      <c r="AB85" s="31">
        <v>6810295</v>
      </c>
      <c r="AC85" s="9">
        <v>106766</v>
      </c>
      <c r="AD85" s="9">
        <v>106766</v>
      </c>
      <c r="AE85" s="9">
        <v>106766</v>
      </c>
      <c r="AF85" s="9">
        <v>106766</v>
      </c>
      <c r="AG85" s="9">
        <v>106766</v>
      </c>
      <c r="AH85" s="9">
        <v>106766</v>
      </c>
      <c r="AI85" s="9">
        <v>106766</v>
      </c>
      <c r="AJ85" s="9">
        <v>106766</v>
      </c>
      <c r="AK85" s="9">
        <v>106766</v>
      </c>
      <c r="AL85" s="9">
        <v>106766</v>
      </c>
      <c r="AM85" s="9">
        <v>106766</v>
      </c>
      <c r="AN85" s="9">
        <v>106766</v>
      </c>
      <c r="AO85" s="31">
        <v>106766</v>
      </c>
      <c r="AP85" s="9">
        <v>82915</v>
      </c>
      <c r="AQ85" s="9">
        <v>82915</v>
      </c>
      <c r="AR85" s="9">
        <v>82915</v>
      </c>
      <c r="AS85" s="9">
        <v>82915</v>
      </c>
      <c r="AT85" s="9">
        <v>82915</v>
      </c>
      <c r="AU85" s="9">
        <v>82915</v>
      </c>
      <c r="AV85" s="9">
        <v>82915</v>
      </c>
      <c r="AW85" s="9">
        <v>82915</v>
      </c>
      <c r="AX85" s="9">
        <v>82915</v>
      </c>
      <c r="AY85" s="9">
        <v>82915</v>
      </c>
      <c r="AZ85" s="9">
        <v>82915</v>
      </c>
      <c r="BA85" s="9">
        <v>82915</v>
      </c>
      <c r="BB85" s="31">
        <v>82915</v>
      </c>
      <c r="BC85" s="9">
        <v>115897</v>
      </c>
      <c r="BD85" s="9">
        <v>115897</v>
      </c>
      <c r="BE85" s="9">
        <v>115897</v>
      </c>
      <c r="BF85" s="9">
        <v>115897</v>
      </c>
      <c r="BG85" s="9">
        <v>115897</v>
      </c>
      <c r="BH85" s="9">
        <v>115897</v>
      </c>
      <c r="BI85" s="9">
        <v>115897</v>
      </c>
      <c r="BJ85" s="9">
        <v>115897</v>
      </c>
      <c r="BK85" s="9">
        <v>115897</v>
      </c>
      <c r="BL85" s="9">
        <v>115897</v>
      </c>
      <c r="BM85" s="9">
        <v>115897</v>
      </c>
      <c r="BN85" s="9">
        <v>115897</v>
      </c>
      <c r="BO85" s="31">
        <v>115897</v>
      </c>
      <c r="BP85" s="9">
        <v>71643</v>
      </c>
      <c r="BQ85" s="9">
        <v>71643</v>
      </c>
      <c r="BR85" s="9">
        <v>71643</v>
      </c>
      <c r="BS85" s="9">
        <v>71643</v>
      </c>
      <c r="BT85" s="9">
        <v>71643</v>
      </c>
      <c r="BU85" s="9">
        <v>71643</v>
      </c>
      <c r="BV85" s="9">
        <v>71643</v>
      </c>
      <c r="BW85" s="9">
        <v>71643</v>
      </c>
      <c r="BX85" s="9">
        <v>71643</v>
      </c>
      <c r="BY85" s="9">
        <v>71643</v>
      </c>
      <c r="BZ85" s="9">
        <v>71643</v>
      </c>
      <c r="CA85" s="9">
        <v>71643</v>
      </c>
      <c r="CB85" s="31">
        <v>71643</v>
      </c>
      <c r="CC85" s="9">
        <v>73506</v>
      </c>
      <c r="CD85" s="9">
        <v>73506</v>
      </c>
      <c r="CE85" s="9">
        <v>73506</v>
      </c>
      <c r="CF85" s="9">
        <v>73506</v>
      </c>
      <c r="CG85" s="9">
        <v>73506</v>
      </c>
      <c r="CH85" s="9">
        <v>73506</v>
      </c>
      <c r="CI85" s="9">
        <v>73506</v>
      </c>
      <c r="CJ85" s="9">
        <v>73506</v>
      </c>
      <c r="CK85" s="9">
        <v>73506</v>
      </c>
      <c r="CL85" s="9">
        <v>73506</v>
      </c>
      <c r="CM85" s="9">
        <v>73506</v>
      </c>
      <c r="CN85" s="9">
        <v>73506</v>
      </c>
      <c r="CO85" s="31">
        <v>73506</v>
      </c>
      <c r="CP85" s="9">
        <v>45774</v>
      </c>
      <c r="CQ85" s="9">
        <v>45774</v>
      </c>
      <c r="CR85" s="9">
        <v>45774</v>
      </c>
      <c r="CS85" s="9">
        <v>45774</v>
      </c>
      <c r="CT85" s="9">
        <v>45774</v>
      </c>
      <c r="CU85" s="9">
        <v>45774</v>
      </c>
      <c r="CV85" s="9">
        <v>45774</v>
      </c>
      <c r="CW85" s="9">
        <v>45774</v>
      </c>
      <c r="CX85" s="9">
        <v>45774</v>
      </c>
      <c r="CY85" s="9">
        <v>45774</v>
      </c>
      <c r="CZ85" s="9">
        <v>45774</v>
      </c>
      <c r="DA85" s="9">
        <v>45774</v>
      </c>
      <c r="DB85" s="31">
        <v>45774</v>
      </c>
      <c r="DC85" s="9">
        <v>0</v>
      </c>
      <c r="DD85" s="9">
        <v>0</v>
      </c>
      <c r="DE85" s="9">
        <v>0</v>
      </c>
      <c r="DF85" s="9">
        <v>0</v>
      </c>
      <c r="DG85" s="9">
        <v>0</v>
      </c>
      <c r="DH85" s="9">
        <v>0</v>
      </c>
      <c r="DI85" s="9">
        <v>0</v>
      </c>
      <c r="DJ85" s="9">
        <v>0</v>
      </c>
      <c r="DK85" s="9">
        <v>0</v>
      </c>
      <c r="DL85" s="9">
        <v>0</v>
      </c>
      <c r="DM85" s="9">
        <v>0</v>
      </c>
      <c r="DN85" s="9">
        <v>0</v>
      </c>
      <c r="DO85" s="31">
        <v>0</v>
      </c>
      <c r="DP85" s="9">
        <v>9301250</v>
      </c>
      <c r="DQ85" s="9">
        <v>9301250</v>
      </c>
      <c r="DR85" s="9">
        <v>9301250</v>
      </c>
      <c r="DS85" s="9">
        <v>9301250</v>
      </c>
      <c r="DT85" s="9">
        <v>9301250</v>
      </c>
      <c r="DU85" s="9">
        <v>9301250</v>
      </c>
      <c r="DV85" s="9">
        <v>9301250</v>
      </c>
      <c r="DW85" s="9">
        <v>9301250</v>
      </c>
      <c r="DX85" s="9">
        <v>9301250</v>
      </c>
      <c r="DY85" s="9">
        <v>9301250</v>
      </c>
      <c r="DZ85" s="9">
        <v>9301250</v>
      </c>
      <c r="EA85" s="9">
        <v>9301250</v>
      </c>
      <c r="EB85" s="31">
        <v>9301250</v>
      </c>
      <c r="EC85" s="9">
        <v>0</v>
      </c>
      <c r="ED85" s="9">
        <v>0</v>
      </c>
      <c r="EE85" s="9">
        <v>0</v>
      </c>
      <c r="EF85" s="9">
        <v>0</v>
      </c>
      <c r="EG85" s="9">
        <v>0</v>
      </c>
      <c r="EH85" s="9">
        <v>0</v>
      </c>
      <c r="EI85" s="9">
        <v>0</v>
      </c>
      <c r="EJ85" s="9">
        <v>0</v>
      </c>
      <c r="EK85" s="9">
        <v>0</v>
      </c>
      <c r="EL85" s="9">
        <v>0</v>
      </c>
      <c r="EM85" s="9">
        <v>0</v>
      </c>
      <c r="EN85" s="9">
        <v>0</v>
      </c>
      <c r="EO85" s="31">
        <v>0</v>
      </c>
      <c r="EP85" s="9">
        <v>18756</v>
      </c>
      <c r="EQ85" s="9">
        <v>18756</v>
      </c>
      <c r="ER85" s="9">
        <v>18756</v>
      </c>
      <c r="ES85" s="9">
        <v>18756</v>
      </c>
      <c r="ET85" s="9">
        <v>18756</v>
      </c>
      <c r="EU85" s="9">
        <v>18756</v>
      </c>
      <c r="EV85" s="9">
        <v>18756</v>
      </c>
      <c r="EW85" s="9">
        <v>18756</v>
      </c>
      <c r="EX85" s="9">
        <v>18756</v>
      </c>
      <c r="EY85" s="9">
        <v>18756</v>
      </c>
      <c r="EZ85" s="9">
        <v>18756</v>
      </c>
      <c r="FA85" s="9">
        <v>18756</v>
      </c>
      <c r="FB85" s="31">
        <v>18756</v>
      </c>
      <c r="FC85" s="9">
        <v>10</v>
      </c>
      <c r="FD85" s="9">
        <v>10</v>
      </c>
      <c r="FE85" s="9">
        <v>10</v>
      </c>
      <c r="FF85" s="9">
        <v>10</v>
      </c>
      <c r="FG85" s="9">
        <v>10</v>
      </c>
      <c r="FH85" s="9">
        <v>10</v>
      </c>
      <c r="FI85" s="9">
        <v>10</v>
      </c>
      <c r="FJ85" s="9">
        <v>10</v>
      </c>
      <c r="FK85" s="9">
        <v>10</v>
      </c>
      <c r="FL85" s="9">
        <v>10</v>
      </c>
      <c r="FM85" s="9">
        <v>10</v>
      </c>
      <c r="FN85" s="9">
        <v>10</v>
      </c>
      <c r="FO85" s="31">
        <v>10</v>
      </c>
    </row>
    <row r="86" spans="2:171" x14ac:dyDescent="0.3">
      <c r="B86" s="7" t="s">
        <v>55</v>
      </c>
      <c r="C86" s="9">
        <v>20560</v>
      </c>
      <c r="D86" s="9">
        <v>20560</v>
      </c>
      <c r="E86" s="9">
        <v>20560</v>
      </c>
      <c r="F86" s="9">
        <v>20560</v>
      </c>
      <c r="G86" s="9">
        <v>20560</v>
      </c>
      <c r="H86" s="9">
        <v>20560</v>
      </c>
      <c r="I86" s="9">
        <v>20560</v>
      </c>
      <c r="J86" s="9">
        <v>20560</v>
      </c>
      <c r="K86" s="9">
        <v>20560</v>
      </c>
      <c r="L86" s="9">
        <v>20560</v>
      </c>
      <c r="M86" s="9">
        <v>20560</v>
      </c>
      <c r="N86" s="9">
        <v>20560</v>
      </c>
      <c r="O86" s="31">
        <v>20560</v>
      </c>
      <c r="P86" s="9">
        <v>22608</v>
      </c>
      <c r="Q86" s="9">
        <v>22608</v>
      </c>
      <c r="R86" s="9">
        <v>22608</v>
      </c>
      <c r="S86" s="9">
        <v>22608</v>
      </c>
      <c r="T86" s="9">
        <v>22608</v>
      </c>
      <c r="U86" s="9">
        <v>22608</v>
      </c>
      <c r="V86" s="9">
        <v>22608</v>
      </c>
      <c r="W86" s="9">
        <v>22608</v>
      </c>
      <c r="X86" s="9">
        <v>22608</v>
      </c>
      <c r="Y86" s="9">
        <v>22608</v>
      </c>
      <c r="Z86" s="9">
        <v>22608</v>
      </c>
      <c r="AA86" s="9">
        <v>22608</v>
      </c>
      <c r="AB86" s="31">
        <v>22608</v>
      </c>
      <c r="AC86" s="9">
        <v>945905</v>
      </c>
      <c r="AD86" s="9">
        <v>945905</v>
      </c>
      <c r="AE86" s="9">
        <v>945905</v>
      </c>
      <c r="AF86" s="9">
        <v>945905</v>
      </c>
      <c r="AG86" s="9">
        <v>945905</v>
      </c>
      <c r="AH86" s="9">
        <v>945905</v>
      </c>
      <c r="AI86" s="9">
        <v>945905</v>
      </c>
      <c r="AJ86" s="9">
        <v>945905</v>
      </c>
      <c r="AK86" s="9">
        <v>945905</v>
      </c>
      <c r="AL86" s="9">
        <v>945905</v>
      </c>
      <c r="AM86" s="9">
        <v>945905</v>
      </c>
      <c r="AN86" s="9">
        <v>945905</v>
      </c>
      <c r="AO86" s="31">
        <v>945905</v>
      </c>
      <c r="AP86" s="9">
        <v>16995</v>
      </c>
      <c r="AQ86" s="9">
        <v>16995</v>
      </c>
      <c r="AR86" s="9">
        <v>16995</v>
      </c>
      <c r="AS86" s="9">
        <v>16995</v>
      </c>
      <c r="AT86" s="9">
        <v>16995</v>
      </c>
      <c r="AU86" s="9">
        <v>16995</v>
      </c>
      <c r="AV86" s="9">
        <v>16995</v>
      </c>
      <c r="AW86" s="9">
        <v>16995</v>
      </c>
      <c r="AX86" s="9">
        <v>16995</v>
      </c>
      <c r="AY86" s="9">
        <v>16995</v>
      </c>
      <c r="AZ86" s="9">
        <v>16995</v>
      </c>
      <c r="BA86" s="9">
        <v>16995</v>
      </c>
      <c r="BB86" s="31">
        <v>16995</v>
      </c>
      <c r="BC86" s="9">
        <v>17432</v>
      </c>
      <c r="BD86" s="9">
        <v>17432</v>
      </c>
      <c r="BE86" s="9">
        <v>17432</v>
      </c>
      <c r="BF86" s="9">
        <v>17432</v>
      </c>
      <c r="BG86" s="9">
        <v>17432</v>
      </c>
      <c r="BH86" s="9">
        <v>17432</v>
      </c>
      <c r="BI86" s="9">
        <v>17432</v>
      </c>
      <c r="BJ86" s="9">
        <v>17432</v>
      </c>
      <c r="BK86" s="9">
        <v>17432</v>
      </c>
      <c r="BL86" s="9">
        <v>17432</v>
      </c>
      <c r="BM86" s="9">
        <v>17432</v>
      </c>
      <c r="BN86" s="9">
        <v>17432</v>
      </c>
      <c r="BO86" s="31">
        <v>17432</v>
      </c>
      <c r="BP86" s="9">
        <v>936647</v>
      </c>
      <c r="BQ86" s="9">
        <v>936647</v>
      </c>
      <c r="BR86" s="9">
        <v>936647</v>
      </c>
      <c r="BS86" s="9">
        <v>936647</v>
      </c>
      <c r="BT86" s="9">
        <v>936647</v>
      </c>
      <c r="BU86" s="9">
        <v>936647</v>
      </c>
      <c r="BV86" s="9">
        <v>936647</v>
      </c>
      <c r="BW86" s="9">
        <v>936647</v>
      </c>
      <c r="BX86" s="9">
        <v>936647</v>
      </c>
      <c r="BY86" s="9">
        <v>936647</v>
      </c>
      <c r="BZ86" s="9">
        <v>936647</v>
      </c>
      <c r="CA86" s="9">
        <v>936647</v>
      </c>
      <c r="CB86" s="31">
        <v>936647</v>
      </c>
      <c r="CC86" s="9">
        <v>3242677</v>
      </c>
      <c r="CD86" s="9">
        <v>3242677</v>
      </c>
      <c r="CE86" s="9">
        <v>3242677</v>
      </c>
      <c r="CF86" s="9">
        <v>3242677</v>
      </c>
      <c r="CG86" s="9">
        <v>3242677</v>
      </c>
      <c r="CH86" s="9">
        <v>3242677</v>
      </c>
      <c r="CI86" s="9">
        <v>3242677</v>
      </c>
      <c r="CJ86" s="9">
        <v>3242677</v>
      </c>
      <c r="CK86" s="9">
        <v>3242677</v>
      </c>
      <c r="CL86" s="9">
        <v>3242677</v>
      </c>
      <c r="CM86" s="9">
        <v>3242677</v>
      </c>
      <c r="CN86" s="9">
        <v>3242677</v>
      </c>
      <c r="CO86" s="31">
        <v>3242677</v>
      </c>
      <c r="CP86" s="9">
        <v>11095</v>
      </c>
      <c r="CQ86" s="9">
        <v>11095</v>
      </c>
      <c r="CR86" s="9">
        <v>11095</v>
      </c>
      <c r="CS86" s="9">
        <v>11095</v>
      </c>
      <c r="CT86" s="9">
        <v>11095</v>
      </c>
      <c r="CU86" s="9">
        <v>11095</v>
      </c>
      <c r="CV86" s="9">
        <v>11095</v>
      </c>
      <c r="CW86" s="9">
        <v>11095</v>
      </c>
      <c r="CX86" s="9">
        <v>11095</v>
      </c>
      <c r="CY86" s="9">
        <v>11095</v>
      </c>
      <c r="CZ86" s="9">
        <v>11095</v>
      </c>
      <c r="DA86" s="9">
        <v>11095</v>
      </c>
      <c r="DB86" s="31">
        <v>11095</v>
      </c>
      <c r="DC86" s="9">
        <v>0</v>
      </c>
      <c r="DD86" s="9">
        <v>0</v>
      </c>
      <c r="DE86" s="9">
        <v>0</v>
      </c>
      <c r="DF86" s="9">
        <v>0</v>
      </c>
      <c r="DG86" s="9">
        <v>0</v>
      </c>
      <c r="DH86" s="9">
        <v>0</v>
      </c>
      <c r="DI86" s="9">
        <v>0</v>
      </c>
      <c r="DJ86" s="9">
        <v>0</v>
      </c>
      <c r="DK86" s="9">
        <v>0</v>
      </c>
      <c r="DL86" s="9">
        <v>0</v>
      </c>
      <c r="DM86" s="9">
        <v>0</v>
      </c>
      <c r="DN86" s="9">
        <v>0</v>
      </c>
      <c r="DO86" s="31">
        <v>0</v>
      </c>
      <c r="DP86" s="9">
        <v>0</v>
      </c>
      <c r="DQ86" s="9">
        <v>0</v>
      </c>
      <c r="DR86" s="9">
        <v>0</v>
      </c>
      <c r="DS86" s="9">
        <v>0</v>
      </c>
      <c r="DT86" s="9">
        <v>0</v>
      </c>
      <c r="DU86" s="9">
        <v>0</v>
      </c>
      <c r="DV86" s="9">
        <v>0</v>
      </c>
      <c r="DW86" s="9">
        <v>0</v>
      </c>
      <c r="DX86" s="9">
        <v>0</v>
      </c>
      <c r="DY86" s="9">
        <v>0</v>
      </c>
      <c r="DZ86" s="9">
        <v>0</v>
      </c>
      <c r="EA86" s="9">
        <v>0</v>
      </c>
      <c r="EB86" s="31">
        <v>0</v>
      </c>
      <c r="EC86" s="9">
        <v>0</v>
      </c>
      <c r="ED86" s="9">
        <v>0</v>
      </c>
      <c r="EE86" s="9">
        <v>0</v>
      </c>
      <c r="EF86" s="9">
        <v>0</v>
      </c>
      <c r="EG86" s="9">
        <v>0</v>
      </c>
      <c r="EH86" s="9">
        <v>0</v>
      </c>
      <c r="EI86" s="9">
        <v>0</v>
      </c>
      <c r="EJ86" s="9">
        <v>0</v>
      </c>
      <c r="EK86" s="9">
        <v>0</v>
      </c>
      <c r="EL86" s="9">
        <v>0</v>
      </c>
      <c r="EM86" s="9">
        <v>0</v>
      </c>
      <c r="EN86" s="9">
        <v>0</v>
      </c>
      <c r="EO86" s="31">
        <v>0</v>
      </c>
      <c r="EP86" s="9">
        <v>7815</v>
      </c>
      <c r="EQ86" s="9">
        <v>7815</v>
      </c>
      <c r="ER86" s="9">
        <v>7815</v>
      </c>
      <c r="ES86" s="9">
        <v>7815</v>
      </c>
      <c r="ET86" s="9">
        <v>7815</v>
      </c>
      <c r="EU86" s="9">
        <v>7815</v>
      </c>
      <c r="EV86" s="9">
        <v>7815</v>
      </c>
      <c r="EW86" s="9">
        <v>7815</v>
      </c>
      <c r="EX86" s="9">
        <v>7815</v>
      </c>
      <c r="EY86" s="9">
        <v>7815</v>
      </c>
      <c r="EZ86" s="9">
        <v>7815</v>
      </c>
      <c r="FA86" s="9">
        <v>7815</v>
      </c>
      <c r="FB86" s="31">
        <v>7815</v>
      </c>
      <c r="FC86" s="9">
        <v>10</v>
      </c>
      <c r="FD86" s="9">
        <v>10</v>
      </c>
      <c r="FE86" s="9">
        <v>10</v>
      </c>
      <c r="FF86" s="9">
        <v>10</v>
      </c>
      <c r="FG86" s="9">
        <v>10</v>
      </c>
      <c r="FH86" s="9">
        <v>10</v>
      </c>
      <c r="FI86" s="9">
        <v>10</v>
      </c>
      <c r="FJ86" s="9">
        <v>10</v>
      </c>
      <c r="FK86" s="9">
        <v>10</v>
      </c>
      <c r="FL86" s="9">
        <v>10</v>
      </c>
      <c r="FM86" s="9">
        <v>10</v>
      </c>
      <c r="FN86" s="9">
        <v>10</v>
      </c>
      <c r="FO86" s="31">
        <v>10</v>
      </c>
    </row>
    <row r="87" spans="2:171" x14ac:dyDescent="0.3">
      <c r="B87" s="7" t="s">
        <v>56</v>
      </c>
      <c r="C87" s="9">
        <v>22041</v>
      </c>
      <c r="D87" s="9">
        <v>22041</v>
      </c>
      <c r="E87" s="9">
        <v>22041</v>
      </c>
      <c r="F87" s="9">
        <v>22041</v>
      </c>
      <c r="G87" s="9">
        <v>22041</v>
      </c>
      <c r="H87" s="9">
        <v>22041</v>
      </c>
      <c r="I87" s="9">
        <v>22041</v>
      </c>
      <c r="J87" s="9">
        <v>22041</v>
      </c>
      <c r="K87" s="9">
        <v>22041</v>
      </c>
      <c r="L87" s="9">
        <v>22041</v>
      </c>
      <c r="M87" s="9">
        <v>22041</v>
      </c>
      <c r="N87" s="9">
        <v>22041</v>
      </c>
      <c r="O87" s="31">
        <v>22041</v>
      </c>
      <c r="P87" s="9">
        <v>24650</v>
      </c>
      <c r="Q87" s="9">
        <v>24650</v>
      </c>
      <c r="R87" s="9">
        <v>24650</v>
      </c>
      <c r="S87" s="9">
        <v>24650</v>
      </c>
      <c r="T87" s="9">
        <v>24650</v>
      </c>
      <c r="U87" s="9">
        <v>24650</v>
      </c>
      <c r="V87" s="9">
        <v>24650</v>
      </c>
      <c r="W87" s="9">
        <v>24650</v>
      </c>
      <c r="X87" s="9">
        <v>24650</v>
      </c>
      <c r="Y87" s="9">
        <v>24650</v>
      </c>
      <c r="Z87" s="9">
        <v>24650</v>
      </c>
      <c r="AA87" s="9">
        <v>24650</v>
      </c>
      <c r="AB87" s="31">
        <v>24650</v>
      </c>
      <c r="AC87" s="9">
        <v>25151</v>
      </c>
      <c r="AD87" s="9">
        <v>25151</v>
      </c>
      <c r="AE87" s="9">
        <v>25151</v>
      </c>
      <c r="AF87" s="9">
        <v>25151</v>
      </c>
      <c r="AG87" s="9">
        <v>25151</v>
      </c>
      <c r="AH87" s="9">
        <v>25151</v>
      </c>
      <c r="AI87" s="9">
        <v>25151</v>
      </c>
      <c r="AJ87" s="9">
        <v>25151</v>
      </c>
      <c r="AK87" s="9">
        <v>25151</v>
      </c>
      <c r="AL87" s="9">
        <v>25151</v>
      </c>
      <c r="AM87" s="9">
        <v>25151</v>
      </c>
      <c r="AN87" s="9">
        <v>25151</v>
      </c>
      <c r="AO87" s="31">
        <v>25151</v>
      </c>
      <c r="AP87" s="9">
        <v>692985</v>
      </c>
      <c r="AQ87" s="9">
        <v>692985</v>
      </c>
      <c r="AR87" s="9">
        <v>692985</v>
      </c>
      <c r="AS87" s="9">
        <v>692985</v>
      </c>
      <c r="AT87" s="9">
        <v>692985</v>
      </c>
      <c r="AU87" s="9">
        <v>692985</v>
      </c>
      <c r="AV87" s="9">
        <v>692985</v>
      </c>
      <c r="AW87" s="9">
        <v>692985</v>
      </c>
      <c r="AX87" s="9">
        <v>692985</v>
      </c>
      <c r="AY87" s="9">
        <v>692985</v>
      </c>
      <c r="AZ87" s="9">
        <v>692985</v>
      </c>
      <c r="BA87" s="9">
        <v>692985</v>
      </c>
      <c r="BB87" s="31">
        <v>692985</v>
      </c>
      <c r="BC87" s="9">
        <v>1462323</v>
      </c>
      <c r="BD87" s="9">
        <v>1462323</v>
      </c>
      <c r="BE87" s="9">
        <v>1462323</v>
      </c>
      <c r="BF87" s="9">
        <v>1462323</v>
      </c>
      <c r="BG87" s="9">
        <v>1462323</v>
      </c>
      <c r="BH87" s="9">
        <v>1462323</v>
      </c>
      <c r="BI87" s="9">
        <v>1462323</v>
      </c>
      <c r="BJ87" s="9">
        <v>1462323</v>
      </c>
      <c r="BK87" s="9">
        <v>1462323</v>
      </c>
      <c r="BL87" s="9">
        <v>1462323</v>
      </c>
      <c r="BM87" s="9">
        <v>1462323</v>
      </c>
      <c r="BN87" s="9">
        <v>1462323</v>
      </c>
      <c r="BO87" s="31">
        <v>1462323</v>
      </c>
      <c r="BP87" s="9">
        <v>563609</v>
      </c>
      <c r="BQ87" s="9">
        <v>563609</v>
      </c>
      <c r="BR87" s="9">
        <v>563609</v>
      </c>
      <c r="BS87" s="9">
        <v>563609</v>
      </c>
      <c r="BT87" s="9">
        <v>563609</v>
      </c>
      <c r="BU87" s="9">
        <v>563609</v>
      </c>
      <c r="BV87" s="9">
        <v>563609</v>
      </c>
      <c r="BW87" s="9">
        <v>563609</v>
      </c>
      <c r="BX87" s="9">
        <v>563609</v>
      </c>
      <c r="BY87" s="9">
        <v>563609</v>
      </c>
      <c r="BZ87" s="9">
        <v>563609</v>
      </c>
      <c r="CA87" s="9">
        <v>563609</v>
      </c>
      <c r="CB87" s="31">
        <v>563609</v>
      </c>
      <c r="CC87" s="9">
        <v>12650</v>
      </c>
      <c r="CD87" s="9">
        <v>12650</v>
      </c>
      <c r="CE87" s="9">
        <v>12650</v>
      </c>
      <c r="CF87" s="9">
        <v>12650</v>
      </c>
      <c r="CG87" s="9">
        <v>12650</v>
      </c>
      <c r="CH87" s="9">
        <v>12650</v>
      </c>
      <c r="CI87" s="9">
        <v>12650</v>
      </c>
      <c r="CJ87" s="9">
        <v>12650</v>
      </c>
      <c r="CK87" s="9">
        <v>12650</v>
      </c>
      <c r="CL87" s="9">
        <v>12650</v>
      </c>
      <c r="CM87" s="9">
        <v>12650</v>
      </c>
      <c r="CN87" s="9">
        <v>12650</v>
      </c>
      <c r="CO87" s="31">
        <v>12650</v>
      </c>
      <c r="CP87" s="9">
        <v>7055</v>
      </c>
      <c r="CQ87" s="9">
        <v>7055</v>
      </c>
      <c r="CR87" s="9">
        <v>7055</v>
      </c>
      <c r="CS87" s="9">
        <v>7055</v>
      </c>
      <c r="CT87" s="9">
        <v>7055</v>
      </c>
      <c r="CU87" s="9">
        <v>7055</v>
      </c>
      <c r="CV87" s="9">
        <v>7055</v>
      </c>
      <c r="CW87" s="9">
        <v>7055</v>
      </c>
      <c r="CX87" s="9">
        <v>7055</v>
      </c>
      <c r="CY87" s="9">
        <v>7055</v>
      </c>
      <c r="CZ87" s="9">
        <v>7055</v>
      </c>
      <c r="DA87" s="9">
        <v>7055</v>
      </c>
      <c r="DB87" s="31">
        <v>7055</v>
      </c>
      <c r="DC87" s="9">
        <v>0</v>
      </c>
      <c r="DD87" s="9">
        <v>0</v>
      </c>
      <c r="DE87" s="9">
        <v>0</v>
      </c>
      <c r="DF87" s="9">
        <v>0</v>
      </c>
      <c r="DG87" s="9">
        <v>0</v>
      </c>
      <c r="DH87" s="9">
        <v>0</v>
      </c>
      <c r="DI87" s="9">
        <v>0</v>
      </c>
      <c r="DJ87" s="9">
        <v>0</v>
      </c>
      <c r="DK87" s="9">
        <v>0</v>
      </c>
      <c r="DL87" s="9">
        <v>0</v>
      </c>
      <c r="DM87" s="9">
        <v>0</v>
      </c>
      <c r="DN87" s="9">
        <v>0</v>
      </c>
      <c r="DO87" s="31">
        <v>0</v>
      </c>
      <c r="DP87" s="9">
        <v>0</v>
      </c>
      <c r="DQ87" s="9">
        <v>0</v>
      </c>
      <c r="DR87" s="9">
        <v>0</v>
      </c>
      <c r="DS87" s="9">
        <v>0</v>
      </c>
      <c r="DT87" s="9">
        <v>0</v>
      </c>
      <c r="DU87" s="9">
        <v>0</v>
      </c>
      <c r="DV87" s="9">
        <v>0</v>
      </c>
      <c r="DW87" s="9">
        <v>0</v>
      </c>
      <c r="DX87" s="9">
        <v>0</v>
      </c>
      <c r="DY87" s="9">
        <v>0</v>
      </c>
      <c r="DZ87" s="9">
        <v>0</v>
      </c>
      <c r="EA87" s="9">
        <v>0</v>
      </c>
      <c r="EB87" s="31">
        <v>0</v>
      </c>
      <c r="EC87" s="9">
        <v>0</v>
      </c>
      <c r="ED87" s="9">
        <v>0</v>
      </c>
      <c r="EE87" s="9">
        <v>0</v>
      </c>
      <c r="EF87" s="9">
        <v>0</v>
      </c>
      <c r="EG87" s="9">
        <v>0</v>
      </c>
      <c r="EH87" s="9">
        <v>0</v>
      </c>
      <c r="EI87" s="9">
        <v>0</v>
      </c>
      <c r="EJ87" s="9">
        <v>0</v>
      </c>
      <c r="EK87" s="9">
        <v>0</v>
      </c>
      <c r="EL87" s="9">
        <v>0</v>
      </c>
      <c r="EM87" s="9">
        <v>0</v>
      </c>
      <c r="EN87" s="9">
        <v>0</v>
      </c>
      <c r="EO87" s="31">
        <v>0</v>
      </c>
      <c r="EP87" s="9">
        <v>3126</v>
      </c>
      <c r="EQ87" s="9">
        <v>3126</v>
      </c>
      <c r="ER87" s="9">
        <v>3126</v>
      </c>
      <c r="ES87" s="9">
        <v>3126</v>
      </c>
      <c r="ET87" s="9">
        <v>3126</v>
      </c>
      <c r="EU87" s="9">
        <v>3126</v>
      </c>
      <c r="EV87" s="9">
        <v>3126</v>
      </c>
      <c r="EW87" s="9">
        <v>3126</v>
      </c>
      <c r="EX87" s="9">
        <v>3126</v>
      </c>
      <c r="EY87" s="9">
        <v>3126</v>
      </c>
      <c r="EZ87" s="9">
        <v>3126</v>
      </c>
      <c r="FA87" s="9">
        <v>3126</v>
      </c>
      <c r="FB87" s="31">
        <v>3126</v>
      </c>
      <c r="FC87" s="9">
        <v>10</v>
      </c>
      <c r="FD87" s="9">
        <v>10</v>
      </c>
      <c r="FE87" s="9">
        <v>10</v>
      </c>
      <c r="FF87" s="9">
        <v>10</v>
      </c>
      <c r="FG87" s="9">
        <v>10</v>
      </c>
      <c r="FH87" s="9">
        <v>10</v>
      </c>
      <c r="FI87" s="9">
        <v>10</v>
      </c>
      <c r="FJ87" s="9">
        <v>10</v>
      </c>
      <c r="FK87" s="9">
        <v>10</v>
      </c>
      <c r="FL87" s="9">
        <v>10</v>
      </c>
      <c r="FM87" s="9">
        <v>10</v>
      </c>
      <c r="FN87" s="9">
        <v>10</v>
      </c>
      <c r="FO87" s="31">
        <v>10</v>
      </c>
    </row>
    <row r="88" spans="2:171" x14ac:dyDescent="0.3">
      <c r="B88" s="7" t="s">
        <v>57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  <c r="H88" s="9">
        <v>0</v>
      </c>
      <c r="I88" s="9">
        <v>0</v>
      </c>
      <c r="J88" s="9">
        <v>0</v>
      </c>
      <c r="K88" s="9">
        <v>0</v>
      </c>
      <c r="L88" s="9">
        <v>0</v>
      </c>
      <c r="M88" s="9">
        <v>0</v>
      </c>
      <c r="N88" s="9">
        <v>0</v>
      </c>
      <c r="O88" s="31">
        <v>0</v>
      </c>
      <c r="P88" s="9">
        <v>0</v>
      </c>
      <c r="Q88" s="9">
        <v>0</v>
      </c>
      <c r="R88" s="9">
        <v>0</v>
      </c>
      <c r="S88" s="9">
        <v>0</v>
      </c>
      <c r="T88" s="9">
        <v>0</v>
      </c>
      <c r="U88" s="9">
        <v>0</v>
      </c>
      <c r="V88" s="9">
        <v>0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31">
        <v>0</v>
      </c>
      <c r="AC88" s="9">
        <v>0</v>
      </c>
      <c r="AD88" s="9">
        <v>0</v>
      </c>
      <c r="AE88" s="9">
        <v>0</v>
      </c>
      <c r="AF88" s="9">
        <v>0</v>
      </c>
      <c r="AG88" s="9">
        <v>0</v>
      </c>
      <c r="AH88" s="9">
        <v>0</v>
      </c>
      <c r="AI88" s="9">
        <v>0</v>
      </c>
      <c r="AJ88" s="9">
        <v>0</v>
      </c>
      <c r="AK88" s="9">
        <v>0</v>
      </c>
      <c r="AL88" s="9">
        <v>0</v>
      </c>
      <c r="AM88" s="9">
        <v>0</v>
      </c>
      <c r="AN88" s="9">
        <v>0</v>
      </c>
      <c r="AO88" s="31">
        <v>0</v>
      </c>
      <c r="AP88" s="9">
        <v>0</v>
      </c>
      <c r="AQ88" s="9">
        <v>0</v>
      </c>
      <c r="AR88" s="9">
        <v>0</v>
      </c>
      <c r="AS88" s="9">
        <v>0</v>
      </c>
      <c r="AT88" s="9">
        <v>0</v>
      </c>
      <c r="AU88" s="9">
        <v>0</v>
      </c>
      <c r="AV88" s="9">
        <v>0</v>
      </c>
      <c r="AW88" s="9">
        <v>0</v>
      </c>
      <c r="AX88" s="9">
        <v>0</v>
      </c>
      <c r="AY88" s="9">
        <v>0</v>
      </c>
      <c r="AZ88" s="9">
        <v>0</v>
      </c>
      <c r="BA88" s="9">
        <v>0</v>
      </c>
      <c r="BB88" s="31">
        <v>0</v>
      </c>
      <c r="BC88" s="9">
        <v>0</v>
      </c>
      <c r="BD88" s="9">
        <v>0</v>
      </c>
      <c r="BE88" s="9">
        <v>0</v>
      </c>
      <c r="BF88" s="9">
        <v>0</v>
      </c>
      <c r="BG88" s="9">
        <v>0</v>
      </c>
      <c r="BH88" s="9">
        <v>0</v>
      </c>
      <c r="BI88" s="9">
        <v>0</v>
      </c>
      <c r="BJ88" s="9">
        <v>0</v>
      </c>
      <c r="BK88" s="9">
        <v>0</v>
      </c>
      <c r="BL88" s="9">
        <v>0</v>
      </c>
      <c r="BM88" s="9">
        <v>0</v>
      </c>
      <c r="BN88" s="9">
        <v>0</v>
      </c>
      <c r="BO88" s="31">
        <v>0</v>
      </c>
      <c r="BP88" s="9">
        <v>68447</v>
      </c>
      <c r="BQ88" s="9">
        <v>68447</v>
      </c>
      <c r="BR88" s="9">
        <v>68447</v>
      </c>
      <c r="BS88" s="9">
        <v>68447</v>
      </c>
      <c r="BT88" s="9">
        <v>68447</v>
      </c>
      <c r="BU88" s="9">
        <v>68447</v>
      </c>
      <c r="BV88" s="9">
        <v>68447</v>
      </c>
      <c r="BW88" s="9">
        <v>68447</v>
      </c>
      <c r="BX88" s="9">
        <v>68447</v>
      </c>
      <c r="BY88" s="9">
        <v>68447</v>
      </c>
      <c r="BZ88" s="9">
        <v>68447</v>
      </c>
      <c r="CA88" s="9">
        <v>68447</v>
      </c>
      <c r="CB88" s="31">
        <v>68447</v>
      </c>
      <c r="CC88" s="9">
        <v>21975</v>
      </c>
      <c r="CD88" s="9">
        <v>21975</v>
      </c>
      <c r="CE88" s="9">
        <v>21975</v>
      </c>
      <c r="CF88" s="9">
        <v>21975</v>
      </c>
      <c r="CG88" s="9">
        <v>21975</v>
      </c>
      <c r="CH88" s="9">
        <v>21975</v>
      </c>
      <c r="CI88" s="9">
        <v>21975</v>
      </c>
      <c r="CJ88" s="9">
        <v>21975</v>
      </c>
      <c r="CK88" s="9">
        <v>21975</v>
      </c>
      <c r="CL88" s="9">
        <v>21975</v>
      </c>
      <c r="CM88" s="9">
        <v>21975</v>
      </c>
      <c r="CN88" s="9">
        <v>21975</v>
      </c>
      <c r="CO88" s="31">
        <v>21975</v>
      </c>
      <c r="CP88" s="9">
        <v>15569</v>
      </c>
      <c r="CQ88" s="9">
        <v>15569</v>
      </c>
      <c r="CR88" s="9">
        <v>15569</v>
      </c>
      <c r="CS88" s="9">
        <v>15569</v>
      </c>
      <c r="CT88" s="9">
        <v>15569</v>
      </c>
      <c r="CU88" s="9">
        <v>15569</v>
      </c>
      <c r="CV88" s="9">
        <v>15569</v>
      </c>
      <c r="CW88" s="9">
        <v>15569</v>
      </c>
      <c r="CX88" s="9">
        <v>15569</v>
      </c>
      <c r="CY88" s="9">
        <v>15569</v>
      </c>
      <c r="CZ88" s="9">
        <v>15569</v>
      </c>
      <c r="DA88" s="9">
        <v>15569</v>
      </c>
      <c r="DB88" s="31">
        <v>15569</v>
      </c>
      <c r="DC88" s="9">
        <v>0</v>
      </c>
      <c r="DD88" s="9">
        <v>0</v>
      </c>
      <c r="DE88" s="9">
        <v>0</v>
      </c>
      <c r="DF88" s="9">
        <v>0</v>
      </c>
      <c r="DG88" s="9">
        <v>0</v>
      </c>
      <c r="DH88" s="9">
        <v>0</v>
      </c>
      <c r="DI88" s="9">
        <v>0</v>
      </c>
      <c r="DJ88" s="9">
        <v>0</v>
      </c>
      <c r="DK88" s="9">
        <v>0</v>
      </c>
      <c r="DL88" s="9">
        <v>0</v>
      </c>
      <c r="DM88" s="9">
        <v>0</v>
      </c>
      <c r="DN88" s="9">
        <v>0</v>
      </c>
      <c r="DO88" s="31">
        <v>0</v>
      </c>
      <c r="DP88" s="9">
        <v>3986250</v>
      </c>
      <c r="DQ88" s="9">
        <v>3986250</v>
      </c>
      <c r="DR88" s="9">
        <v>3986250</v>
      </c>
      <c r="DS88" s="9">
        <v>3986250</v>
      </c>
      <c r="DT88" s="9">
        <v>3986250</v>
      </c>
      <c r="DU88" s="9">
        <v>3986250</v>
      </c>
      <c r="DV88" s="9">
        <v>3986250</v>
      </c>
      <c r="DW88" s="9">
        <v>3986250</v>
      </c>
      <c r="DX88" s="9">
        <v>3986250</v>
      </c>
      <c r="DY88" s="9">
        <v>3986250</v>
      </c>
      <c r="DZ88" s="9">
        <v>3986250</v>
      </c>
      <c r="EA88" s="9">
        <v>3986250</v>
      </c>
      <c r="EB88" s="31">
        <v>3986250</v>
      </c>
      <c r="EC88" s="9">
        <v>0</v>
      </c>
      <c r="ED88" s="9">
        <v>0</v>
      </c>
      <c r="EE88" s="9">
        <v>0</v>
      </c>
      <c r="EF88" s="9">
        <v>0</v>
      </c>
      <c r="EG88" s="9">
        <v>0</v>
      </c>
      <c r="EH88" s="9">
        <v>0</v>
      </c>
      <c r="EI88" s="9">
        <v>0</v>
      </c>
      <c r="EJ88" s="9">
        <v>0</v>
      </c>
      <c r="EK88" s="9">
        <v>0</v>
      </c>
      <c r="EL88" s="9">
        <v>0</v>
      </c>
      <c r="EM88" s="9">
        <v>0</v>
      </c>
      <c r="EN88" s="9">
        <v>0</v>
      </c>
      <c r="EO88" s="31">
        <v>0</v>
      </c>
      <c r="EP88" s="9">
        <v>9378</v>
      </c>
      <c r="EQ88" s="9">
        <v>9378</v>
      </c>
      <c r="ER88" s="9">
        <v>9378</v>
      </c>
      <c r="ES88" s="9">
        <v>9378</v>
      </c>
      <c r="ET88" s="9">
        <v>9378</v>
      </c>
      <c r="EU88" s="9">
        <v>9378</v>
      </c>
      <c r="EV88" s="9">
        <v>9378</v>
      </c>
      <c r="EW88" s="9">
        <v>9378</v>
      </c>
      <c r="EX88" s="9">
        <v>9378</v>
      </c>
      <c r="EY88" s="9">
        <v>9378</v>
      </c>
      <c r="EZ88" s="9">
        <v>9378</v>
      </c>
      <c r="FA88" s="9">
        <v>9378</v>
      </c>
      <c r="FB88" s="31">
        <v>9378</v>
      </c>
      <c r="FC88" s="9">
        <v>10</v>
      </c>
      <c r="FD88" s="9">
        <v>10</v>
      </c>
      <c r="FE88" s="9">
        <v>10</v>
      </c>
      <c r="FF88" s="9">
        <v>10</v>
      </c>
      <c r="FG88" s="9">
        <v>10</v>
      </c>
      <c r="FH88" s="9">
        <v>10</v>
      </c>
      <c r="FI88" s="9">
        <v>10</v>
      </c>
      <c r="FJ88" s="9">
        <v>10</v>
      </c>
      <c r="FK88" s="9">
        <v>10</v>
      </c>
      <c r="FL88" s="9">
        <v>10</v>
      </c>
      <c r="FM88" s="9">
        <v>10</v>
      </c>
      <c r="FN88" s="9">
        <v>10</v>
      </c>
      <c r="FO88" s="31">
        <v>10</v>
      </c>
    </row>
    <row r="89" spans="2:171" x14ac:dyDescent="0.3">
      <c r="B89" s="7" t="s">
        <v>58</v>
      </c>
      <c r="C89" s="9">
        <v>26966</v>
      </c>
      <c r="D89" s="9">
        <v>26966</v>
      </c>
      <c r="E89" s="9">
        <v>26966</v>
      </c>
      <c r="F89" s="9">
        <v>26966</v>
      </c>
      <c r="G89" s="9">
        <v>26966</v>
      </c>
      <c r="H89" s="9">
        <v>26966</v>
      </c>
      <c r="I89" s="9">
        <v>26966</v>
      </c>
      <c r="J89" s="9">
        <v>26966</v>
      </c>
      <c r="K89" s="9">
        <v>26966</v>
      </c>
      <c r="L89" s="9">
        <v>26966</v>
      </c>
      <c r="M89" s="9">
        <v>26966</v>
      </c>
      <c r="N89" s="9">
        <v>26966</v>
      </c>
      <c r="O89" s="31">
        <v>26966</v>
      </c>
      <c r="P89" s="9">
        <v>31276</v>
      </c>
      <c r="Q89" s="9">
        <v>31276</v>
      </c>
      <c r="R89" s="9">
        <v>31276</v>
      </c>
      <c r="S89" s="9">
        <v>31276</v>
      </c>
      <c r="T89" s="9">
        <v>31276</v>
      </c>
      <c r="U89" s="9">
        <v>31276</v>
      </c>
      <c r="V89" s="9">
        <v>31276</v>
      </c>
      <c r="W89" s="9">
        <v>31276</v>
      </c>
      <c r="X89" s="9">
        <v>31276</v>
      </c>
      <c r="Y89" s="9">
        <v>31276</v>
      </c>
      <c r="Z89" s="9">
        <v>31276</v>
      </c>
      <c r="AA89" s="9">
        <v>31276</v>
      </c>
      <c r="AB89" s="31">
        <v>31276</v>
      </c>
      <c r="AC89" s="9">
        <v>34397</v>
      </c>
      <c r="AD89" s="9">
        <v>34397</v>
      </c>
      <c r="AE89" s="9">
        <v>34397</v>
      </c>
      <c r="AF89" s="9">
        <v>34397</v>
      </c>
      <c r="AG89" s="9">
        <v>34397</v>
      </c>
      <c r="AH89" s="9">
        <v>34397</v>
      </c>
      <c r="AI89" s="9">
        <v>34397</v>
      </c>
      <c r="AJ89" s="9">
        <v>34397</v>
      </c>
      <c r="AK89" s="9">
        <v>34397</v>
      </c>
      <c r="AL89" s="9">
        <v>34397</v>
      </c>
      <c r="AM89" s="9">
        <v>34397</v>
      </c>
      <c r="AN89" s="9">
        <v>34397</v>
      </c>
      <c r="AO89" s="31">
        <v>34397</v>
      </c>
      <c r="AP89" s="9">
        <v>31724</v>
      </c>
      <c r="AQ89" s="9">
        <v>31724</v>
      </c>
      <c r="AR89" s="9">
        <v>31724</v>
      </c>
      <c r="AS89" s="9">
        <v>31724</v>
      </c>
      <c r="AT89" s="9">
        <v>31724</v>
      </c>
      <c r="AU89" s="9">
        <v>31724</v>
      </c>
      <c r="AV89" s="9">
        <v>31724</v>
      </c>
      <c r="AW89" s="9">
        <v>31724</v>
      </c>
      <c r="AX89" s="9">
        <v>31724</v>
      </c>
      <c r="AY89" s="9">
        <v>31724</v>
      </c>
      <c r="AZ89" s="9">
        <v>31724</v>
      </c>
      <c r="BA89" s="9">
        <v>31724</v>
      </c>
      <c r="BB89" s="31">
        <v>31724</v>
      </c>
      <c r="BC89" s="9">
        <v>20520</v>
      </c>
      <c r="BD89" s="9">
        <v>20520</v>
      </c>
      <c r="BE89" s="9">
        <v>20520</v>
      </c>
      <c r="BF89" s="9">
        <v>20520</v>
      </c>
      <c r="BG89" s="9">
        <v>20520</v>
      </c>
      <c r="BH89" s="9">
        <v>20520</v>
      </c>
      <c r="BI89" s="9">
        <v>20520</v>
      </c>
      <c r="BJ89" s="9">
        <v>20520</v>
      </c>
      <c r="BK89" s="9">
        <v>20520</v>
      </c>
      <c r="BL89" s="9">
        <v>20520</v>
      </c>
      <c r="BM89" s="9">
        <v>20520</v>
      </c>
      <c r="BN89" s="9">
        <v>20520</v>
      </c>
      <c r="BO89" s="31">
        <v>20520</v>
      </c>
      <c r="BP89" s="9">
        <v>9271</v>
      </c>
      <c r="BQ89" s="9">
        <v>9271</v>
      </c>
      <c r="BR89" s="9">
        <v>9271</v>
      </c>
      <c r="BS89" s="9">
        <v>9271</v>
      </c>
      <c r="BT89" s="9">
        <v>9271</v>
      </c>
      <c r="BU89" s="9">
        <v>9271</v>
      </c>
      <c r="BV89" s="9">
        <v>9271</v>
      </c>
      <c r="BW89" s="9">
        <v>9271</v>
      </c>
      <c r="BX89" s="9">
        <v>9271</v>
      </c>
      <c r="BY89" s="9">
        <v>9271</v>
      </c>
      <c r="BZ89" s="9">
        <v>9271</v>
      </c>
      <c r="CA89" s="9">
        <v>9271</v>
      </c>
      <c r="CB89" s="31">
        <v>9271</v>
      </c>
      <c r="CC89" s="9">
        <v>9512</v>
      </c>
      <c r="CD89" s="9">
        <v>9512</v>
      </c>
      <c r="CE89" s="9">
        <v>9512</v>
      </c>
      <c r="CF89" s="9">
        <v>9512</v>
      </c>
      <c r="CG89" s="9">
        <v>9512</v>
      </c>
      <c r="CH89" s="9">
        <v>9512</v>
      </c>
      <c r="CI89" s="9">
        <v>9512</v>
      </c>
      <c r="CJ89" s="9">
        <v>9512</v>
      </c>
      <c r="CK89" s="9">
        <v>9512</v>
      </c>
      <c r="CL89" s="9">
        <v>9512</v>
      </c>
      <c r="CM89" s="9">
        <v>9512</v>
      </c>
      <c r="CN89" s="9">
        <v>9512</v>
      </c>
      <c r="CO89" s="31">
        <v>9512</v>
      </c>
      <c r="CP89" s="9">
        <v>13073</v>
      </c>
      <c r="CQ89" s="9">
        <v>13073</v>
      </c>
      <c r="CR89" s="9">
        <v>13073</v>
      </c>
      <c r="CS89" s="9">
        <v>13073</v>
      </c>
      <c r="CT89" s="9">
        <v>13073</v>
      </c>
      <c r="CU89" s="9">
        <v>13073</v>
      </c>
      <c r="CV89" s="9">
        <v>13073</v>
      </c>
      <c r="CW89" s="9">
        <v>13073</v>
      </c>
      <c r="CX89" s="9">
        <v>13073</v>
      </c>
      <c r="CY89" s="9">
        <v>13073</v>
      </c>
      <c r="CZ89" s="9">
        <v>13073</v>
      </c>
      <c r="DA89" s="9">
        <v>13073</v>
      </c>
      <c r="DB89" s="31">
        <v>13073</v>
      </c>
      <c r="DC89" s="9">
        <v>0</v>
      </c>
      <c r="DD89" s="9">
        <v>0</v>
      </c>
      <c r="DE89" s="9">
        <v>0</v>
      </c>
      <c r="DF89" s="9">
        <v>0</v>
      </c>
      <c r="DG89" s="9">
        <v>0</v>
      </c>
      <c r="DH89" s="9">
        <v>0</v>
      </c>
      <c r="DI89" s="9">
        <v>0</v>
      </c>
      <c r="DJ89" s="9">
        <v>0</v>
      </c>
      <c r="DK89" s="9">
        <v>0</v>
      </c>
      <c r="DL89" s="9">
        <v>0</v>
      </c>
      <c r="DM89" s="9">
        <v>0</v>
      </c>
      <c r="DN89" s="9">
        <v>0</v>
      </c>
      <c r="DO89" s="31">
        <v>0</v>
      </c>
      <c r="DP89" s="9">
        <v>9301250</v>
      </c>
      <c r="DQ89" s="9">
        <v>9301250</v>
      </c>
      <c r="DR89" s="9">
        <v>9301250</v>
      </c>
      <c r="DS89" s="9">
        <v>9301250</v>
      </c>
      <c r="DT89" s="9">
        <v>9301250</v>
      </c>
      <c r="DU89" s="9">
        <v>9301250</v>
      </c>
      <c r="DV89" s="9">
        <v>9301250</v>
      </c>
      <c r="DW89" s="9">
        <v>9301250</v>
      </c>
      <c r="DX89" s="9">
        <v>9301250</v>
      </c>
      <c r="DY89" s="9">
        <v>9301250</v>
      </c>
      <c r="DZ89" s="9">
        <v>9301250</v>
      </c>
      <c r="EA89" s="9">
        <v>9301250</v>
      </c>
      <c r="EB89" s="31">
        <v>9301250</v>
      </c>
      <c r="EC89" s="9">
        <v>0</v>
      </c>
      <c r="ED89" s="9">
        <v>0</v>
      </c>
      <c r="EE89" s="9">
        <v>0</v>
      </c>
      <c r="EF89" s="9">
        <v>0</v>
      </c>
      <c r="EG89" s="9">
        <v>0</v>
      </c>
      <c r="EH89" s="9">
        <v>0</v>
      </c>
      <c r="EI89" s="9">
        <v>0</v>
      </c>
      <c r="EJ89" s="9">
        <v>0</v>
      </c>
      <c r="EK89" s="9">
        <v>0</v>
      </c>
      <c r="EL89" s="9">
        <v>0</v>
      </c>
      <c r="EM89" s="9">
        <v>0</v>
      </c>
      <c r="EN89" s="9">
        <v>0</v>
      </c>
      <c r="EO89" s="31">
        <v>0</v>
      </c>
      <c r="EP89" s="9">
        <v>12504</v>
      </c>
      <c r="EQ89" s="9">
        <v>12504</v>
      </c>
      <c r="ER89" s="9">
        <v>12504</v>
      </c>
      <c r="ES89" s="9">
        <v>12504</v>
      </c>
      <c r="ET89" s="9">
        <v>12504</v>
      </c>
      <c r="EU89" s="9">
        <v>12504</v>
      </c>
      <c r="EV89" s="9">
        <v>12504</v>
      </c>
      <c r="EW89" s="9">
        <v>12504</v>
      </c>
      <c r="EX89" s="9">
        <v>12504</v>
      </c>
      <c r="EY89" s="9">
        <v>12504</v>
      </c>
      <c r="EZ89" s="9">
        <v>12504</v>
      </c>
      <c r="FA89" s="9">
        <v>12504</v>
      </c>
      <c r="FB89" s="31">
        <v>12504</v>
      </c>
      <c r="FC89" s="9">
        <v>10</v>
      </c>
      <c r="FD89" s="9">
        <v>10</v>
      </c>
      <c r="FE89" s="9">
        <v>10</v>
      </c>
      <c r="FF89" s="9">
        <v>10</v>
      </c>
      <c r="FG89" s="9">
        <v>10</v>
      </c>
      <c r="FH89" s="9">
        <v>10</v>
      </c>
      <c r="FI89" s="9">
        <v>10</v>
      </c>
      <c r="FJ89" s="9">
        <v>10</v>
      </c>
      <c r="FK89" s="9">
        <v>10</v>
      </c>
      <c r="FL89" s="9">
        <v>10</v>
      </c>
      <c r="FM89" s="9">
        <v>10</v>
      </c>
      <c r="FN89" s="9">
        <v>10</v>
      </c>
      <c r="FO89" s="31">
        <v>10</v>
      </c>
    </row>
    <row r="90" spans="2:171" x14ac:dyDescent="0.3">
      <c r="B90" s="7" t="s">
        <v>59</v>
      </c>
      <c r="C90" s="9">
        <v>18467</v>
      </c>
      <c r="D90" s="9">
        <v>18467</v>
      </c>
      <c r="E90" s="9">
        <v>18467</v>
      </c>
      <c r="F90" s="9">
        <v>18467</v>
      </c>
      <c r="G90" s="9">
        <v>18467</v>
      </c>
      <c r="H90" s="9">
        <v>18467</v>
      </c>
      <c r="I90" s="9">
        <v>18467</v>
      </c>
      <c r="J90" s="9">
        <v>18467</v>
      </c>
      <c r="K90" s="9">
        <v>18467</v>
      </c>
      <c r="L90" s="9">
        <v>18467</v>
      </c>
      <c r="M90" s="9">
        <v>18467</v>
      </c>
      <c r="N90" s="9">
        <v>18467</v>
      </c>
      <c r="O90" s="31">
        <v>18467</v>
      </c>
      <c r="P90" s="9">
        <v>20434</v>
      </c>
      <c r="Q90" s="9">
        <v>20434</v>
      </c>
      <c r="R90" s="9">
        <v>20434</v>
      </c>
      <c r="S90" s="9">
        <v>20434</v>
      </c>
      <c r="T90" s="9">
        <v>20434</v>
      </c>
      <c r="U90" s="9">
        <v>20434</v>
      </c>
      <c r="V90" s="9">
        <v>20434</v>
      </c>
      <c r="W90" s="9">
        <v>20434</v>
      </c>
      <c r="X90" s="9">
        <v>20434</v>
      </c>
      <c r="Y90" s="9">
        <v>20434</v>
      </c>
      <c r="Z90" s="9">
        <v>20434</v>
      </c>
      <c r="AA90" s="9">
        <v>20434</v>
      </c>
      <c r="AB90" s="31">
        <v>20434</v>
      </c>
      <c r="AC90" s="9">
        <v>22950</v>
      </c>
      <c r="AD90" s="9">
        <v>22950</v>
      </c>
      <c r="AE90" s="9">
        <v>22950</v>
      </c>
      <c r="AF90" s="9">
        <v>22950</v>
      </c>
      <c r="AG90" s="9">
        <v>22950</v>
      </c>
      <c r="AH90" s="9">
        <v>22950</v>
      </c>
      <c r="AI90" s="9">
        <v>22950</v>
      </c>
      <c r="AJ90" s="9">
        <v>22950</v>
      </c>
      <c r="AK90" s="9">
        <v>22950</v>
      </c>
      <c r="AL90" s="9">
        <v>22950</v>
      </c>
      <c r="AM90" s="9">
        <v>22950</v>
      </c>
      <c r="AN90" s="9">
        <v>22950</v>
      </c>
      <c r="AO90" s="31">
        <v>22950</v>
      </c>
      <c r="AP90" s="9">
        <v>22660</v>
      </c>
      <c r="AQ90" s="9">
        <v>22660</v>
      </c>
      <c r="AR90" s="9">
        <v>22660</v>
      </c>
      <c r="AS90" s="9">
        <v>22660</v>
      </c>
      <c r="AT90" s="9">
        <v>22660</v>
      </c>
      <c r="AU90" s="9">
        <v>22660</v>
      </c>
      <c r="AV90" s="9">
        <v>22660</v>
      </c>
      <c r="AW90" s="9">
        <v>22660</v>
      </c>
      <c r="AX90" s="9">
        <v>22660</v>
      </c>
      <c r="AY90" s="9">
        <v>22660</v>
      </c>
      <c r="AZ90" s="9">
        <v>22660</v>
      </c>
      <c r="BA90" s="9">
        <v>22660</v>
      </c>
      <c r="BB90" s="31">
        <v>22660</v>
      </c>
      <c r="BC90" s="9">
        <v>29190</v>
      </c>
      <c r="BD90" s="9">
        <v>29190</v>
      </c>
      <c r="BE90" s="9">
        <v>29190</v>
      </c>
      <c r="BF90" s="9">
        <v>29190</v>
      </c>
      <c r="BG90" s="9">
        <v>29190</v>
      </c>
      <c r="BH90" s="9">
        <v>29190</v>
      </c>
      <c r="BI90" s="9">
        <v>29190</v>
      </c>
      <c r="BJ90" s="9">
        <v>29190</v>
      </c>
      <c r="BK90" s="9">
        <v>29190</v>
      </c>
      <c r="BL90" s="9">
        <v>29190</v>
      </c>
      <c r="BM90" s="9">
        <v>29190</v>
      </c>
      <c r="BN90" s="9">
        <v>29190</v>
      </c>
      <c r="BO90" s="31">
        <v>29190</v>
      </c>
      <c r="BP90" s="9">
        <v>22583</v>
      </c>
      <c r="BQ90" s="9">
        <v>22583</v>
      </c>
      <c r="BR90" s="9">
        <v>22583</v>
      </c>
      <c r="BS90" s="9">
        <v>22583</v>
      </c>
      <c r="BT90" s="9">
        <v>22583</v>
      </c>
      <c r="BU90" s="9">
        <v>22583</v>
      </c>
      <c r="BV90" s="9">
        <v>22583</v>
      </c>
      <c r="BW90" s="9">
        <v>22583</v>
      </c>
      <c r="BX90" s="9">
        <v>22583</v>
      </c>
      <c r="BY90" s="9">
        <v>22583</v>
      </c>
      <c r="BZ90" s="9">
        <v>22583</v>
      </c>
      <c r="CA90" s="9">
        <v>22583</v>
      </c>
      <c r="CB90" s="31">
        <v>22583</v>
      </c>
      <c r="CC90" s="9">
        <v>23171</v>
      </c>
      <c r="CD90" s="9">
        <v>23171</v>
      </c>
      <c r="CE90" s="9">
        <v>23171</v>
      </c>
      <c r="CF90" s="9">
        <v>23171</v>
      </c>
      <c r="CG90" s="9">
        <v>23171</v>
      </c>
      <c r="CH90" s="9">
        <v>23171</v>
      </c>
      <c r="CI90" s="9">
        <v>23171</v>
      </c>
      <c r="CJ90" s="9">
        <v>23171</v>
      </c>
      <c r="CK90" s="9">
        <v>23171</v>
      </c>
      <c r="CL90" s="9">
        <v>23171</v>
      </c>
      <c r="CM90" s="9">
        <v>23171</v>
      </c>
      <c r="CN90" s="9">
        <v>23171</v>
      </c>
      <c r="CO90" s="31">
        <v>23171</v>
      </c>
      <c r="CP90" s="9">
        <v>18558</v>
      </c>
      <c r="CQ90" s="9">
        <v>18558</v>
      </c>
      <c r="CR90" s="9">
        <v>18558</v>
      </c>
      <c r="CS90" s="9">
        <v>18558</v>
      </c>
      <c r="CT90" s="9">
        <v>18558</v>
      </c>
      <c r="CU90" s="9">
        <v>18558</v>
      </c>
      <c r="CV90" s="9">
        <v>18558</v>
      </c>
      <c r="CW90" s="9">
        <v>18558</v>
      </c>
      <c r="CX90" s="9">
        <v>18558</v>
      </c>
      <c r="CY90" s="9">
        <v>18558</v>
      </c>
      <c r="CZ90" s="9">
        <v>18558</v>
      </c>
      <c r="DA90" s="9">
        <v>18558</v>
      </c>
      <c r="DB90" s="31">
        <v>18558</v>
      </c>
      <c r="DC90" s="9">
        <v>0</v>
      </c>
      <c r="DD90" s="9">
        <v>0</v>
      </c>
      <c r="DE90" s="9">
        <v>0</v>
      </c>
      <c r="DF90" s="9">
        <v>0</v>
      </c>
      <c r="DG90" s="9">
        <v>0</v>
      </c>
      <c r="DH90" s="9">
        <v>0</v>
      </c>
      <c r="DI90" s="9">
        <v>0</v>
      </c>
      <c r="DJ90" s="9">
        <v>0</v>
      </c>
      <c r="DK90" s="9">
        <v>0</v>
      </c>
      <c r="DL90" s="9">
        <v>0</v>
      </c>
      <c r="DM90" s="9">
        <v>0</v>
      </c>
      <c r="DN90" s="9">
        <v>0</v>
      </c>
      <c r="DO90" s="31">
        <v>0</v>
      </c>
      <c r="DP90" s="9">
        <v>0</v>
      </c>
      <c r="DQ90" s="9">
        <v>0</v>
      </c>
      <c r="DR90" s="9">
        <v>0</v>
      </c>
      <c r="DS90" s="9">
        <v>0</v>
      </c>
      <c r="DT90" s="9">
        <v>0</v>
      </c>
      <c r="DU90" s="9">
        <v>0</v>
      </c>
      <c r="DV90" s="9">
        <v>0</v>
      </c>
      <c r="DW90" s="9">
        <v>0</v>
      </c>
      <c r="DX90" s="9">
        <v>0</v>
      </c>
      <c r="DY90" s="9">
        <v>0</v>
      </c>
      <c r="DZ90" s="9">
        <v>0</v>
      </c>
      <c r="EA90" s="9">
        <v>0</v>
      </c>
      <c r="EB90" s="31">
        <v>0</v>
      </c>
      <c r="EC90" s="9">
        <v>0</v>
      </c>
      <c r="ED90" s="9">
        <v>0</v>
      </c>
      <c r="EE90" s="9">
        <v>0</v>
      </c>
      <c r="EF90" s="9">
        <v>0</v>
      </c>
      <c r="EG90" s="9">
        <v>0</v>
      </c>
      <c r="EH90" s="9">
        <v>0</v>
      </c>
      <c r="EI90" s="9">
        <v>0</v>
      </c>
      <c r="EJ90" s="9">
        <v>0</v>
      </c>
      <c r="EK90" s="9">
        <v>0</v>
      </c>
      <c r="EL90" s="9">
        <v>0</v>
      </c>
      <c r="EM90" s="9">
        <v>0</v>
      </c>
      <c r="EN90" s="9">
        <v>0</v>
      </c>
      <c r="EO90" s="31">
        <v>0</v>
      </c>
      <c r="EP90" s="9">
        <v>7294</v>
      </c>
      <c r="EQ90" s="9">
        <v>7294</v>
      </c>
      <c r="ER90" s="9">
        <v>7294</v>
      </c>
      <c r="ES90" s="9">
        <v>7294</v>
      </c>
      <c r="ET90" s="9">
        <v>7294</v>
      </c>
      <c r="EU90" s="9">
        <v>7294</v>
      </c>
      <c r="EV90" s="9">
        <v>7294</v>
      </c>
      <c r="EW90" s="9">
        <v>7294</v>
      </c>
      <c r="EX90" s="9">
        <v>7294</v>
      </c>
      <c r="EY90" s="9">
        <v>7294</v>
      </c>
      <c r="EZ90" s="9">
        <v>7294</v>
      </c>
      <c r="FA90" s="9">
        <v>7294</v>
      </c>
      <c r="FB90" s="31">
        <v>7294</v>
      </c>
      <c r="FC90" s="9">
        <v>10</v>
      </c>
      <c r="FD90" s="9">
        <v>10</v>
      </c>
      <c r="FE90" s="9">
        <v>10</v>
      </c>
      <c r="FF90" s="9">
        <v>10</v>
      </c>
      <c r="FG90" s="9">
        <v>10</v>
      </c>
      <c r="FH90" s="9">
        <v>10</v>
      </c>
      <c r="FI90" s="9">
        <v>10</v>
      </c>
      <c r="FJ90" s="9">
        <v>10</v>
      </c>
      <c r="FK90" s="9">
        <v>10</v>
      </c>
      <c r="FL90" s="9">
        <v>10</v>
      </c>
      <c r="FM90" s="9">
        <v>10</v>
      </c>
      <c r="FN90" s="9">
        <v>10</v>
      </c>
      <c r="FO90" s="31">
        <v>10</v>
      </c>
    </row>
    <row r="91" spans="2:171" x14ac:dyDescent="0.3">
      <c r="B91" s="7" t="s">
        <v>60</v>
      </c>
      <c r="C91" s="9">
        <v>10805</v>
      </c>
      <c r="D91" s="9">
        <v>10805</v>
      </c>
      <c r="E91" s="9">
        <v>10805</v>
      </c>
      <c r="F91" s="9">
        <v>10805</v>
      </c>
      <c r="G91" s="9">
        <v>10805</v>
      </c>
      <c r="H91" s="9">
        <v>10805</v>
      </c>
      <c r="I91" s="9">
        <v>10805</v>
      </c>
      <c r="J91" s="9">
        <v>10805</v>
      </c>
      <c r="K91" s="9">
        <v>10805</v>
      </c>
      <c r="L91" s="9">
        <v>10805</v>
      </c>
      <c r="M91" s="9">
        <v>10805</v>
      </c>
      <c r="N91" s="9">
        <v>10805</v>
      </c>
      <c r="O91" s="31">
        <v>10805</v>
      </c>
      <c r="P91" s="9">
        <v>11634</v>
      </c>
      <c r="Q91" s="9">
        <v>11634</v>
      </c>
      <c r="R91" s="9">
        <v>11634</v>
      </c>
      <c r="S91" s="9">
        <v>11634</v>
      </c>
      <c r="T91" s="9">
        <v>11634</v>
      </c>
      <c r="U91" s="9">
        <v>11634</v>
      </c>
      <c r="V91" s="9">
        <v>11634</v>
      </c>
      <c r="W91" s="9">
        <v>11634</v>
      </c>
      <c r="X91" s="9">
        <v>11634</v>
      </c>
      <c r="Y91" s="9">
        <v>11634</v>
      </c>
      <c r="Z91" s="9">
        <v>11634</v>
      </c>
      <c r="AA91" s="9">
        <v>11634</v>
      </c>
      <c r="AB91" s="31">
        <v>11634</v>
      </c>
      <c r="AC91" s="9">
        <v>635947</v>
      </c>
      <c r="AD91" s="9">
        <v>635947</v>
      </c>
      <c r="AE91" s="9">
        <v>635947</v>
      </c>
      <c r="AF91" s="9">
        <v>635947</v>
      </c>
      <c r="AG91" s="9">
        <v>635947</v>
      </c>
      <c r="AH91" s="9">
        <v>635947</v>
      </c>
      <c r="AI91" s="9">
        <v>635947</v>
      </c>
      <c r="AJ91" s="9">
        <v>635947</v>
      </c>
      <c r="AK91" s="9">
        <v>635947</v>
      </c>
      <c r="AL91" s="9">
        <v>635947</v>
      </c>
      <c r="AM91" s="9">
        <v>635947</v>
      </c>
      <c r="AN91" s="9">
        <v>635947</v>
      </c>
      <c r="AO91" s="31">
        <v>635947</v>
      </c>
      <c r="AP91" s="9">
        <v>14420</v>
      </c>
      <c r="AQ91" s="9">
        <v>14420</v>
      </c>
      <c r="AR91" s="9">
        <v>14420</v>
      </c>
      <c r="AS91" s="9">
        <v>14420</v>
      </c>
      <c r="AT91" s="9">
        <v>14420</v>
      </c>
      <c r="AU91" s="9">
        <v>14420</v>
      </c>
      <c r="AV91" s="9">
        <v>14420</v>
      </c>
      <c r="AW91" s="9">
        <v>14420</v>
      </c>
      <c r="AX91" s="9">
        <v>14420</v>
      </c>
      <c r="AY91" s="9">
        <v>14420</v>
      </c>
      <c r="AZ91" s="9">
        <v>14420</v>
      </c>
      <c r="BA91" s="9">
        <v>14420</v>
      </c>
      <c r="BB91" s="31">
        <v>14420</v>
      </c>
      <c r="BC91" s="9">
        <v>16931</v>
      </c>
      <c r="BD91" s="9">
        <v>16931</v>
      </c>
      <c r="BE91" s="9">
        <v>16931</v>
      </c>
      <c r="BF91" s="9">
        <v>16931</v>
      </c>
      <c r="BG91" s="9">
        <v>16931</v>
      </c>
      <c r="BH91" s="9">
        <v>16931</v>
      </c>
      <c r="BI91" s="9">
        <v>16931</v>
      </c>
      <c r="BJ91" s="9">
        <v>16931</v>
      </c>
      <c r="BK91" s="9">
        <v>16931</v>
      </c>
      <c r="BL91" s="9">
        <v>16931</v>
      </c>
      <c r="BM91" s="9">
        <v>16931</v>
      </c>
      <c r="BN91" s="9">
        <v>16931</v>
      </c>
      <c r="BO91" s="31">
        <v>16931</v>
      </c>
      <c r="BP91" s="9">
        <v>13745</v>
      </c>
      <c r="BQ91" s="9">
        <v>13745</v>
      </c>
      <c r="BR91" s="9">
        <v>13745</v>
      </c>
      <c r="BS91" s="9">
        <v>13745</v>
      </c>
      <c r="BT91" s="9">
        <v>13745</v>
      </c>
      <c r="BU91" s="9">
        <v>13745</v>
      </c>
      <c r="BV91" s="9">
        <v>13745</v>
      </c>
      <c r="BW91" s="9">
        <v>13745</v>
      </c>
      <c r="BX91" s="9">
        <v>13745</v>
      </c>
      <c r="BY91" s="9">
        <v>13745</v>
      </c>
      <c r="BZ91" s="9">
        <v>13745</v>
      </c>
      <c r="CA91" s="9">
        <v>13745</v>
      </c>
      <c r="CB91" s="31">
        <v>13745</v>
      </c>
      <c r="CC91" s="9">
        <v>313243</v>
      </c>
      <c r="CD91" s="9">
        <v>313243</v>
      </c>
      <c r="CE91" s="9">
        <v>313243</v>
      </c>
      <c r="CF91" s="9">
        <v>313243</v>
      </c>
      <c r="CG91" s="9">
        <v>313243</v>
      </c>
      <c r="CH91" s="9">
        <v>313243</v>
      </c>
      <c r="CI91" s="9">
        <v>313243</v>
      </c>
      <c r="CJ91" s="9">
        <v>313243</v>
      </c>
      <c r="CK91" s="9">
        <v>313243</v>
      </c>
      <c r="CL91" s="9">
        <v>313243</v>
      </c>
      <c r="CM91" s="9">
        <v>313243</v>
      </c>
      <c r="CN91" s="9">
        <v>313243</v>
      </c>
      <c r="CO91" s="31">
        <v>313243</v>
      </c>
      <c r="CP91" s="9">
        <v>13786</v>
      </c>
      <c r="CQ91" s="9">
        <v>13786</v>
      </c>
      <c r="CR91" s="9">
        <v>13786</v>
      </c>
      <c r="CS91" s="9">
        <v>13786</v>
      </c>
      <c r="CT91" s="9">
        <v>13786</v>
      </c>
      <c r="CU91" s="9">
        <v>13786</v>
      </c>
      <c r="CV91" s="9">
        <v>13786</v>
      </c>
      <c r="CW91" s="9">
        <v>13786</v>
      </c>
      <c r="CX91" s="9">
        <v>13786</v>
      </c>
      <c r="CY91" s="9">
        <v>13786</v>
      </c>
      <c r="CZ91" s="9">
        <v>13786</v>
      </c>
      <c r="DA91" s="9">
        <v>13786</v>
      </c>
      <c r="DB91" s="31">
        <v>13786</v>
      </c>
      <c r="DC91" s="9">
        <v>0</v>
      </c>
      <c r="DD91" s="9">
        <v>0</v>
      </c>
      <c r="DE91" s="9">
        <v>0</v>
      </c>
      <c r="DF91" s="9">
        <v>0</v>
      </c>
      <c r="DG91" s="9">
        <v>0</v>
      </c>
      <c r="DH91" s="9">
        <v>0</v>
      </c>
      <c r="DI91" s="9">
        <v>0</v>
      </c>
      <c r="DJ91" s="9">
        <v>0</v>
      </c>
      <c r="DK91" s="9">
        <v>0</v>
      </c>
      <c r="DL91" s="9">
        <v>0</v>
      </c>
      <c r="DM91" s="9">
        <v>0</v>
      </c>
      <c r="DN91" s="9">
        <v>0</v>
      </c>
      <c r="DO91" s="31">
        <v>0</v>
      </c>
      <c r="DP91" s="9">
        <v>0</v>
      </c>
      <c r="DQ91" s="9">
        <v>0</v>
      </c>
      <c r="DR91" s="9">
        <v>0</v>
      </c>
      <c r="DS91" s="9">
        <v>0</v>
      </c>
      <c r="DT91" s="9">
        <v>0</v>
      </c>
      <c r="DU91" s="9">
        <v>0</v>
      </c>
      <c r="DV91" s="9">
        <v>0</v>
      </c>
      <c r="DW91" s="9">
        <v>0</v>
      </c>
      <c r="DX91" s="9">
        <v>0</v>
      </c>
      <c r="DY91" s="9">
        <v>0</v>
      </c>
      <c r="DZ91" s="9">
        <v>0</v>
      </c>
      <c r="EA91" s="9">
        <v>0</v>
      </c>
      <c r="EB91" s="31">
        <v>0</v>
      </c>
      <c r="EC91" s="9">
        <v>0</v>
      </c>
      <c r="ED91" s="9">
        <v>0</v>
      </c>
      <c r="EE91" s="9">
        <v>0</v>
      </c>
      <c r="EF91" s="9">
        <v>0</v>
      </c>
      <c r="EG91" s="9">
        <v>0</v>
      </c>
      <c r="EH91" s="9">
        <v>0</v>
      </c>
      <c r="EI91" s="9">
        <v>0</v>
      </c>
      <c r="EJ91" s="9">
        <v>0</v>
      </c>
      <c r="EK91" s="9">
        <v>0</v>
      </c>
      <c r="EL91" s="9">
        <v>0</v>
      </c>
      <c r="EM91" s="9">
        <v>0</v>
      </c>
      <c r="EN91" s="9">
        <v>0</v>
      </c>
      <c r="EO91" s="31">
        <v>0</v>
      </c>
      <c r="EP91" s="9">
        <v>6200</v>
      </c>
      <c r="EQ91" s="9">
        <v>6200</v>
      </c>
      <c r="ER91" s="9">
        <v>6200</v>
      </c>
      <c r="ES91" s="9">
        <v>6200</v>
      </c>
      <c r="ET91" s="9">
        <v>6200</v>
      </c>
      <c r="EU91" s="9">
        <v>6200</v>
      </c>
      <c r="EV91" s="9">
        <v>6200</v>
      </c>
      <c r="EW91" s="9">
        <v>6200</v>
      </c>
      <c r="EX91" s="9">
        <v>6200</v>
      </c>
      <c r="EY91" s="9">
        <v>6200</v>
      </c>
      <c r="EZ91" s="9">
        <v>6200</v>
      </c>
      <c r="FA91" s="9">
        <v>6200</v>
      </c>
      <c r="FB91" s="31">
        <v>6200</v>
      </c>
      <c r="FC91" s="9">
        <v>10</v>
      </c>
      <c r="FD91" s="9">
        <v>10</v>
      </c>
      <c r="FE91" s="9">
        <v>10</v>
      </c>
      <c r="FF91" s="9">
        <v>10</v>
      </c>
      <c r="FG91" s="9">
        <v>10</v>
      </c>
      <c r="FH91" s="9">
        <v>10</v>
      </c>
      <c r="FI91" s="9">
        <v>10</v>
      </c>
      <c r="FJ91" s="9">
        <v>10</v>
      </c>
      <c r="FK91" s="9">
        <v>10</v>
      </c>
      <c r="FL91" s="9">
        <v>10</v>
      </c>
      <c r="FM91" s="9">
        <v>10</v>
      </c>
      <c r="FN91" s="9">
        <v>10</v>
      </c>
      <c r="FO91" s="31">
        <v>10</v>
      </c>
    </row>
    <row r="92" spans="2:171" x14ac:dyDescent="0.3">
      <c r="B92" s="7" t="s">
        <v>61</v>
      </c>
      <c r="C92" s="9">
        <v>10825</v>
      </c>
      <c r="D92" s="9">
        <v>10825</v>
      </c>
      <c r="E92" s="9">
        <v>10825</v>
      </c>
      <c r="F92" s="9">
        <v>10825</v>
      </c>
      <c r="G92" s="9">
        <v>10825</v>
      </c>
      <c r="H92" s="9">
        <v>10825</v>
      </c>
      <c r="I92" s="9">
        <v>10825</v>
      </c>
      <c r="J92" s="9">
        <v>10825</v>
      </c>
      <c r="K92" s="9">
        <v>10825</v>
      </c>
      <c r="L92" s="9">
        <v>10825</v>
      </c>
      <c r="M92" s="9">
        <v>10825</v>
      </c>
      <c r="N92" s="9">
        <v>10825</v>
      </c>
      <c r="O92" s="31">
        <v>10825</v>
      </c>
      <c r="P92" s="9">
        <v>12043</v>
      </c>
      <c r="Q92" s="9">
        <v>12043</v>
      </c>
      <c r="R92" s="9">
        <v>12043</v>
      </c>
      <c r="S92" s="9">
        <v>12043</v>
      </c>
      <c r="T92" s="9">
        <v>12043</v>
      </c>
      <c r="U92" s="9">
        <v>12043</v>
      </c>
      <c r="V92" s="9">
        <v>12043</v>
      </c>
      <c r="W92" s="9">
        <v>12043</v>
      </c>
      <c r="X92" s="9">
        <v>12043</v>
      </c>
      <c r="Y92" s="9">
        <v>12043</v>
      </c>
      <c r="Z92" s="9">
        <v>12043</v>
      </c>
      <c r="AA92" s="9">
        <v>12043</v>
      </c>
      <c r="AB92" s="31">
        <v>12043</v>
      </c>
      <c r="AC92" s="9">
        <v>14050</v>
      </c>
      <c r="AD92" s="9">
        <v>14050</v>
      </c>
      <c r="AE92" s="9">
        <v>14050</v>
      </c>
      <c r="AF92" s="9">
        <v>14050</v>
      </c>
      <c r="AG92" s="9">
        <v>14050</v>
      </c>
      <c r="AH92" s="9">
        <v>14050</v>
      </c>
      <c r="AI92" s="9">
        <v>14050</v>
      </c>
      <c r="AJ92" s="9">
        <v>14050</v>
      </c>
      <c r="AK92" s="9">
        <v>14050</v>
      </c>
      <c r="AL92" s="9">
        <v>14050</v>
      </c>
      <c r="AM92" s="9">
        <v>14050</v>
      </c>
      <c r="AN92" s="9">
        <v>14050</v>
      </c>
      <c r="AO92" s="31">
        <v>14050</v>
      </c>
      <c r="AP92" s="9">
        <v>13390</v>
      </c>
      <c r="AQ92" s="9">
        <v>13390</v>
      </c>
      <c r="AR92" s="9">
        <v>13390</v>
      </c>
      <c r="AS92" s="9">
        <v>13390</v>
      </c>
      <c r="AT92" s="9">
        <v>13390</v>
      </c>
      <c r="AU92" s="9">
        <v>13390</v>
      </c>
      <c r="AV92" s="9">
        <v>13390</v>
      </c>
      <c r="AW92" s="9">
        <v>13390</v>
      </c>
      <c r="AX92" s="9">
        <v>13390</v>
      </c>
      <c r="AY92" s="9">
        <v>13390</v>
      </c>
      <c r="AZ92" s="9">
        <v>13390</v>
      </c>
      <c r="BA92" s="9">
        <v>13390</v>
      </c>
      <c r="BB92" s="31">
        <v>13390</v>
      </c>
      <c r="BC92" s="9">
        <v>14594</v>
      </c>
      <c r="BD92" s="9">
        <v>14594</v>
      </c>
      <c r="BE92" s="9">
        <v>14594</v>
      </c>
      <c r="BF92" s="9">
        <v>14594</v>
      </c>
      <c r="BG92" s="9">
        <v>14594</v>
      </c>
      <c r="BH92" s="9">
        <v>14594</v>
      </c>
      <c r="BI92" s="9">
        <v>14594</v>
      </c>
      <c r="BJ92" s="9">
        <v>14594</v>
      </c>
      <c r="BK92" s="9">
        <v>14594</v>
      </c>
      <c r="BL92" s="9">
        <v>14594</v>
      </c>
      <c r="BM92" s="9">
        <v>14594</v>
      </c>
      <c r="BN92" s="9">
        <v>14594</v>
      </c>
      <c r="BO92" s="31">
        <v>14594</v>
      </c>
      <c r="BP92" s="9">
        <v>6677</v>
      </c>
      <c r="BQ92" s="9">
        <v>6677</v>
      </c>
      <c r="BR92" s="9">
        <v>6677</v>
      </c>
      <c r="BS92" s="9">
        <v>6677</v>
      </c>
      <c r="BT92" s="9">
        <v>6677</v>
      </c>
      <c r="BU92" s="9">
        <v>6677</v>
      </c>
      <c r="BV92" s="9">
        <v>6677</v>
      </c>
      <c r="BW92" s="9">
        <v>6677</v>
      </c>
      <c r="BX92" s="9">
        <v>6677</v>
      </c>
      <c r="BY92" s="9">
        <v>6677</v>
      </c>
      <c r="BZ92" s="9">
        <v>6677</v>
      </c>
      <c r="CA92" s="9">
        <v>6677</v>
      </c>
      <c r="CB92" s="31">
        <v>6677</v>
      </c>
      <c r="CC92" s="9">
        <v>6851</v>
      </c>
      <c r="CD92" s="9">
        <v>6851</v>
      </c>
      <c r="CE92" s="9">
        <v>6851</v>
      </c>
      <c r="CF92" s="9">
        <v>6851</v>
      </c>
      <c r="CG92" s="9">
        <v>6851</v>
      </c>
      <c r="CH92" s="9">
        <v>6851</v>
      </c>
      <c r="CI92" s="9">
        <v>6851</v>
      </c>
      <c r="CJ92" s="9">
        <v>6851</v>
      </c>
      <c r="CK92" s="9">
        <v>6851</v>
      </c>
      <c r="CL92" s="9">
        <v>6851</v>
      </c>
      <c r="CM92" s="9">
        <v>6851</v>
      </c>
      <c r="CN92" s="9">
        <v>6851</v>
      </c>
      <c r="CO92" s="31">
        <v>6851</v>
      </c>
      <c r="CP92" s="9">
        <v>9479</v>
      </c>
      <c r="CQ92" s="9">
        <v>9479</v>
      </c>
      <c r="CR92" s="9">
        <v>9479</v>
      </c>
      <c r="CS92" s="9">
        <v>9479</v>
      </c>
      <c r="CT92" s="9">
        <v>9479</v>
      </c>
      <c r="CU92" s="9">
        <v>9479</v>
      </c>
      <c r="CV92" s="9">
        <v>9479</v>
      </c>
      <c r="CW92" s="9">
        <v>9479</v>
      </c>
      <c r="CX92" s="9">
        <v>9479</v>
      </c>
      <c r="CY92" s="9">
        <v>9479</v>
      </c>
      <c r="CZ92" s="9">
        <v>9479</v>
      </c>
      <c r="DA92" s="9">
        <v>9479</v>
      </c>
      <c r="DB92" s="31">
        <v>9479</v>
      </c>
      <c r="DC92" s="9">
        <v>0</v>
      </c>
      <c r="DD92" s="9">
        <v>0</v>
      </c>
      <c r="DE92" s="9">
        <v>0</v>
      </c>
      <c r="DF92" s="9">
        <v>0</v>
      </c>
      <c r="DG92" s="9">
        <v>0</v>
      </c>
      <c r="DH92" s="9">
        <v>0</v>
      </c>
      <c r="DI92" s="9">
        <v>0</v>
      </c>
      <c r="DJ92" s="9">
        <v>0</v>
      </c>
      <c r="DK92" s="9">
        <v>0</v>
      </c>
      <c r="DL92" s="9">
        <v>0</v>
      </c>
      <c r="DM92" s="9">
        <v>0</v>
      </c>
      <c r="DN92" s="9">
        <v>0</v>
      </c>
      <c r="DO92" s="31">
        <v>0</v>
      </c>
      <c r="DP92" s="9">
        <v>0</v>
      </c>
      <c r="DQ92" s="9">
        <v>0</v>
      </c>
      <c r="DR92" s="9">
        <v>0</v>
      </c>
      <c r="DS92" s="9">
        <v>0</v>
      </c>
      <c r="DT92" s="9">
        <v>0</v>
      </c>
      <c r="DU92" s="9">
        <v>0</v>
      </c>
      <c r="DV92" s="9">
        <v>0</v>
      </c>
      <c r="DW92" s="9">
        <v>0</v>
      </c>
      <c r="DX92" s="9">
        <v>0</v>
      </c>
      <c r="DY92" s="9">
        <v>0</v>
      </c>
      <c r="DZ92" s="9">
        <v>0</v>
      </c>
      <c r="EA92" s="9">
        <v>0</v>
      </c>
      <c r="EB92" s="31">
        <v>0</v>
      </c>
      <c r="EC92" s="9">
        <v>0</v>
      </c>
      <c r="ED92" s="9">
        <v>0</v>
      </c>
      <c r="EE92" s="9">
        <v>0</v>
      </c>
      <c r="EF92" s="9">
        <v>0</v>
      </c>
      <c r="EG92" s="9">
        <v>0</v>
      </c>
      <c r="EH92" s="9">
        <v>0</v>
      </c>
      <c r="EI92" s="9">
        <v>0</v>
      </c>
      <c r="EJ92" s="9">
        <v>0</v>
      </c>
      <c r="EK92" s="9">
        <v>0</v>
      </c>
      <c r="EL92" s="9">
        <v>0</v>
      </c>
      <c r="EM92" s="9">
        <v>0</v>
      </c>
      <c r="EN92" s="9">
        <v>0</v>
      </c>
      <c r="EO92" s="31">
        <v>0</v>
      </c>
      <c r="EP92" s="9">
        <v>2084</v>
      </c>
      <c r="EQ92" s="9">
        <v>2084</v>
      </c>
      <c r="ER92" s="9">
        <v>2084</v>
      </c>
      <c r="ES92" s="9">
        <v>2084</v>
      </c>
      <c r="ET92" s="9">
        <v>2084</v>
      </c>
      <c r="EU92" s="9">
        <v>2084</v>
      </c>
      <c r="EV92" s="9">
        <v>2084</v>
      </c>
      <c r="EW92" s="9">
        <v>2084</v>
      </c>
      <c r="EX92" s="9">
        <v>2084</v>
      </c>
      <c r="EY92" s="9">
        <v>2084</v>
      </c>
      <c r="EZ92" s="9">
        <v>2084</v>
      </c>
      <c r="FA92" s="9">
        <v>2084</v>
      </c>
      <c r="FB92" s="31">
        <v>2084</v>
      </c>
      <c r="FC92" s="9">
        <v>10</v>
      </c>
      <c r="FD92" s="9">
        <v>10</v>
      </c>
      <c r="FE92" s="9">
        <v>10</v>
      </c>
      <c r="FF92" s="9">
        <v>10</v>
      </c>
      <c r="FG92" s="9">
        <v>10</v>
      </c>
      <c r="FH92" s="9">
        <v>10</v>
      </c>
      <c r="FI92" s="9">
        <v>10</v>
      </c>
      <c r="FJ92" s="9">
        <v>10</v>
      </c>
      <c r="FK92" s="9">
        <v>10</v>
      </c>
      <c r="FL92" s="9">
        <v>10</v>
      </c>
      <c r="FM92" s="9">
        <v>10</v>
      </c>
      <c r="FN92" s="9">
        <v>10</v>
      </c>
      <c r="FO92" s="31">
        <v>10</v>
      </c>
    </row>
    <row r="93" spans="2:171" x14ac:dyDescent="0.3">
      <c r="B93" s="7" t="s">
        <v>62</v>
      </c>
      <c r="C93" s="9">
        <v>8561</v>
      </c>
      <c r="D93" s="9">
        <v>8561</v>
      </c>
      <c r="E93" s="9">
        <v>8561</v>
      </c>
      <c r="F93" s="9">
        <v>8561</v>
      </c>
      <c r="G93" s="9">
        <v>8561</v>
      </c>
      <c r="H93" s="9">
        <v>8561</v>
      </c>
      <c r="I93" s="9">
        <v>8561</v>
      </c>
      <c r="J93" s="9">
        <v>8561</v>
      </c>
      <c r="K93" s="9">
        <v>8561</v>
      </c>
      <c r="L93" s="9">
        <v>8561</v>
      </c>
      <c r="M93" s="9">
        <v>8561</v>
      </c>
      <c r="N93" s="9">
        <v>8561</v>
      </c>
      <c r="O93" s="31">
        <v>8561</v>
      </c>
      <c r="P93" s="9">
        <v>15987</v>
      </c>
      <c r="Q93" s="9">
        <v>15987</v>
      </c>
      <c r="R93" s="9">
        <v>15987</v>
      </c>
      <c r="S93" s="9">
        <v>15987</v>
      </c>
      <c r="T93" s="9">
        <v>15987</v>
      </c>
      <c r="U93" s="9">
        <v>15987</v>
      </c>
      <c r="V93" s="9">
        <v>15987</v>
      </c>
      <c r="W93" s="9">
        <v>15987</v>
      </c>
      <c r="X93" s="9">
        <v>15987</v>
      </c>
      <c r="Y93" s="9">
        <v>15987</v>
      </c>
      <c r="Z93" s="9">
        <v>15987</v>
      </c>
      <c r="AA93" s="9">
        <v>15987</v>
      </c>
      <c r="AB93" s="31">
        <v>15987</v>
      </c>
      <c r="AC93" s="9">
        <v>17793</v>
      </c>
      <c r="AD93" s="9">
        <v>17793</v>
      </c>
      <c r="AE93" s="9">
        <v>17793</v>
      </c>
      <c r="AF93" s="9">
        <v>17793</v>
      </c>
      <c r="AG93" s="9">
        <v>17793</v>
      </c>
      <c r="AH93" s="9">
        <v>17793</v>
      </c>
      <c r="AI93" s="9">
        <v>17793</v>
      </c>
      <c r="AJ93" s="9">
        <v>17793</v>
      </c>
      <c r="AK93" s="9">
        <v>17793</v>
      </c>
      <c r="AL93" s="9">
        <v>17793</v>
      </c>
      <c r="AM93" s="9">
        <v>17793</v>
      </c>
      <c r="AN93" s="9">
        <v>17793</v>
      </c>
      <c r="AO93" s="31">
        <v>17793</v>
      </c>
      <c r="AP93" s="9">
        <v>12360</v>
      </c>
      <c r="AQ93" s="9">
        <v>12360</v>
      </c>
      <c r="AR93" s="9">
        <v>12360</v>
      </c>
      <c r="AS93" s="9">
        <v>12360</v>
      </c>
      <c r="AT93" s="9">
        <v>12360</v>
      </c>
      <c r="AU93" s="9">
        <v>12360</v>
      </c>
      <c r="AV93" s="9">
        <v>12360</v>
      </c>
      <c r="AW93" s="9">
        <v>12360</v>
      </c>
      <c r="AX93" s="9">
        <v>12360</v>
      </c>
      <c r="AY93" s="9">
        <v>12360</v>
      </c>
      <c r="AZ93" s="9">
        <v>12360</v>
      </c>
      <c r="BA93" s="9">
        <v>12360</v>
      </c>
      <c r="BB93" s="31">
        <v>12360</v>
      </c>
      <c r="BC93" s="9">
        <v>12681</v>
      </c>
      <c r="BD93" s="9">
        <v>12681</v>
      </c>
      <c r="BE93" s="9">
        <v>12681</v>
      </c>
      <c r="BF93" s="9">
        <v>12681</v>
      </c>
      <c r="BG93" s="9">
        <v>12681</v>
      </c>
      <c r="BH93" s="9">
        <v>12681</v>
      </c>
      <c r="BI93" s="9">
        <v>12681</v>
      </c>
      <c r="BJ93" s="9">
        <v>12681</v>
      </c>
      <c r="BK93" s="9">
        <v>12681</v>
      </c>
      <c r="BL93" s="9">
        <v>12681</v>
      </c>
      <c r="BM93" s="9">
        <v>12681</v>
      </c>
      <c r="BN93" s="9">
        <v>12681</v>
      </c>
      <c r="BO93" s="31">
        <v>12681</v>
      </c>
      <c r="BP93" s="9">
        <v>7864</v>
      </c>
      <c r="BQ93" s="9">
        <v>7864</v>
      </c>
      <c r="BR93" s="9">
        <v>7864</v>
      </c>
      <c r="BS93" s="9">
        <v>7864</v>
      </c>
      <c r="BT93" s="9">
        <v>7864</v>
      </c>
      <c r="BU93" s="9">
        <v>7864</v>
      </c>
      <c r="BV93" s="9">
        <v>7864</v>
      </c>
      <c r="BW93" s="9">
        <v>7864</v>
      </c>
      <c r="BX93" s="9">
        <v>7864</v>
      </c>
      <c r="BY93" s="9">
        <v>7864</v>
      </c>
      <c r="BZ93" s="9">
        <v>7864</v>
      </c>
      <c r="CA93" s="9">
        <v>7864</v>
      </c>
      <c r="CB93" s="31">
        <v>7864</v>
      </c>
      <c r="CC93" s="9">
        <v>8068</v>
      </c>
      <c r="CD93" s="9">
        <v>8068</v>
      </c>
      <c r="CE93" s="9">
        <v>8068</v>
      </c>
      <c r="CF93" s="9">
        <v>8068</v>
      </c>
      <c r="CG93" s="9">
        <v>8068</v>
      </c>
      <c r="CH93" s="9">
        <v>8068</v>
      </c>
      <c r="CI93" s="9">
        <v>8068</v>
      </c>
      <c r="CJ93" s="9">
        <v>8068</v>
      </c>
      <c r="CK93" s="9">
        <v>8068</v>
      </c>
      <c r="CL93" s="9">
        <v>8068</v>
      </c>
      <c r="CM93" s="9">
        <v>8068</v>
      </c>
      <c r="CN93" s="9">
        <v>8068</v>
      </c>
      <c r="CO93" s="31">
        <v>8068</v>
      </c>
      <c r="CP93" s="9">
        <v>6340</v>
      </c>
      <c r="CQ93" s="9">
        <v>6340</v>
      </c>
      <c r="CR93" s="9">
        <v>6340</v>
      </c>
      <c r="CS93" s="9">
        <v>6340</v>
      </c>
      <c r="CT93" s="9">
        <v>6340</v>
      </c>
      <c r="CU93" s="9">
        <v>6340</v>
      </c>
      <c r="CV93" s="9">
        <v>6340</v>
      </c>
      <c r="CW93" s="9">
        <v>6340</v>
      </c>
      <c r="CX93" s="9">
        <v>6340</v>
      </c>
      <c r="CY93" s="9">
        <v>6340</v>
      </c>
      <c r="CZ93" s="9">
        <v>6340</v>
      </c>
      <c r="DA93" s="9">
        <v>6340</v>
      </c>
      <c r="DB93" s="31">
        <v>6340</v>
      </c>
      <c r="DC93" s="9">
        <v>0</v>
      </c>
      <c r="DD93" s="9">
        <v>0</v>
      </c>
      <c r="DE93" s="9">
        <v>0</v>
      </c>
      <c r="DF93" s="9">
        <v>0</v>
      </c>
      <c r="DG93" s="9">
        <v>0</v>
      </c>
      <c r="DH93" s="9">
        <v>0</v>
      </c>
      <c r="DI93" s="9">
        <v>0</v>
      </c>
      <c r="DJ93" s="9">
        <v>0</v>
      </c>
      <c r="DK93" s="9">
        <v>0</v>
      </c>
      <c r="DL93" s="9">
        <v>0</v>
      </c>
      <c r="DM93" s="9">
        <v>0</v>
      </c>
      <c r="DN93" s="9">
        <v>0</v>
      </c>
      <c r="DO93" s="31">
        <v>0</v>
      </c>
      <c r="DP93" s="9">
        <v>0</v>
      </c>
      <c r="DQ93" s="9">
        <v>0</v>
      </c>
      <c r="DR93" s="9">
        <v>0</v>
      </c>
      <c r="DS93" s="9">
        <v>0</v>
      </c>
      <c r="DT93" s="9">
        <v>0</v>
      </c>
      <c r="DU93" s="9">
        <v>0</v>
      </c>
      <c r="DV93" s="9">
        <v>0</v>
      </c>
      <c r="DW93" s="9">
        <v>0</v>
      </c>
      <c r="DX93" s="9">
        <v>0</v>
      </c>
      <c r="DY93" s="9">
        <v>0</v>
      </c>
      <c r="DZ93" s="9">
        <v>0</v>
      </c>
      <c r="EA93" s="9">
        <v>0</v>
      </c>
      <c r="EB93" s="31">
        <v>0</v>
      </c>
      <c r="EC93" s="9">
        <v>0</v>
      </c>
      <c r="ED93" s="9">
        <v>0</v>
      </c>
      <c r="EE93" s="9">
        <v>0</v>
      </c>
      <c r="EF93" s="9">
        <v>0</v>
      </c>
      <c r="EG93" s="9">
        <v>0</v>
      </c>
      <c r="EH93" s="9">
        <v>0</v>
      </c>
      <c r="EI93" s="9">
        <v>0</v>
      </c>
      <c r="EJ93" s="9">
        <v>0</v>
      </c>
      <c r="EK93" s="9">
        <v>0</v>
      </c>
      <c r="EL93" s="9">
        <v>0</v>
      </c>
      <c r="EM93" s="9">
        <v>0</v>
      </c>
      <c r="EN93" s="9">
        <v>0</v>
      </c>
      <c r="EO93" s="31">
        <v>0</v>
      </c>
      <c r="EP93" s="9">
        <v>4168</v>
      </c>
      <c r="EQ93" s="9">
        <v>4168</v>
      </c>
      <c r="ER93" s="9">
        <v>4168</v>
      </c>
      <c r="ES93" s="9">
        <v>4168</v>
      </c>
      <c r="ET93" s="9">
        <v>4168</v>
      </c>
      <c r="EU93" s="9">
        <v>4168</v>
      </c>
      <c r="EV93" s="9">
        <v>4168</v>
      </c>
      <c r="EW93" s="9">
        <v>4168</v>
      </c>
      <c r="EX93" s="9">
        <v>4168</v>
      </c>
      <c r="EY93" s="9">
        <v>4168</v>
      </c>
      <c r="EZ93" s="9">
        <v>4168</v>
      </c>
      <c r="FA93" s="9">
        <v>4168</v>
      </c>
      <c r="FB93" s="31">
        <v>4168</v>
      </c>
      <c r="FC93" s="9">
        <v>10</v>
      </c>
      <c r="FD93" s="9">
        <v>10</v>
      </c>
      <c r="FE93" s="9">
        <v>10</v>
      </c>
      <c r="FF93" s="9">
        <v>10</v>
      </c>
      <c r="FG93" s="9">
        <v>10</v>
      </c>
      <c r="FH93" s="9">
        <v>10</v>
      </c>
      <c r="FI93" s="9">
        <v>10</v>
      </c>
      <c r="FJ93" s="9">
        <v>10</v>
      </c>
      <c r="FK93" s="9">
        <v>10</v>
      </c>
      <c r="FL93" s="9">
        <v>10</v>
      </c>
      <c r="FM93" s="9">
        <v>10</v>
      </c>
      <c r="FN93" s="9">
        <v>10</v>
      </c>
      <c r="FO93" s="31">
        <v>10</v>
      </c>
    </row>
    <row r="94" spans="2:171" x14ac:dyDescent="0.3">
      <c r="B94" s="7" t="s">
        <v>63</v>
      </c>
      <c r="C94" s="9">
        <v>7804</v>
      </c>
      <c r="D94" s="9">
        <v>7804</v>
      </c>
      <c r="E94" s="9">
        <v>7804</v>
      </c>
      <c r="F94" s="9">
        <v>7804</v>
      </c>
      <c r="G94" s="9">
        <v>7804</v>
      </c>
      <c r="H94" s="9">
        <v>7804</v>
      </c>
      <c r="I94" s="9">
        <v>7804</v>
      </c>
      <c r="J94" s="9">
        <v>7804</v>
      </c>
      <c r="K94" s="9">
        <v>7804</v>
      </c>
      <c r="L94" s="9">
        <v>7804</v>
      </c>
      <c r="M94" s="9">
        <v>7804</v>
      </c>
      <c r="N94" s="9">
        <v>7804</v>
      </c>
      <c r="O94" s="31">
        <v>7804</v>
      </c>
      <c r="P94" s="9">
        <v>14053</v>
      </c>
      <c r="Q94" s="9">
        <v>14053</v>
      </c>
      <c r="R94" s="9">
        <v>14053</v>
      </c>
      <c r="S94" s="9">
        <v>14053</v>
      </c>
      <c r="T94" s="9">
        <v>14053</v>
      </c>
      <c r="U94" s="9">
        <v>14053</v>
      </c>
      <c r="V94" s="9">
        <v>14053</v>
      </c>
      <c r="W94" s="9">
        <v>14053</v>
      </c>
      <c r="X94" s="9">
        <v>14053</v>
      </c>
      <c r="Y94" s="9">
        <v>14053</v>
      </c>
      <c r="Z94" s="9">
        <v>14053</v>
      </c>
      <c r="AA94" s="9">
        <v>14053</v>
      </c>
      <c r="AB94" s="31">
        <v>14053</v>
      </c>
      <c r="AC94" s="9">
        <v>16140</v>
      </c>
      <c r="AD94" s="9">
        <v>16140</v>
      </c>
      <c r="AE94" s="9">
        <v>16140</v>
      </c>
      <c r="AF94" s="9">
        <v>16140</v>
      </c>
      <c r="AG94" s="9">
        <v>16140</v>
      </c>
      <c r="AH94" s="9">
        <v>16140</v>
      </c>
      <c r="AI94" s="9">
        <v>16140</v>
      </c>
      <c r="AJ94" s="9">
        <v>16140</v>
      </c>
      <c r="AK94" s="9">
        <v>16140</v>
      </c>
      <c r="AL94" s="9">
        <v>16140</v>
      </c>
      <c r="AM94" s="9">
        <v>16140</v>
      </c>
      <c r="AN94" s="9">
        <v>16140</v>
      </c>
      <c r="AO94" s="31">
        <v>16140</v>
      </c>
      <c r="AP94" s="9">
        <v>16480</v>
      </c>
      <c r="AQ94" s="9">
        <v>16480</v>
      </c>
      <c r="AR94" s="9">
        <v>16480</v>
      </c>
      <c r="AS94" s="9">
        <v>16480</v>
      </c>
      <c r="AT94" s="9">
        <v>16480</v>
      </c>
      <c r="AU94" s="9">
        <v>16480</v>
      </c>
      <c r="AV94" s="9">
        <v>16480</v>
      </c>
      <c r="AW94" s="9">
        <v>16480</v>
      </c>
      <c r="AX94" s="9">
        <v>16480</v>
      </c>
      <c r="AY94" s="9">
        <v>16480</v>
      </c>
      <c r="AZ94" s="9">
        <v>16480</v>
      </c>
      <c r="BA94" s="9">
        <v>16480</v>
      </c>
      <c r="BB94" s="31">
        <v>16480</v>
      </c>
      <c r="BC94" s="9">
        <v>24722</v>
      </c>
      <c r="BD94" s="9">
        <v>24722</v>
      </c>
      <c r="BE94" s="9">
        <v>24722</v>
      </c>
      <c r="BF94" s="9">
        <v>24722</v>
      </c>
      <c r="BG94" s="9">
        <v>24722</v>
      </c>
      <c r="BH94" s="9">
        <v>24722</v>
      </c>
      <c r="BI94" s="9">
        <v>24722</v>
      </c>
      <c r="BJ94" s="9">
        <v>24722</v>
      </c>
      <c r="BK94" s="9">
        <v>24722</v>
      </c>
      <c r="BL94" s="9">
        <v>24722</v>
      </c>
      <c r="BM94" s="9">
        <v>24722</v>
      </c>
      <c r="BN94" s="9">
        <v>24722</v>
      </c>
      <c r="BO94" s="31">
        <v>24722</v>
      </c>
      <c r="BP94" s="9">
        <v>12364</v>
      </c>
      <c r="BQ94" s="9">
        <v>12364</v>
      </c>
      <c r="BR94" s="9">
        <v>12364</v>
      </c>
      <c r="BS94" s="9">
        <v>12364</v>
      </c>
      <c r="BT94" s="9">
        <v>12364</v>
      </c>
      <c r="BU94" s="9">
        <v>12364</v>
      </c>
      <c r="BV94" s="9">
        <v>12364</v>
      </c>
      <c r="BW94" s="9">
        <v>12364</v>
      </c>
      <c r="BX94" s="9">
        <v>12364</v>
      </c>
      <c r="BY94" s="9">
        <v>12364</v>
      </c>
      <c r="BZ94" s="9">
        <v>12364</v>
      </c>
      <c r="CA94" s="9">
        <v>12364</v>
      </c>
      <c r="CB94" s="31">
        <v>12364</v>
      </c>
      <c r="CC94" s="9">
        <v>12685</v>
      </c>
      <c r="CD94" s="9">
        <v>12685</v>
      </c>
      <c r="CE94" s="9">
        <v>12685</v>
      </c>
      <c r="CF94" s="9">
        <v>12685</v>
      </c>
      <c r="CG94" s="9">
        <v>12685</v>
      </c>
      <c r="CH94" s="9">
        <v>12685</v>
      </c>
      <c r="CI94" s="9">
        <v>12685</v>
      </c>
      <c r="CJ94" s="9">
        <v>12685</v>
      </c>
      <c r="CK94" s="9">
        <v>12685</v>
      </c>
      <c r="CL94" s="9">
        <v>12685</v>
      </c>
      <c r="CM94" s="9">
        <v>12685</v>
      </c>
      <c r="CN94" s="9">
        <v>12685</v>
      </c>
      <c r="CO94" s="31">
        <v>12685</v>
      </c>
      <c r="CP94" s="9">
        <v>8750</v>
      </c>
      <c r="CQ94" s="9">
        <v>8750</v>
      </c>
      <c r="CR94" s="9">
        <v>8750</v>
      </c>
      <c r="CS94" s="9">
        <v>8750</v>
      </c>
      <c r="CT94" s="9">
        <v>8750</v>
      </c>
      <c r="CU94" s="9">
        <v>8750</v>
      </c>
      <c r="CV94" s="9">
        <v>8750</v>
      </c>
      <c r="CW94" s="9">
        <v>8750</v>
      </c>
      <c r="CX94" s="9">
        <v>8750</v>
      </c>
      <c r="CY94" s="9">
        <v>8750</v>
      </c>
      <c r="CZ94" s="9">
        <v>8750</v>
      </c>
      <c r="DA94" s="9">
        <v>8750</v>
      </c>
      <c r="DB94" s="31">
        <v>8750</v>
      </c>
      <c r="DC94" s="9">
        <v>0</v>
      </c>
      <c r="DD94" s="9">
        <v>0</v>
      </c>
      <c r="DE94" s="9">
        <v>0</v>
      </c>
      <c r="DF94" s="9">
        <v>0</v>
      </c>
      <c r="DG94" s="9">
        <v>0</v>
      </c>
      <c r="DH94" s="9">
        <v>0</v>
      </c>
      <c r="DI94" s="9">
        <v>0</v>
      </c>
      <c r="DJ94" s="9">
        <v>0</v>
      </c>
      <c r="DK94" s="9">
        <v>0</v>
      </c>
      <c r="DL94" s="9">
        <v>0</v>
      </c>
      <c r="DM94" s="9">
        <v>0</v>
      </c>
      <c r="DN94" s="9">
        <v>0</v>
      </c>
      <c r="DO94" s="31">
        <v>0</v>
      </c>
      <c r="DP94" s="9">
        <v>0</v>
      </c>
      <c r="DQ94" s="9">
        <v>0</v>
      </c>
      <c r="DR94" s="9">
        <v>0</v>
      </c>
      <c r="DS94" s="9">
        <v>0</v>
      </c>
      <c r="DT94" s="9">
        <v>0</v>
      </c>
      <c r="DU94" s="9">
        <v>0</v>
      </c>
      <c r="DV94" s="9">
        <v>0</v>
      </c>
      <c r="DW94" s="9">
        <v>0</v>
      </c>
      <c r="DX94" s="9">
        <v>0</v>
      </c>
      <c r="DY94" s="9">
        <v>0</v>
      </c>
      <c r="DZ94" s="9">
        <v>0</v>
      </c>
      <c r="EA94" s="9">
        <v>0</v>
      </c>
      <c r="EB94" s="31">
        <v>0</v>
      </c>
      <c r="EC94" s="9">
        <v>0</v>
      </c>
      <c r="ED94" s="9">
        <v>0</v>
      </c>
      <c r="EE94" s="9">
        <v>0</v>
      </c>
      <c r="EF94" s="9">
        <v>0</v>
      </c>
      <c r="EG94" s="9">
        <v>0</v>
      </c>
      <c r="EH94" s="9">
        <v>0</v>
      </c>
      <c r="EI94" s="9">
        <v>0</v>
      </c>
      <c r="EJ94" s="9">
        <v>0</v>
      </c>
      <c r="EK94" s="9">
        <v>0</v>
      </c>
      <c r="EL94" s="9">
        <v>0</v>
      </c>
      <c r="EM94" s="9">
        <v>0</v>
      </c>
      <c r="EN94" s="9">
        <v>0</v>
      </c>
      <c r="EO94" s="31">
        <v>0</v>
      </c>
      <c r="EP94" s="9">
        <v>4168</v>
      </c>
      <c r="EQ94" s="9">
        <v>4168</v>
      </c>
      <c r="ER94" s="9">
        <v>4168</v>
      </c>
      <c r="ES94" s="9">
        <v>4168</v>
      </c>
      <c r="ET94" s="9">
        <v>4168</v>
      </c>
      <c r="EU94" s="9">
        <v>4168</v>
      </c>
      <c r="EV94" s="9">
        <v>4168</v>
      </c>
      <c r="EW94" s="9">
        <v>4168</v>
      </c>
      <c r="EX94" s="9">
        <v>4168</v>
      </c>
      <c r="EY94" s="9">
        <v>4168</v>
      </c>
      <c r="EZ94" s="9">
        <v>4168</v>
      </c>
      <c r="FA94" s="9">
        <v>4168</v>
      </c>
      <c r="FB94" s="31">
        <v>4168</v>
      </c>
      <c r="FC94" s="9">
        <v>10</v>
      </c>
      <c r="FD94" s="9">
        <v>10</v>
      </c>
      <c r="FE94" s="9">
        <v>10</v>
      </c>
      <c r="FF94" s="9">
        <v>10</v>
      </c>
      <c r="FG94" s="9">
        <v>10</v>
      </c>
      <c r="FH94" s="9">
        <v>10</v>
      </c>
      <c r="FI94" s="9">
        <v>10</v>
      </c>
      <c r="FJ94" s="9">
        <v>10</v>
      </c>
      <c r="FK94" s="9">
        <v>10</v>
      </c>
      <c r="FL94" s="9">
        <v>10</v>
      </c>
      <c r="FM94" s="9">
        <v>10</v>
      </c>
      <c r="FN94" s="9">
        <v>10</v>
      </c>
      <c r="FO94" s="31">
        <v>10</v>
      </c>
    </row>
    <row r="95" spans="2:171" x14ac:dyDescent="0.3">
      <c r="B95" s="11" t="s">
        <v>124</v>
      </c>
      <c r="C95" s="13">
        <f t="shared" ref="C95:AH95" si="18">SUM(C77:C94)</f>
        <v>4451662</v>
      </c>
      <c r="D95" s="13">
        <f t="shared" si="18"/>
        <v>4451662</v>
      </c>
      <c r="E95" s="13">
        <f t="shared" si="18"/>
        <v>16220442</v>
      </c>
      <c r="F95" s="13">
        <f t="shared" si="18"/>
        <v>16220442</v>
      </c>
      <c r="G95" s="13">
        <f t="shared" si="18"/>
        <v>16220442</v>
      </c>
      <c r="H95" s="13">
        <f t="shared" si="18"/>
        <v>16220442</v>
      </c>
      <c r="I95" s="13">
        <f t="shared" si="18"/>
        <v>16220442</v>
      </c>
      <c r="J95" s="13">
        <f t="shared" si="18"/>
        <v>16220442</v>
      </c>
      <c r="K95" s="13">
        <f t="shared" si="18"/>
        <v>16220442</v>
      </c>
      <c r="L95" s="13">
        <f t="shared" si="18"/>
        <v>16220442</v>
      </c>
      <c r="M95" s="13">
        <f t="shared" si="18"/>
        <v>16220442</v>
      </c>
      <c r="N95" s="13">
        <f t="shared" si="18"/>
        <v>16220442</v>
      </c>
      <c r="O95" s="13">
        <f t="shared" si="18"/>
        <v>16220442</v>
      </c>
      <c r="P95" s="13">
        <f t="shared" si="18"/>
        <v>11921185</v>
      </c>
      <c r="Q95" s="13">
        <f t="shared" si="18"/>
        <v>11921185</v>
      </c>
      <c r="R95" s="13">
        <f t="shared" si="18"/>
        <v>11921185</v>
      </c>
      <c r="S95" s="13">
        <f t="shared" si="18"/>
        <v>11921185</v>
      </c>
      <c r="T95" s="13">
        <f t="shared" si="18"/>
        <v>11921185</v>
      </c>
      <c r="U95" s="13">
        <f t="shared" si="18"/>
        <v>11921185</v>
      </c>
      <c r="V95" s="13">
        <f t="shared" si="18"/>
        <v>11921185</v>
      </c>
      <c r="W95" s="13">
        <f t="shared" si="18"/>
        <v>11921185</v>
      </c>
      <c r="X95" s="13">
        <f t="shared" si="18"/>
        <v>11921185</v>
      </c>
      <c r="Y95" s="13">
        <f t="shared" si="18"/>
        <v>11921185</v>
      </c>
      <c r="Z95" s="13">
        <f t="shared" si="18"/>
        <v>11921185</v>
      </c>
      <c r="AA95" s="13">
        <f t="shared" si="18"/>
        <v>11921185</v>
      </c>
      <c r="AB95" s="13">
        <f t="shared" si="18"/>
        <v>11921185</v>
      </c>
      <c r="AC95" s="13">
        <f t="shared" si="18"/>
        <v>6440512</v>
      </c>
      <c r="AD95" s="13">
        <f t="shared" si="18"/>
        <v>6440512</v>
      </c>
      <c r="AE95" s="13">
        <f t="shared" si="18"/>
        <v>6440512</v>
      </c>
      <c r="AF95" s="13">
        <f t="shared" si="18"/>
        <v>6440512</v>
      </c>
      <c r="AG95" s="13">
        <f t="shared" si="18"/>
        <v>6440512</v>
      </c>
      <c r="AH95" s="13">
        <f t="shared" si="18"/>
        <v>6440512</v>
      </c>
      <c r="AI95" s="13">
        <f t="shared" ref="AI95:BN95" si="19">SUM(AI77:AI94)</f>
        <v>6440512</v>
      </c>
      <c r="AJ95" s="13">
        <f t="shared" si="19"/>
        <v>6440512</v>
      </c>
      <c r="AK95" s="13">
        <f t="shared" si="19"/>
        <v>6440512</v>
      </c>
      <c r="AL95" s="13">
        <f t="shared" si="19"/>
        <v>6440512</v>
      </c>
      <c r="AM95" s="13">
        <f t="shared" si="19"/>
        <v>6440512</v>
      </c>
      <c r="AN95" s="13">
        <f t="shared" si="19"/>
        <v>6440512</v>
      </c>
      <c r="AO95" s="13">
        <f t="shared" si="19"/>
        <v>6440512</v>
      </c>
      <c r="AP95" s="13">
        <f t="shared" si="19"/>
        <v>5615714</v>
      </c>
      <c r="AQ95" s="13">
        <f t="shared" si="19"/>
        <v>5615714</v>
      </c>
      <c r="AR95" s="13">
        <f t="shared" si="19"/>
        <v>5615714</v>
      </c>
      <c r="AS95" s="13">
        <f t="shared" si="19"/>
        <v>5615714</v>
      </c>
      <c r="AT95" s="13">
        <f t="shared" si="19"/>
        <v>5615714</v>
      </c>
      <c r="AU95" s="13">
        <f t="shared" si="19"/>
        <v>5615714</v>
      </c>
      <c r="AV95" s="13">
        <f t="shared" si="19"/>
        <v>5615714</v>
      </c>
      <c r="AW95" s="13">
        <f t="shared" si="19"/>
        <v>5615714</v>
      </c>
      <c r="AX95" s="13">
        <f t="shared" si="19"/>
        <v>5615714</v>
      </c>
      <c r="AY95" s="13">
        <f t="shared" si="19"/>
        <v>5615714</v>
      </c>
      <c r="AZ95" s="13">
        <f t="shared" si="19"/>
        <v>5615714</v>
      </c>
      <c r="BA95" s="13">
        <f t="shared" si="19"/>
        <v>5615714</v>
      </c>
      <c r="BB95" s="13">
        <f t="shared" si="19"/>
        <v>5615714</v>
      </c>
      <c r="BC95" s="13">
        <f t="shared" si="19"/>
        <v>7963057</v>
      </c>
      <c r="BD95" s="13">
        <f t="shared" si="19"/>
        <v>7963057</v>
      </c>
      <c r="BE95" s="13">
        <f t="shared" si="19"/>
        <v>7963057</v>
      </c>
      <c r="BF95" s="13">
        <f t="shared" si="19"/>
        <v>7963057</v>
      </c>
      <c r="BG95" s="13">
        <f t="shared" si="19"/>
        <v>7963057</v>
      </c>
      <c r="BH95" s="13">
        <f t="shared" si="19"/>
        <v>7963057</v>
      </c>
      <c r="BI95" s="13">
        <f t="shared" si="19"/>
        <v>7963057</v>
      </c>
      <c r="BJ95" s="13">
        <f t="shared" si="19"/>
        <v>7963057</v>
      </c>
      <c r="BK95" s="13">
        <f t="shared" si="19"/>
        <v>7963057</v>
      </c>
      <c r="BL95" s="13">
        <f t="shared" si="19"/>
        <v>7963057</v>
      </c>
      <c r="BM95" s="13">
        <f t="shared" si="19"/>
        <v>7963057</v>
      </c>
      <c r="BN95" s="13">
        <f t="shared" si="19"/>
        <v>7963057</v>
      </c>
      <c r="BO95" s="13">
        <f t="shared" ref="BO95:CT95" si="20">SUM(BO77:BO94)</f>
        <v>7963057</v>
      </c>
      <c r="BP95" s="13">
        <f t="shared" si="20"/>
        <v>6134894</v>
      </c>
      <c r="BQ95" s="13">
        <f t="shared" si="20"/>
        <v>6134894</v>
      </c>
      <c r="BR95" s="13">
        <f t="shared" si="20"/>
        <v>6134894</v>
      </c>
      <c r="BS95" s="13">
        <f t="shared" si="20"/>
        <v>6134894</v>
      </c>
      <c r="BT95" s="13">
        <f t="shared" si="20"/>
        <v>6134894</v>
      </c>
      <c r="BU95" s="13">
        <f t="shared" si="20"/>
        <v>6134894</v>
      </c>
      <c r="BV95" s="13">
        <f t="shared" si="20"/>
        <v>6134894</v>
      </c>
      <c r="BW95" s="13">
        <f t="shared" si="20"/>
        <v>6134894</v>
      </c>
      <c r="BX95" s="13">
        <f t="shared" si="20"/>
        <v>6134894</v>
      </c>
      <c r="BY95" s="13">
        <f t="shared" si="20"/>
        <v>6134894</v>
      </c>
      <c r="BZ95" s="13">
        <f t="shared" si="20"/>
        <v>6134894</v>
      </c>
      <c r="CA95" s="13">
        <f t="shared" si="20"/>
        <v>6134894</v>
      </c>
      <c r="CB95" s="13">
        <f t="shared" si="20"/>
        <v>6134894</v>
      </c>
      <c r="CC95" s="13">
        <f t="shared" si="20"/>
        <v>8896359</v>
      </c>
      <c r="CD95" s="13">
        <f t="shared" si="20"/>
        <v>8896359</v>
      </c>
      <c r="CE95" s="13">
        <f t="shared" si="20"/>
        <v>8896359</v>
      </c>
      <c r="CF95" s="13">
        <f t="shared" si="20"/>
        <v>8896359</v>
      </c>
      <c r="CG95" s="13">
        <f t="shared" si="20"/>
        <v>8896359</v>
      </c>
      <c r="CH95" s="13">
        <f t="shared" si="20"/>
        <v>8896359</v>
      </c>
      <c r="CI95" s="13">
        <f t="shared" si="20"/>
        <v>8896359</v>
      </c>
      <c r="CJ95" s="13">
        <f t="shared" si="20"/>
        <v>8896359</v>
      </c>
      <c r="CK95" s="13">
        <f t="shared" si="20"/>
        <v>8896359</v>
      </c>
      <c r="CL95" s="13">
        <f t="shared" si="20"/>
        <v>8896359</v>
      </c>
      <c r="CM95" s="13">
        <f t="shared" si="20"/>
        <v>8896359</v>
      </c>
      <c r="CN95" s="13">
        <f t="shared" si="20"/>
        <v>8896359</v>
      </c>
      <c r="CO95" s="13">
        <f t="shared" si="20"/>
        <v>8896359</v>
      </c>
      <c r="CP95" s="13">
        <f t="shared" si="20"/>
        <v>4157090</v>
      </c>
      <c r="CQ95" s="13">
        <f t="shared" si="20"/>
        <v>4157090</v>
      </c>
      <c r="CR95" s="13">
        <f t="shared" si="20"/>
        <v>4157090</v>
      </c>
      <c r="CS95" s="13">
        <f t="shared" si="20"/>
        <v>4157090</v>
      </c>
      <c r="CT95" s="13">
        <f t="shared" si="20"/>
        <v>4157090</v>
      </c>
      <c r="CU95" s="13">
        <f t="shared" ref="CU95:DZ95" si="21">SUM(CU77:CU94)</f>
        <v>4157090</v>
      </c>
      <c r="CV95" s="13">
        <f t="shared" si="21"/>
        <v>4157090</v>
      </c>
      <c r="CW95" s="13">
        <f t="shared" si="21"/>
        <v>4157090</v>
      </c>
      <c r="CX95" s="13">
        <f t="shared" si="21"/>
        <v>4157090</v>
      </c>
      <c r="CY95" s="13">
        <f t="shared" si="21"/>
        <v>4157090</v>
      </c>
      <c r="CZ95" s="13">
        <f t="shared" si="21"/>
        <v>4157090</v>
      </c>
      <c r="DA95" s="13">
        <f t="shared" si="21"/>
        <v>4157090</v>
      </c>
      <c r="DB95" s="13">
        <f t="shared" si="21"/>
        <v>4157090</v>
      </c>
      <c r="DC95" s="13">
        <f t="shared" si="21"/>
        <v>3710812</v>
      </c>
      <c r="DD95" s="13">
        <f t="shared" si="21"/>
        <v>3710812</v>
      </c>
      <c r="DE95" s="13">
        <f t="shared" si="21"/>
        <v>3710812</v>
      </c>
      <c r="DF95" s="13">
        <f t="shared" si="21"/>
        <v>3710812</v>
      </c>
      <c r="DG95" s="13">
        <f t="shared" si="21"/>
        <v>3710812</v>
      </c>
      <c r="DH95" s="13">
        <f t="shared" si="21"/>
        <v>3710812</v>
      </c>
      <c r="DI95" s="13">
        <f t="shared" si="21"/>
        <v>3710812</v>
      </c>
      <c r="DJ95" s="13">
        <f t="shared" si="21"/>
        <v>3710812</v>
      </c>
      <c r="DK95" s="13">
        <f t="shared" si="21"/>
        <v>3710812</v>
      </c>
      <c r="DL95" s="13">
        <f t="shared" si="21"/>
        <v>3710812</v>
      </c>
      <c r="DM95" s="13">
        <f t="shared" si="21"/>
        <v>3710812</v>
      </c>
      <c r="DN95" s="13">
        <f t="shared" si="21"/>
        <v>3710812</v>
      </c>
      <c r="DO95" s="13">
        <f t="shared" si="21"/>
        <v>3710812</v>
      </c>
      <c r="DP95" s="13">
        <f t="shared" si="21"/>
        <v>30702526</v>
      </c>
      <c r="DQ95" s="13">
        <f t="shared" si="21"/>
        <v>30702526</v>
      </c>
      <c r="DR95" s="13">
        <f t="shared" si="21"/>
        <v>30702526</v>
      </c>
      <c r="DS95" s="13">
        <f t="shared" si="21"/>
        <v>30702526</v>
      </c>
      <c r="DT95" s="13">
        <f t="shared" si="21"/>
        <v>30702526</v>
      </c>
      <c r="DU95" s="13">
        <f t="shared" si="21"/>
        <v>30702526</v>
      </c>
      <c r="DV95" s="13">
        <f t="shared" si="21"/>
        <v>30702526</v>
      </c>
      <c r="DW95" s="13">
        <f t="shared" si="21"/>
        <v>30702526</v>
      </c>
      <c r="DX95" s="13">
        <f t="shared" si="21"/>
        <v>30702526</v>
      </c>
      <c r="DY95" s="13">
        <f t="shared" si="21"/>
        <v>30702526</v>
      </c>
      <c r="DZ95" s="13">
        <f t="shared" si="21"/>
        <v>30702526</v>
      </c>
      <c r="EA95" s="13">
        <f t="shared" ref="EA95:FF95" si="22">SUM(EA77:EA94)</f>
        <v>30702526</v>
      </c>
      <c r="EB95" s="13">
        <f t="shared" si="22"/>
        <v>30702526</v>
      </c>
      <c r="EC95" s="13">
        <f t="shared" si="22"/>
        <v>30674754</v>
      </c>
      <c r="ED95" s="13">
        <f t="shared" si="22"/>
        <v>30674754</v>
      </c>
      <c r="EE95" s="13">
        <f t="shared" si="22"/>
        <v>30674754</v>
      </c>
      <c r="EF95" s="13">
        <f t="shared" si="22"/>
        <v>30674754</v>
      </c>
      <c r="EG95" s="13">
        <f t="shared" si="22"/>
        <v>30674754</v>
      </c>
      <c r="EH95" s="13">
        <f t="shared" si="22"/>
        <v>30674754</v>
      </c>
      <c r="EI95" s="13">
        <f t="shared" si="22"/>
        <v>30674754</v>
      </c>
      <c r="EJ95" s="13">
        <f t="shared" si="22"/>
        <v>30674754</v>
      </c>
      <c r="EK95" s="13">
        <f t="shared" si="22"/>
        <v>30674754</v>
      </c>
      <c r="EL95" s="13">
        <f t="shared" si="22"/>
        <v>30674754</v>
      </c>
      <c r="EM95" s="13">
        <f t="shared" si="22"/>
        <v>30674754</v>
      </c>
      <c r="EN95" s="13">
        <f t="shared" si="22"/>
        <v>30674754</v>
      </c>
      <c r="EO95" s="13">
        <f t="shared" si="22"/>
        <v>30674754</v>
      </c>
      <c r="EP95" s="13">
        <f t="shared" si="22"/>
        <v>4782867</v>
      </c>
      <c r="EQ95" s="13">
        <f t="shared" si="22"/>
        <v>4782867</v>
      </c>
      <c r="ER95" s="13">
        <f t="shared" si="22"/>
        <v>4782867</v>
      </c>
      <c r="ES95" s="13">
        <f t="shared" si="22"/>
        <v>4782867</v>
      </c>
      <c r="ET95" s="13">
        <f t="shared" si="22"/>
        <v>4782867</v>
      </c>
      <c r="EU95" s="13">
        <f t="shared" si="22"/>
        <v>4782867</v>
      </c>
      <c r="EV95" s="13">
        <f t="shared" si="22"/>
        <v>4782867</v>
      </c>
      <c r="EW95" s="13">
        <f t="shared" si="22"/>
        <v>4782867</v>
      </c>
      <c r="EX95" s="13">
        <f t="shared" si="22"/>
        <v>4782867</v>
      </c>
      <c r="EY95" s="13">
        <f t="shared" si="22"/>
        <v>4782867</v>
      </c>
      <c r="EZ95" s="13">
        <f t="shared" si="22"/>
        <v>4782867</v>
      </c>
      <c r="FA95" s="13">
        <f t="shared" si="22"/>
        <v>4782867</v>
      </c>
      <c r="FB95" s="13">
        <f t="shared" si="22"/>
        <v>4782867</v>
      </c>
      <c r="FC95" s="13">
        <f t="shared" si="22"/>
        <v>4182864</v>
      </c>
      <c r="FD95" s="13">
        <f t="shared" si="22"/>
        <v>4182864</v>
      </c>
      <c r="FE95" s="13">
        <f t="shared" si="22"/>
        <v>4182864</v>
      </c>
      <c r="FF95" s="13">
        <f t="shared" si="22"/>
        <v>4182864</v>
      </c>
      <c r="FG95" s="13">
        <f t="shared" ref="FG95:GL95" si="23">SUM(FG77:FG94)</f>
        <v>4182864</v>
      </c>
      <c r="FH95" s="13">
        <f t="shared" si="23"/>
        <v>4182864</v>
      </c>
      <c r="FI95" s="13">
        <f t="shared" si="23"/>
        <v>4182864</v>
      </c>
      <c r="FJ95" s="13">
        <f t="shared" si="23"/>
        <v>4182864</v>
      </c>
      <c r="FK95" s="13">
        <f t="shared" si="23"/>
        <v>4182864</v>
      </c>
      <c r="FL95" s="13">
        <f t="shared" si="23"/>
        <v>4182864</v>
      </c>
      <c r="FM95" s="13">
        <f t="shared" si="23"/>
        <v>4182864</v>
      </c>
      <c r="FN95" s="13">
        <f t="shared" si="23"/>
        <v>4182864</v>
      </c>
      <c r="FO95" s="13">
        <f t="shared" si="23"/>
        <v>4182864</v>
      </c>
    </row>
    <row r="96" spans="2:171" x14ac:dyDescent="0.3">
      <c r="B96" s="5" t="s">
        <v>125</v>
      </c>
    </row>
    <row r="97" spans="2:171" x14ac:dyDescent="0.3">
      <c r="C97" s="49" t="s">
        <v>90</v>
      </c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49" t="s">
        <v>91</v>
      </c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49" t="s">
        <v>92</v>
      </c>
      <c r="AD97" s="50"/>
      <c r="AE97" s="50"/>
      <c r="AF97" s="50"/>
      <c r="AG97" s="50"/>
      <c r="AH97" s="50"/>
      <c r="AI97" s="50"/>
      <c r="AJ97" s="50"/>
      <c r="AK97" s="50"/>
      <c r="AL97" s="50"/>
      <c r="AM97" s="50"/>
      <c r="AN97" s="50"/>
      <c r="AO97" s="50"/>
      <c r="AP97" s="49" t="s">
        <v>93</v>
      </c>
      <c r="AQ97" s="50"/>
      <c r="AR97" s="50"/>
      <c r="AS97" s="50"/>
      <c r="AT97" s="50"/>
      <c r="AU97" s="50"/>
      <c r="AV97" s="50"/>
      <c r="AW97" s="50"/>
      <c r="AX97" s="50"/>
      <c r="AY97" s="50"/>
      <c r="AZ97" s="50"/>
      <c r="BA97" s="50"/>
      <c r="BB97" s="50"/>
      <c r="BC97" s="49" t="s">
        <v>94</v>
      </c>
      <c r="BD97" s="50"/>
      <c r="BE97" s="50"/>
      <c r="BF97" s="50"/>
      <c r="BG97" s="50"/>
      <c r="BH97" s="50"/>
      <c r="BI97" s="50"/>
      <c r="BJ97" s="50"/>
      <c r="BK97" s="50"/>
      <c r="BL97" s="50"/>
      <c r="BM97" s="50"/>
      <c r="BN97" s="50"/>
      <c r="BO97" s="50"/>
      <c r="BP97" s="49" t="s">
        <v>95</v>
      </c>
      <c r="BQ97" s="50"/>
      <c r="BR97" s="50"/>
      <c r="BS97" s="50"/>
      <c r="BT97" s="50"/>
      <c r="BU97" s="50"/>
      <c r="BV97" s="50"/>
      <c r="BW97" s="50"/>
      <c r="BX97" s="50"/>
      <c r="BY97" s="50"/>
      <c r="BZ97" s="50"/>
      <c r="CA97" s="50"/>
      <c r="CB97" s="50"/>
      <c r="CC97" s="49" t="s">
        <v>96</v>
      </c>
      <c r="CD97" s="50"/>
      <c r="CE97" s="50"/>
      <c r="CF97" s="50"/>
      <c r="CG97" s="50"/>
      <c r="CH97" s="50"/>
      <c r="CI97" s="50"/>
      <c r="CJ97" s="50"/>
      <c r="CK97" s="50"/>
      <c r="CL97" s="50"/>
      <c r="CM97" s="50"/>
      <c r="CN97" s="50"/>
      <c r="CO97" s="50"/>
      <c r="CP97" s="49" t="s">
        <v>97</v>
      </c>
      <c r="CQ97" s="50"/>
      <c r="CR97" s="50"/>
      <c r="CS97" s="50"/>
      <c r="CT97" s="50"/>
      <c r="CU97" s="50"/>
      <c r="CV97" s="50"/>
      <c r="CW97" s="50"/>
      <c r="CX97" s="50"/>
      <c r="CY97" s="50"/>
      <c r="CZ97" s="50"/>
      <c r="DA97" s="50"/>
      <c r="DB97" s="50"/>
      <c r="DC97" s="49" t="s">
        <v>98</v>
      </c>
      <c r="DD97" s="50"/>
      <c r="DE97" s="50"/>
      <c r="DF97" s="50"/>
      <c r="DG97" s="50"/>
      <c r="DH97" s="50"/>
      <c r="DI97" s="50"/>
      <c r="DJ97" s="50"/>
      <c r="DK97" s="50"/>
      <c r="DL97" s="50"/>
      <c r="DM97" s="50"/>
      <c r="DN97" s="50"/>
      <c r="DO97" s="50"/>
      <c r="DP97" s="49" t="s">
        <v>99</v>
      </c>
      <c r="DQ97" s="50"/>
      <c r="DR97" s="50"/>
      <c r="DS97" s="50"/>
      <c r="DT97" s="50"/>
      <c r="DU97" s="50"/>
      <c r="DV97" s="50"/>
      <c r="DW97" s="50"/>
      <c r="DX97" s="50"/>
      <c r="DY97" s="50"/>
      <c r="DZ97" s="50"/>
      <c r="EA97" s="50"/>
      <c r="EB97" s="50"/>
      <c r="EC97" s="49" t="s">
        <v>100</v>
      </c>
      <c r="ED97" s="50"/>
      <c r="EE97" s="50"/>
      <c r="EF97" s="50"/>
      <c r="EG97" s="50"/>
      <c r="EH97" s="50"/>
      <c r="EI97" s="50"/>
      <c r="EJ97" s="50"/>
      <c r="EK97" s="50"/>
      <c r="EL97" s="50"/>
      <c r="EM97" s="50"/>
      <c r="EN97" s="50"/>
      <c r="EO97" s="50"/>
      <c r="EP97" s="49" t="s">
        <v>101</v>
      </c>
      <c r="EQ97" s="50"/>
      <c r="ER97" s="50"/>
      <c r="ES97" s="50"/>
      <c r="ET97" s="50"/>
      <c r="EU97" s="50"/>
      <c r="EV97" s="50"/>
      <c r="EW97" s="50"/>
      <c r="EX97" s="50"/>
      <c r="EY97" s="50"/>
      <c r="EZ97" s="50"/>
      <c r="FA97" s="50"/>
      <c r="FB97" s="50"/>
      <c r="FC97" s="49" t="s">
        <v>102</v>
      </c>
      <c r="FD97" s="50"/>
      <c r="FE97" s="50"/>
      <c r="FF97" s="50"/>
      <c r="FG97" s="50"/>
      <c r="FH97" s="50"/>
      <c r="FI97" s="50"/>
      <c r="FJ97" s="50"/>
      <c r="FK97" s="50"/>
      <c r="FL97" s="50"/>
      <c r="FM97" s="50"/>
      <c r="FN97" s="50"/>
      <c r="FO97" s="50"/>
    </row>
    <row r="98" spans="2:171" x14ac:dyDescent="0.3">
      <c r="B98" s="19" t="s">
        <v>103</v>
      </c>
      <c r="C98" s="30" t="s">
        <v>67</v>
      </c>
      <c r="D98" s="30" t="s">
        <v>68</v>
      </c>
      <c r="E98" s="30" t="s">
        <v>69</v>
      </c>
      <c r="F98" s="30" t="s">
        <v>70</v>
      </c>
      <c r="G98" s="30" t="s">
        <v>71</v>
      </c>
      <c r="H98" s="30" t="s">
        <v>72</v>
      </c>
      <c r="I98" s="30" t="s">
        <v>73</v>
      </c>
      <c r="J98" s="30" t="s">
        <v>74</v>
      </c>
      <c r="K98" s="30" t="s">
        <v>75</v>
      </c>
      <c r="L98" s="30" t="s">
        <v>76</v>
      </c>
      <c r="M98" s="30" t="s">
        <v>77</v>
      </c>
      <c r="N98" s="30" t="s">
        <v>78</v>
      </c>
      <c r="O98" s="30" t="s">
        <v>104</v>
      </c>
      <c r="P98" s="30" t="s">
        <v>67</v>
      </c>
      <c r="Q98" s="30" t="s">
        <v>68</v>
      </c>
      <c r="R98" s="30" t="s">
        <v>69</v>
      </c>
      <c r="S98" s="30" t="s">
        <v>70</v>
      </c>
      <c r="T98" s="30" t="s">
        <v>71</v>
      </c>
      <c r="U98" s="30" t="s">
        <v>72</v>
      </c>
      <c r="V98" s="30" t="s">
        <v>73</v>
      </c>
      <c r="W98" s="30" t="s">
        <v>74</v>
      </c>
      <c r="X98" s="30" t="s">
        <v>75</v>
      </c>
      <c r="Y98" s="30" t="s">
        <v>76</v>
      </c>
      <c r="Z98" s="30" t="s">
        <v>77</v>
      </c>
      <c r="AA98" s="30" t="s">
        <v>78</v>
      </c>
      <c r="AB98" s="30" t="s">
        <v>105</v>
      </c>
      <c r="AC98" s="30" t="s">
        <v>67</v>
      </c>
      <c r="AD98" s="30" t="s">
        <v>68</v>
      </c>
      <c r="AE98" s="30" t="s">
        <v>69</v>
      </c>
      <c r="AF98" s="30" t="s">
        <v>70</v>
      </c>
      <c r="AG98" s="30" t="s">
        <v>71</v>
      </c>
      <c r="AH98" s="30" t="s">
        <v>72</v>
      </c>
      <c r="AI98" s="30" t="s">
        <v>73</v>
      </c>
      <c r="AJ98" s="30" t="s">
        <v>74</v>
      </c>
      <c r="AK98" s="30" t="s">
        <v>75</v>
      </c>
      <c r="AL98" s="30" t="s">
        <v>76</v>
      </c>
      <c r="AM98" s="30" t="s">
        <v>77</v>
      </c>
      <c r="AN98" s="30" t="s">
        <v>78</v>
      </c>
      <c r="AO98" s="30" t="s">
        <v>106</v>
      </c>
      <c r="AP98" s="30" t="s">
        <v>67</v>
      </c>
      <c r="AQ98" s="30" t="s">
        <v>68</v>
      </c>
      <c r="AR98" s="30" t="s">
        <v>69</v>
      </c>
      <c r="AS98" s="30" t="s">
        <v>70</v>
      </c>
      <c r="AT98" s="30" t="s">
        <v>71</v>
      </c>
      <c r="AU98" s="30" t="s">
        <v>72</v>
      </c>
      <c r="AV98" s="30" t="s">
        <v>73</v>
      </c>
      <c r="AW98" s="30" t="s">
        <v>74</v>
      </c>
      <c r="AX98" s="30" t="s">
        <v>75</v>
      </c>
      <c r="AY98" s="30" t="s">
        <v>76</v>
      </c>
      <c r="AZ98" s="30" t="s">
        <v>77</v>
      </c>
      <c r="BA98" s="30" t="s">
        <v>78</v>
      </c>
      <c r="BB98" s="30" t="s">
        <v>107</v>
      </c>
      <c r="BC98" s="30" t="s">
        <v>67</v>
      </c>
      <c r="BD98" s="30" t="s">
        <v>68</v>
      </c>
      <c r="BE98" s="30" t="s">
        <v>69</v>
      </c>
      <c r="BF98" s="30" t="s">
        <v>70</v>
      </c>
      <c r="BG98" s="30" t="s">
        <v>71</v>
      </c>
      <c r="BH98" s="30" t="s">
        <v>72</v>
      </c>
      <c r="BI98" s="30" t="s">
        <v>73</v>
      </c>
      <c r="BJ98" s="30" t="s">
        <v>74</v>
      </c>
      <c r="BK98" s="30" t="s">
        <v>75</v>
      </c>
      <c r="BL98" s="30" t="s">
        <v>76</v>
      </c>
      <c r="BM98" s="30" t="s">
        <v>77</v>
      </c>
      <c r="BN98" s="30" t="s">
        <v>78</v>
      </c>
      <c r="BO98" s="30" t="s">
        <v>108</v>
      </c>
      <c r="BP98" s="30" t="s">
        <v>67</v>
      </c>
      <c r="BQ98" s="30" t="s">
        <v>68</v>
      </c>
      <c r="BR98" s="30" t="s">
        <v>69</v>
      </c>
      <c r="BS98" s="30" t="s">
        <v>70</v>
      </c>
      <c r="BT98" s="30" t="s">
        <v>71</v>
      </c>
      <c r="BU98" s="30" t="s">
        <v>72</v>
      </c>
      <c r="BV98" s="30" t="s">
        <v>73</v>
      </c>
      <c r="BW98" s="30" t="s">
        <v>74</v>
      </c>
      <c r="BX98" s="30" t="s">
        <v>75</v>
      </c>
      <c r="BY98" s="30" t="s">
        <v>76</v>
      </c>
      <c r="BZ98" s="30" t="s">
        <v>77</v>
      </c>
      <c r="CA98" s="30" t="s">
        <v>78</v>
      </c>
      <c r="CB98" s="30" t="s">
        <v>109</v>
      </c>
      <c r="CC98" s="30" t="s">
        <v>67</v>
      </c>
      <c r="CD98" s="30" t="s">
        <v>68</v>
      </c>
      <c r="CE98" s="30" t="s">
        <v>69</v>
      </c>
      <c r="CF98" s="30" t="s">
        <v>70</v>
      </c>
      <c r="CG98" s="30" t="s">
        <v>71</v>
      </c>
      <c r="CH98" s="30" t="s">
        <v>72</v>
      </c>
      <c r="CI98" s="30" t="s">
        <v>73</v>
      </c>
      <c r="CJ98" s="30" t="s">
        <v>74</v>
      </c>
      <c r="CK98" s="30" t="s">
        <v>75</v>
      </c>
      <c r="CL98" s="30" t="s">
        <v>76</v>
      </c>
      <c r="CM98" s="30" t="s">
        <v>77</v>
      </c>
      <c r="CN98" s="30" t="s">
        <v>78</v>
      </c>
      <c r="CO98" s="30" t="s">
        <v>110</v>
      </c>
      <c r="CP98" s="30" t="s">
        <v>67</v>
      </c>
      <c r="CQ98" s="30" t="s">
        <v>68</v>
      </c>
      <c r="CR98" s="30" t="s">
        <v>69</v>
      </c>
      <c r="CS98" s="30" t="s">
        <v>70</v>
      </c>
      <c r="CT98" s="30" t="s">
        <v>71</v>
      </c>
      <c r="CU98" s="30" t="s">
        <v>72</v>
      </c>
      <c r="CV98" s="30" t="s">
        <v>73</v>
      </c>
      <c r="CW98" s="30" t="s">
        <v>74</v>
      </c>
      <c r="CX98" s="30" t="s">
        <v>75</v>
      </c>
      <c r="CY98" s="30" t="s">
        <v>76</v>
      </c>
      <c r="CZ98" s="30" t="s">
        <v>77</v>
      </c>
      <c r="DA98" s="30" t="s">
        <v>78</v>
      </c>
      <c r="DB98" s="30" t="s">
        <v>111</v>
      </c>
      <c r="DC98" s="30" t="s">
        <v>67</v>
      </c>
      <c r="DD98" s="30" t="s">
        <v>68</v>
      </c>
      <c r="DE98" s="30" t="s">
        <v>69</v>
      </c>
      <c r="DF98" s="30" t="s">
        <v>70</v>
      </c>
      <c r="DG98" s="30" t="s">
        <v>71</v>
      </c>
      <c r="DH98" s="30" t="s">
        <v>72</v>
      </c>
      <c r="DI98" s="30" t="s">
        <v>73</v>
      </c>
      <c r="DJ98" s="30" t="s">
        <v>74</v>
      </c>
      <c r="DK98" s="30" t="s">
        <v>75</v>
      </c>
      <c r="DL98" s="30" t="s">
        <v>76</v>
      </c>
      <c r="DM98" s="30" t="s">
        <v>77</v>
      </c>
      <c r="DN98" s="30" t="s">
        <v>78</v>
      </c>
      <c r="DO98" s="30" t="s">
        <v>112</v>
      </c>
      <c r="DP98" s="30" t="s">
        <v>67</v>
      </c>
      <c r="DQ98" s="30" t="s">
        <v>68</v>
      </c>
      <c r="DR98" s="30" t="s">
        <v>69</v>
      </c>
      <c r="DS98" s="30" t="s">
        <v>70</v>
      </c>
      <c r="DT98" s="30" t="s">
        <v>71</v>
      </c>
      <c r="DU98" s="30" t="s">
        <v>72</v>
      </c>
      <c r="DV98" s="30" t="s">
        <v>73</v>
      </c>
      <c r="DW98" s="30" t="s">
        <v>74</v>
      </c>
      <c r="DX98" s="30" t="s">
        <v>75</v>
      </c>
      <c r="DY98" s="30" t="s">
        <v>76</v>
      </c>
      <c r="DZ98" s="30" t="s">
        <v>77</v>
      </c>
      <c r="EA98" s="30" t="s">
        <v>78</v>
      </c>
      <c r="EB98" s="30" t="s">
        <v>113</v>
      </c>
      <c r="EC98" s="30" t="s">
        <v>67</v>
      </c>
      <c r="ED98" s="30" t="s">
        <v>68</v>
      </c>
      <c r="EE98" s="30" t="s">
        <v>69</v>
      </c>
      <c r="EF98" s="30" t="s">
        <v>70</v>
      </c>
      <c r="EG98" s="30" t="s">
        <v>71</v>
      </c>
      <c r="EH98" s="30" t="s">
        <v>72</v>
      </c>
      <c r="EI98" s="30" t="s">
        <v>73</v>
      </c>
      <c r="EJ98" s="30" t="s">
        <v>74</v>
      </c>
      <c r="EK98" s="30" t="s">
        <v>75</v>
      </c>
      <c r="EL98" s="30" t="s">
        <v>76</v>
      </c>
      <c r="EM98" s="30" t="s">
        <v>77</v>
      </c>
      <c r="EN98" s="30" t="s">
        <v>78</v>
      </c>
      <c r="EO98" s="30" t="s">
        <v>114</v>
      </c>
      <c r="EP98" s="30" t="s">
        <v>67</v>
      </c>
      <c r="EQ98" s="30" t="s">
        <v>68</v>
      </c>
      <c r="ER98" s="30" t="s">
        <v>69</v>
      </c>
      <c r="ES98" s="30" t="s">
        <v>70</v>
      </c>
      <c r="ET98" s="30" t="s">
        <v>71</v>
      </c>
      <c r="EU98" s="30" t="s">
        <v>72</v>
      </c>
      <c r="EV98" s="30" t="s">
        <v>73</v>
      </c>
      <c r="EW98" s="30" t="s">
        <v>74</v>
      </c>
      <c r="EX98" s="30" t="s">
        <v>75</v>
      </c>
      <c r="EY98" s="30" t="s">
        <v>76</v>
      </c>
      <c r="EZ98" s="30" t="s">
        <v>77</v>
      </c>
      <c r="FA98" s="30" t="s">
        <v>78</v>
      </c>
      <c r="FB98" s="30" t="s">
        <v>115</v>
      </c>
      <c r="FC98" s="30" t="s">
        <v>67</v>
      </c>
      <c r="FD98" s="30" t="s">
        <v>68</v>
      </c>
      <c r="FE98" s="30" t="s">
        <v>69</v>
      </c>
      <c r="FF98" s="30" t="s">
        <v>70</v>
      </c>
      <c r="FG98" s="30" t="s">
        <v>71</v>
      </c>
      <c r="FH98" s="30" t="s">
        <v>72</v>
      </c>
      <c r="FI98" s="30" t="s">
        <v>73</v>
      </c>
      <c r="FJ98" s="30" t="s">
        <v>74</v>
      </c>
      <c r="FK98" s="30" t="s">
        <v>75</v>
      </c>
      <c r="FL98" s="30" t="s">
        <v>76</v>
      </c>
      <c r="FM98" s="30" t="s">
        <v>77</v>
      </c>
      <c r="FN98" s="30" t="s">
        <v>78</v>
      </c>
      <c r="FO98" s="30" t="s">
        <v>116</v>
      </c>
    </row>
    <row r="99" spans="2:171" x14ac:dyDescent="0.3">
      <c r="B99" s="7" t="s">
        <v>46</v>
      </c>
      <c r="C99" s="9">
        <v>4128812</v>
      </c>
      <c r="D99" s="9">
        <v>4128812</v>
      </c>
      <c r="E99" s="9">
        <v>15897592</v>
      </c>
      <c r="F99" s="9">
        <v>15897592</v>
      </c>
      <c r="G99" s="9">
        <v>15897592</v>
      </c>
      <c r="H99" s="9">
        <v>15891592</v>
      </c>
      <c r="I99" s="9">
        <v>15891592</v>
      </c>
      <c r="J99" s="9">
        <v>15765687</v>
      </c>
      <c r="K99" s="9">
        <v>4289447</v>
      </c>
      <c r="L99" s="9">
        <v>4289447</v>
      </c>
      <c r="M99" s="9">
        <v>4752812</v>
      </c>
      <c r="N99" s="9">
        <v>4752812</v>
      </c>
      <c r="O99" s="31">
        <v>4752812</v>
      </c>
      <c r="P99" s="9">
        <v>4693552</v>
      </c>
      <c r="Q99" s="9">
        <v>4693552</v>
      </c>
      <c r="R99" s="9">
        <v>4693552</v>
      </c>
      <c r="S99" s="9">
        <v>4693552</v>
      </c>
      <c r="T99" s="9">
        <v>4693552</v>
      </c>
      <c r="U99" s="9">
        <v>4693552</v>
      </c>
      <c r="V99" s="9">
        <v>4693552</v>
      </c>
      <c r="W99" s="9">
        <v>4702608</v>
      </c>
      <c r="X99" s="9">
        <v>4702608</v>
      </c>
      <c r="Y99" s="9">
        <v>4702608</v>
      </c>
      <c r="Z99" s="9">
        <v>4702608</v>
      </c>
      <c r="AA99" s="9">
        <v>4702608</v>
      </c>
      <c r="AB99" s="31">
        <v>4702608</v>
      </c>
      <c r="AC99" s="9">
        <v>3911026</v>
      </c>
      <c r="AD99" s="9">
        <v>3911026</v>
      </c>
      <c r="AE99" s="9">
        <v>3911026</v>
      </c>
      <c r="AF99" s="9">
        <v>3801216</v>
      </c>
      <c r="AG99" s="9">
        <v>3801216</v>
      </c>
      <c r="AH99" s="9">
        <v>3756148</v>
      </c>
      <c r="AI99" s="9">
        <v>3756148</v>
      </c>
      <c r="AJ99" s="9">
        <v>3756148</v>
      </c>
      <c r="AK99" s="9">
        <v>3771148</v>
      </c>
      <c r="AL99" s="9">
        <v>3871148</v>
      </c>
      <c r="AM99" s="9">
        <v>3871148</v>
      </c>
      <c r="AN99" s="9">
        <v>3871148</v>
      </c>
      <c r="AO99" s="31">
        <v>3871148</v>
      </c>
      <c r="AP99" s="9">
        <v>4389807</v>
      </c>
      <c r="AQ99" s="9">
        <v>4389807</v>
      </c>
      <c r="AR99" s="9">
        <v>4389807</v>
      </c>
      <c r="AS99" s="9">
        <v>4389807</v>
      </c>
      <c r="AT99" s="9">
        <v>4377222</v>
      </c>
      <c r="AU99" s="9">
        <v>4377222</v>
      </c>
      <c r="AV99" s="9">
        <v>4377222</v>
      </c>
      <c r="AW99" s="9">
        <v>4350459</v>
      </c>
      <c r="AX99" s="9">
        <v>4353459</v>
      </c>
      <c r="AY99" s="9">
        <v>4353459</v>
      </c>
      <c r="AZ99" s="9">
        <v>4353459</v>
      </c>
      <c r="BA99" s="9">
        <v>4352479</v>
      </c>
      <c r="BB99" s="31">
        <v>4352479</v>
      </c>
      <c r="BC99" s="9">
        <v>4513827</v>
      </c>
      <c r="BD99" s="9">
        <v>4513827</v>
      </c>
      <c r="BE99" s="9">
        <v>4513827</v>
      </c>
      <c r="BF99" s="9">
        <v>4513827</v>
      </c>
      <c r="BG99" s="9">
        <v>4513827</v>
      </c>
      <c r="BH99" s="9">
        <v>4513827</v>
      </c>
      <c r="BI99" s="9">
        <v>3946764</v>
      </c>
      <c r="BJ99" s="9">
        <v>3946764</v>
      </c>
      <c r="BK99" s="9">
        <v>3946764</v>
      </c>
      <c r="BL99" s="9">
        <v>3946764</v>
      </c>
      <c r="BM99" s="9">
        <v>3977035</v>
      </c>
      <c r="BN99" s="9">
        <v>3977035</v>
      </c>
      <c r="BO99" s="31">
        <v>3977035</v>
      </c>
      <c r="BP99" s="9">
        <v>4195666</v>
      </c>
      <c r="BQ99" s="9">
        <v>4195666</v>
      </c>
      <c r="BR99" s="9">
        <v>4195666</v>
      </c>
      <c r="BS99" s="9">
        <v>4195666</v>
      </c>
      <c r="BT99" s="9">
        <v>4195666</v>
      </c>
      <c r="BU99" s="9">
        <v>4195666</v>
      </c>
      <c r="BV99" s="9">
        <v>4195666</v>
      </c>
      <c r="BW99" s="9">
        <v>4195666</v>
      </c>
      <c r="BX99" s="9">
        <v>4195666</v>
      </c>
      <c r="BY99" s="9">
        <v>4195666</v>
      </c>
      <c r="BZ99" s="9">
        <v>4195666</v>
      </c>
      <c r="CA99" s="9">
        <v>4202266</v>
      </c>
      <c r="CB99" s="31">
        <v>4202266</v>
      </c>
      <c r="CC99" s="9">
        <v>4783688</v>
      </c>
      <c r="CD99" s="9">
        <v>4783688</v>
      </c>
      <c r="CE99" s="9">
        <v>4783688</v>
      </c>
      <c r="CF99" s="9">
        <v>4101143</v>
      </c>
      <c r="CG99" s="9">
        <v>3490652</v>
      </c>
      <c r="CH99" s="9">
        <v>3490652</v>
      </c>
      <c r="CI99" s="9">
        <v>3490652</v>
      </c>
      <c r="CJ99" s="9">
        <v>3490652</v>
      </c>
      <c r="CK99" s="9">
        <v>3490652</v>
      </c>
      <c r="CL99" s="9">
        <v>3490652</v>
      </c>
      <c r="CM99" s="9">
        <v>3532198</v>
      </c>
      <c r="CN99" s="9">
        <v>2924379</v>
      </c>
      <c r="CO99" s="31">
        <v>2924379</v>
      </c>
      <c r="CP99" s="9">
        <v>3949109</v>
      </c>
      <c r="CQ99" s="9">
        <v>3949109</v>
      </c>
      <c r="CR99" s="9">
        <v>3949109</v>
      </c>
      <c r="CS99" s="9">
        <v>3949109</v>
      </c>
      <c r="CT99" s="9">
        <v>3949109</v>
      </c>
      <c r="CU99" s="9">
        <v>3938465</v>
      </c>
      <c r="CV99" s="9">
        <v>3938465</v>
      </c>
      <c r="CW99" s="9">
        <v>3938465</v>
      </c>
      <c r="CX99" s="9">
        <v>3938465</v>
      </c>
      <c r="CY99" s="9">
        <v>3938465</v>
      </c>
      <c r="CZ99" s="9">
        <v>3928965</v>
      </c>
      <c r="DA99" s="9">
        <v>3199280</v>
      </c>
      <c r="DB99" s="31">
        <v>3199280</v>
      </c>
      <c r="DC99" s="9">
        <v>3677484</v>
      </c>
      <c r="DD99" s="9">
        <v>3677484</v>
      </c>
      <c r="DE99" s="9">
        <v>3677484</v>
      </c>
      <c r="DF99" s="9">
        <v>3677484</v>
      </c>
      <c r="DG99" s="9">
        <v>3771152</v>
      </c>
      <c r="DH99" s="9">
        <v>3841152</v>
      </c>
      <c r="DI99" s="9">
        <v>3841152</v>
      </c>
      <c r="DJ99" s="9">
        <v>3841152</v>
      </c>
      <c r="DK99" s="9">
        <v>3841152</v>
      </c>
      <c r="DL99" s="9">
        <v>3928152</v>
      </c>
      <c r="DM99" s="9">
        <v>3928152</v>
      </c>
      <c r="DN99" s="9">
        <v>3784939</v>
      </c>
      <c r="DO99" s="31">
        <v>3784939</v>
      </c>
      <c r="DP99" s="9">
        <v>4127526</v>
      </c>
      <c r="DQ99" s="9">
        <v>4127526</v>
      </c>
      <c r="DR99" s="9">
        <v>4127526</v>
      </c>
      <c r="DS99" s="9">
        <v>4127526</v>
      </c>
      <c r="DT99" s="9">
        <v>4127526</v>
      </c>
      <c r="DU99" s="9">
        <v>4127526</v>
      </c>
      <c r="DV99" s="9">
        <v>4127526</v>
      </c>
      <c r="DW99" s="9">
        <v>4127526</v>
      </c>
      <c r="DX99" s="9">
        <v>4127526</v>
      </c>
      <c r="DY99" s="9">
        <v>4127526</v>
      </c>
      <c r="DZ99" s="9">
        <v>4127526</v>
      </c>
      <c r="EA99" s="9">
        <v>3999809</v>
      </c>
      <c r="EB99" s="31">
        <v>3999809</v>
      </c>
      <c r="EC99" s="9">
        <v>30674754</v>
      </c>
      <c r="ED99" s="9">
        <v>30674754</v>
      </c>
      <c r="EE99" s="9">
        <v>30674754</v>
      </c>
      <c r="EF99" s="9">
        <v>30674754</v>
      </c>
      <c r="EG99" s="9">
        <v>30710139</v>
      </c>
      <c r="EH99" s="9">
        <v>27678180</v>
      </c>
      <c r="EI99" s="9">
        <v>27678180</v>
      </c>
      <c r="EJ99" s="9">
        <v>27678180</v>
      </c>
      <c r="EK99" s="9">
        <v>27678180</v>
      </c>
      <c r="EL99" s="9">
        <v>27641880</v>
      </c>
      <c r="EM99" s="9">
        <v>3168714</v>
      </c>
      <c r="EN99" s="9">
        <v>3168714</v>
      </c>
      <c r="EO99" s="31">
        <v>3168714</v>
      </c>
      <c r="EP99" s="9">
        <v>4435821</v>
      </c>
      <c r="EQ99" s="9">
        <v>4435821</v>
      </c>
      <c r="ER99" s="9">
        <v>4435821</v>
      </c>
      <c r="ES99" s="9">
        <v>4435821</v>
      </c>
      <c r="ET99" s="9">
        <v>4435821</v>
      </c>
      <c r="EU99" s="9">
        <v>4435821</v>
      </c>
      <c r="EV99" s="9">
        <v>4435821</v>
      </c>
      <c r="EW99" s="9">
        <v>4435821</v>
      </c>
      <c r="EX99" s="9">
        <v>4435821</v>
      </c>
      <c r="EY99" s="9">
        <v>4435821</v>
      </c>
      <c r="EZ99" s="9">
        <v>4435821</v>
      </c>
      <c r="FA99" s="9">
        <v>4435821</v>
      </c>
      <c r="FB99" s="31">
        <v>4435821</v>
      </c>
      <c r="FC99" s="9">
        <v>4182704</v>
      </c>
      <c r="FD99" s="9">
        <v>4182704</v>
      </c>
      <c r="FE99" s="9">
        <v>4182704</v>
      </c>
      <c r="FF99" s="9">
        <v>4182704</v>
      </c>
      <c r="FG99" s="9">
        <v>4182704</v>
      </c>
      <c r="FH99" s="9">
        <v>4182704</v>
      </c>
      <c r="FI99" s="9">
        <v>4182704</v>
      </c>
      <c r="FJ99" s="9">
        <v>4182704</v>
      </c>
      <c r="FK99" s="9">
        <v>4182704</v>
      </c>
      <c r="FL99" s="9">
        <v>4182704</v>
      </c>
      <c r="FM99" s="9">
        <v>4182704</v>
      </c>
      <c r="FN99" s="9">
        <v>4182704</v>
      </c>
      <c r="FO99" s="31">
        <v>4182704</v>
      </c>
    </row>
    <row r="100" spans="2:171" x14ac:dyDescent="0.3">
      <c r="B100" s="7" t="s">
        <v>47</v>
      </c>
      <c r="C100" s="9">
        <v>54576</v>
      </c>
      <c r="D100" s="9">
        <v>54576</v>
      </c>
      <c r="E100" s="9">
        <v>54576</v>
      </c>
      <c r="F100" s="9">
        <v>54576</v>
      </c>
      <c r="G100" s="9">
        <v>54576</v>
      </c>
      <c r="H100" s="9">
        <v>54576</v>
      </c>
      <c r="I100" s="9">
        <v>54576</v>
      </c>
      <c r="J100" s="9">
        <v>54576</v>
      </c>
      <c r="K100" s="9">
        <v>54576</v>
      </c>
      <c r="L100" s="9">
        <v>54576</v>
      </c>
      <c r="M100" s="9">
        <v>54576</v>
      </c>
      <c r="N100" s="9">
        <v>54576</v>
      </c>
      <c r="O100" s="31">
        <v>54576</v>
      </c>
      <c r="P100" s="9">
        <v>56213</v>
      </c>
      <c r="Q100" s="9">
        <v>56213</v>
      </c>
      <c r="R100" s="9">
        <v>56213</v>
      </c>
      <c r="S100" s="9">
        <v>56213</v>
      </c>
      <c r="T100" s="9">
        <v>116213</v>
      </c>
      <c r="U100" s="9">
        <v>116213</v>
      </c>
      <c r="V100" s="9">
        <v>116213</v>
      </c>
      <c r="W100" s="9">
        <v>116213</v>
      </c>
      <c r="X100" s="9">
        <v>116213</v>
      </c>
      <c r="Y100" s="9">
        <v>116213</v>
      </c>
      <c r="Z100" s="9">
        <v>116213</v>
      </c>
      <c r="AA100" s="9">
        <v>116213</v>
      </c>
      <c r="AB100" s="31">
        <v>116213</v>
      </c>
      <c r="AC100" s="9">
        <v>58349</v>
      </c>
      <c r="AD100" s="9">
        <v>58349</v>
      </c>
      <c r="AE100" s="9">
        <v>58349</v>
      </c>
      <c r="AF100" s="9">
        <v>58349</v>
      </c>
      <c r="AG100" s="9">
        <v>58349</v>
      </c>
      <c r="AH100" s="9">
        <v>58349</v>
      </c>
      <c r="AI100" s="9">
        <v>58349</v>
      </c>
      <c r="AJ100" s="9">
        <v>58349</v>
      </c>
      <c r="AK100" s="9">
        <v>58349</v>
      </c>
      <c r="AL100" s="9">
        <v>58349</v>
      </c>
      <c r="AM100" s="9">
        <v>58349</v>
      </c>
      <c r="AN100" s="9">
        <v>58349</v>
      </c>
      <c r="AO100" s="31">
        <v>58349</v>
      </c>
      <c r="AP100" s="9">
        <v>64890</v>
      </c>
      <c r="AQ100" s="9">
        <v>64890</v>
      </c>
      <c r="AR100" s="9">
        <v>64890</v>
      </c>
      <c r="AS100" s="9">
        <v>64890</v>
      </c>
      <c r="AT100" s="9">
        <v>64890</v>
      </c>
      <c r="AU100" s="9">
        <v>64890</v>
      </c>
      <c r="AV100" s="9">
        <v>64890</v>
      </c>
      <c r="AW100" s="9">
        <v>78955</v>
      </c>
      <c r="AX100" s="9">
        <v>78955</v>
      </c>
      <c r="AY100" s="9">
        <v>78955</v>
      </c>
      <c r="AZ100" s="9">
        <v>78955</v>
      </c>
      <c r="BA100" s="9">
        <v>78955</v>
      </c>
      <c r="BB100" s="31">
        <v>78955</v>
      </c>
      <c r="BC100" s="9">
        <v>104652</v>
      </c>
      <c r="BD100" s="9">
        <v>104652</v>
      </c>
      <c r="BE100" s="9">
        <v>104652</v>
      </c>
      <c r="BF100" s="9">
        <v>104652</v>
      </c>
      <c r="BG100" s="9">
        <v>104652</v>
      </c>
      <c r="BH100" s="9">
        <v>104652</v>
      </c>
      <c r="BI100" s="9">
        <v>90187</v>
      </c>
      <c r="BJ100" s="9">
        <v>90187</v>
      </c>
      <c r="BK100" s="9">
        <v>90187</v>
      </c>
      <c r="BL100" s="9">
        <v>90187</v>
      </c>
      <c r="BM100" s="9">
        <v>90187</v>
      </c>
      <c r="BN100" s="9">
        <v>90187</v>
      </c>
      <c r="BO100" s="31">
        <v>90187</v>
      </c>
      <c r="BP100" s="9">
        <v>141261</v>
      </c>
      <c r="BQ100" s="9">
        <v>141261</v>
      </c>
      <c r="BR100" s="9">
        <v>141261</v>
      </c>
      <c r="BS100" s="9">
        <v>141261</v>
      </c>
      <c r="BT100" s="9">
        <v>141261</v>
      </c>
      <c r="BU100" s="9">
        <v>141261</v>
      </c>
      <c r="BV100" s="9">
        <v>141261</v>
      </c>
      <c r="BW100" s="9">
        <v>141261</v>
      </c>
      <c r="BX100" s="9">
        <v>141261</v>
      </c>
      <c r="BY100" s="9">
        <v>141261</v>
      </c>
      <c r="BZ100" s="9">
        <v>141261</v>
      </c>
      <c r="CA100" s="9">
        <v>141261</v>
      </c>
      <c r="CB100" s="31">
        <v>141261</v>
      </c>
      <c r="CC100" s="9">
        <v>144934</v>
      </c>
      <c r="CD100" s="9">
        <v>144934</v>
      </c>
      <c r="CE100" s="9">
        <v>144934</v>
      </c>
      <c r="CF100" s="9">
        <v>132217</v>
      </c>
      <c r="CG100" s="9">
        <v>68090</v>
      </c>
      <c r="CH100" s="9">
        <v>68090</v>
      </c>
      <c r="CI100" s="9">
        <v>68090</v>
      </c>
      <c r="CJ100" s="9">
        <v>68090</v>
      </c>
      <c r="CK100" s="9">
        <v>68090</v>
      </c>
      <c r="CL100" s="9">
        <v>68090</v>
      </c>
      <c r="CM100" s="9">
        <v>144934</v>
      </c>
      <c r="CN100" s="9">
        <v>144934</v>
      </c>
      <c r="CO100" s="31">
        <v>144934</v>
      </c>
      <c r="CP100" s="9">
        <v>71111</v>
      </c>
      <c r="CQ100" s="9">
        <v>71111</v>
      </c>
      <c r="CR100" s="9">
        <v>71111</v>
      </c>
      <c r="CS100" s="9">
        <v>71111</v>
      </c>
      <c r="CT100" s="9">
        <v>71111</v>
      </c>
      <c r="CU100" s="9">
        <v>71111</v>
      </c>
      <c r="CV100" s="9">
        <v>71111</v>
      </c>
      <c r="CW100" s="9">
        <v>71111</v>
      </c>
      <c r="CX100" s="9">
        <v>71111</v>
      </c>
      <c r="CY100" s="9">
        <v>71111</v>
      </c>
      <c r="CZ100" s="9">
        <v>80111</v>
      </c>
      <c r="DA100" s="9">
        <v>80111</v>
      </c>
      <c r="DB100" s="31">
        <v>80111</v>
      </c>
      <c r="DC100" s="9">
        <v>33328</v>
      </c>
      <c r="DD100" s="9">
        <v>33328</v>
      </c>
      <c r="DE100" s="9">
        <v>33328</v>
      </c>
      <c r="DF100" s="9">
        <v>33328</v>
      </c>
      <c r="DG100" s="9">
        <v>33328</v>
      </c>
      <c r="DH100" s="9">
        <v>33328</v>
      </c>
      <c r="DI100" s="9">
        <v>33328</v>
      </c>
      <c r="DJ100" s="9">
        <v>33328</v>
      </c>
      <c r="DK100" s="9">
        <v>33328</v>
      </c>
      <c r="DL100" s="9">
        <v>33328</v>
      </c>
      <c r="DM100" s="9">
        <v>33328</v>
      </c>
      <c r="DN100" s="9">
        <v>33328</v>
      </c>
      <c r="DO100" s="31">
        <v>33328</v>
      </c>
      <c r="DP100" s="9">
        <v>0</v>
      </c>
      <c r="DQ100" s="9">
        <v>0</v>
      </c>
      <c r="DR100" s="9">
        <v>0</v>
      </c>
      <c r="DS100" s="9">
        <v>0</v>
      </c>
      <c r="DT100" s="9">
        <v>0</v>
      </c>
      <c r="DU100" s="9">
        <v>0</v>
      </c>
      <c r="DV100" s="9">
        <v>0</v>
      </c>
      <c r="DW100" s="9">
        <v>0</v>
      </c>
      <c r="DX100" s="9">
        <v>0</v>
      </c>
      <c r="DY100" s="9">
        <v>0</v>
      </c>
      <c r="DZ100" s="9">
        <v>0</v>
      </c>
      <c r="EA100" s="9">
        <v>0</v>
      </c>
      <c r="EB100" s="31">
        <v>0</v>
      </c>
      <c r="EC100" s="9">
        <v>0</v>
      </c>
      <c r="ED100" s="9">
        <v>0</v>
      </c>
      <c r="EE100" s="9">
        <v>0</v>
      </c>
      <c r="EF100" s="9">
        <v>0</v>
      </c>
      <c r="EG100" s="9">
        <v>6773</v>
      </c>
      <c r="EH100" s="9">
        <v>6773</v>
      </c>
      <c r="EI100" s="9">
        <v>6773</v>
      </c>
      <c r="EJ100" s="9">
        <v>240920</v>
      </c>
      <c r="EK100" s="9">
        <v>240920</v>
      </c>
      <c r="EL100" s="9">
        <v>240920</v>
      </c>
      <c r="EM100" s="9">
        <v>240920</v>
      </c>
      <c r="EN100" s="9">
        <v>240920</v>
      </c>
      <c r="EO100" s="31">
        <v>240920</v>
      </c>
      <c r="EP100" s="9">
        <v>6929</v>
      </c>
      <c r="EQ100" s="9">
        <v>6929</v>
      </c>
      <c r="ER100" s="9">
        <v>6929</v>
      </c>
      <c r="ES100" s="9">
        <v>6929</v>
      </c>
      <c r="ET100" s="9">
        <v>6929</v>
      </c>
      <c r="EU100" s="9">
        <v>6929</v>
      </c>
      <c r="EV100" s="9">
        <v>6929</v>
      </c>
      <c r="EW100" s="9">
        <v>6929</v>
      </c>
      <c r="EX100" s="9">
        <v>6929</v>
      </c>
      <c r="EY100" s="9">
        <v>6929</v>
      </c>
      <c r="EZ100" s="9">
        <v>6929</v>
      </c>
      <c r="FA100" s="9">
        <v>6929</v>
      </c>
      <c r="FB100" s="31">
        <v>6929</v>
      </c>
      <c r="FC100" s="9">
        <v>0</v>
      </c>
      <c r="FD100" s="9">
        <v>0</v>
      </c>
      <c r="FE100" s="9">
        <v>0</v>
      </c>
      <c r="FF100" s="9">
        <v>0</v>
      </c>
      <c r="FG100" s="9">
        <v>0</v>
      </c>
      <c r="FH100" s="9">
        <v>0</v>
      </c>
      <c r="FI100" s="9">
        <v>0</v>
      </c>
      <c r="FJ100" s="9">
        <v>0</v>
      </c>
      <c r="FK100" s="9">
        <v>0</v>
      </c>
      <c r="FL100" s="9">
        <v>0</v>
      </c>
      <c r="FM100" s="9">
        <v>0</v>
      </c>
      <c r="FN100" s="9">
        <v>0</v>
      </c>
      <c r="FO100" s="31">
        <v>0</v>
      </c>
    </row>
    <row r="101" spans="2:171" x14ac:dyDescent="0.3">
      <c r="B101" s="7" t="s">
        <v>48</v>
      </c>
      <c r="C101" s="9">
        <v>23059</v>
      </c>
      <c r="D101" s="9">
        <v>23059</v>
      </c>
      <c r="E101" s="9">
        <v>23059</v>
      </c>
      <c r="F101" s="9">
        <v>23059</v>
      </c>
      <c r="G101" s="9">
        <v>23059</v>
      </c>
      <c r="H101" s="9">
        <v>23059</v>
      </c>
      <c r="I101" s="9">
        <v>23059</v>
      </c>
      <c r="J101" s="9">
        <v>23059</v>
      </c>
      <c r="K101" s="9">
        <v>4525059</v>
      </c>
      <c r="L101" s="9">
        <v>4525059</v>
      </c>
      <c r="M101" s="9">
        <v>5264599</v>
      </c>
      <c r="N101" s="9">
        <v>5264599</v>
      </c>
      <c r="O101" s="31">
        <v>5264599</v>
      </c>
      <c r="P101" s="9">
        <v>24642</v>
      </c>
      <c r="Q101" s="9">
        <v>24642</v>
      </c>
      <c r="R101" s="9">
        <v>24642</v>
      </c>
      <c r="S101" s="9">
        <v>24642</v>
      </c>
      <c r="T101" s="9">
        <v>24642</v>
      </c>
      <c r="U101" s="9">
        <v>24642</v>
      </c>
      <c r="V101" s="9">
        <v>4477642</v>
      </c>
      <c r="W101" s="9">
        <v>4477642</v>
      </c>
      <c r="X101" s="9">
        <v>4477642</v>
      </c>
      <c r="Y101" s="9">
        <v>4477642</v>
      </c>
      <c r="Z101" s="9">
        <v>4477642</v>
      </c>
      <c r="AA101" s="9">
        <v>3795311</v>
      </c>
      <c r="AB101" s="31">
        <v>3795311</v>
      </c>
      <c r="AC101" s="9">
        <v>23431</v>
      </c>
      <c r="AD101" s="9">
        <v>23431</v>
      </c>
      <c r="AE101" s="9">
        <v>23431</v>
      </c>
      <c r="AF101" s="9">
        <v>23431</v>
      </c>
      <c r="AG101" s="9">
        <v>23431</v>
      </c>
      <c r="AH101" s="9">
        <v>33414</v>
      </c>
      <c r="AI101" s="9">
        <v>33414</v>
      </c>
      <c r="AJ101" s="9">
        <v>33414</v>
      </c>
      <c r="AK101" s="9">
        <v>33414</v>
      </c>
      <c r="AL101" s="9">
        <v>214280</v>
      </c>
      <c r="AM101" s="9">
        <v>214280</v>
      </c>
      <c r="AN101" s="9">
        <v>214280</v>
      </c>
      <c r="AO101" s="31">
        <v>214280</v>
      </c>
      <c r="AP101" s="9">
        <v>13390</v>
      </c>
      <c r="AQ101" s="9">
        <v>13390</v>
      </c>
      <c r="AR101" s="9">
        <v>13390</v>
      </c>
      <c r="AS101" s="9">
        <v>13390</v>
      </c>
      <c r="AT101" s="9">
        <v>13390</v>
      </c>
      <c r="AU101" s="9">
        <v>13390</v>
      </c>
      <c r="AV101" s="9">
        <v>13390</v>
      </c>
      <c r="AW101" s="9">
        <v>13390</v>
      </c>
      <c r="AX101" s="9">
        <v>13390</v>
      </c>
      <c r="AY101" s="9">
        <v>263946</v>
      </c>
      <c r="AZ101" s="9">
        <v>263946</v>
      </c>
      <c r="BA101" s="9">
        <v>385001</v>
      </c>
      <c r="BB101" s="31">
        <v>385001</v>
      </c>
      <c r="BC101" s="9">
        <v>18468</v>
      </c>
      <c r="BD101" s="9">
        <v>18468</v>
      </c>
      <c r="BE101" s="9">
        <v>18468</v>
      </c>
      <c r="BF101" s="9">
        <v>18468</v>
      </c>
      <c r="BG101" s="9">
        <v>18468</v>
      </c>
      <c r="BH101" s="9">
        <v>18468</v>
      </c>
      <c r="BI101" s="9">
        <v>15354</v>
      </c>
      <c r="BJ101" s="9">
        <v>15354</v>
      </c>
      <c r="BK101" s="9">
        <v>15354</v>
      </c>
      <c r="BL101" s="9">
        <v>15354</v>
      </c>
      <c r="BM101" s="9">
        <v>15354</v>
      </c>
      <c r="BN101" s="9">
        <v>15354</v>
      </c>
      <c r="BO101" s="31">
        <v>15354</v>
      </c>
      <c r="BP101" s="9">
        <v>11102</v>
      </c>
      <c r="BQ101" s="9">
        <v>11102</v>
      </c>
      <c r="BR101" s="9">
        <v>11102</v>
      </c>
      <c r="BS101" s="9">
        <v>11102</v>
      </c>
      <c r="BT101" s="9">
        <v>161557</v>
      </c>
      <c r="BU101" s="9">
        <v>161557</v>
      </c>
      <c r="BV101" s="9">
        <v>161557</v>
      </c>
      <c r="BW101" s="9">
        <v>161557</v>
      </c>
      <c r="BX101" s="9">
        <v>161557</v>
      </c>
      <c r="BY101" s="9">
        <v>161557</v>
      </c>
      <c r="BZ101" s="9">
        <v>161557</v>
      </c>
      <c r="CA101" s="9">
        <v>161557</v>
      </c>
      <c r="CB101" s="31">
        <v>161557</v>
      </c>
      <c r="CC101" s="9">
        <v>11391</v>
      </c>
      <c r="CD101" s="9">
        <v>11391</v>
      </c>
      <c r="CE101" s="9">
        <v>11391</v>
      </c>
      <c r="CF101" s="9">
        <v>7974</v>
      </c>
      <c r="CG101" s="9">
        <v>3986</v>
      </c>
      <c r="CH101" s="9">
        <v>3986</v>
      </c>
      <c r="CI101" s="9">
        <v>3986</v>
      </c>
      <c r="CJ101" s="9">
        <v>3986</v>
      </c>
      <c r="CK101" s="9">
        <v>3986</v>
      </c>
      <c r="CL101" s="9">
        <v>88628</v>
      </c>
      <c r="CM101" s="9">
        <v>96033</v>
      </c>
      <c r="CN101" s="9">
        <v>96033</v>
      </c>
      <c r="CO101" s="31">
        <v>96033</v>
      </c>
      <c r="CP101" s="9">
        <v>8967</v>
      </c>
      <c r="CQ101" s="9">
        <v>8967</v>
      </c>
      <c r="CR101" s="9">
        <v>8967</v>
      </c>
      <c r="CS101" s="9">
        <v>8967</v>
      </c>
      <c r="CT101" s="9">
        <v>8967</v>
      </c>
      <c r="CU101" s="9">
        <v>8967</v>
      </c>
      <c r="CV101" s="9">
        <v>8967</v>
      </c>
      <c r="CW101" s="9">
        <v>8967</v>
      </c>
      <c r="CX101" s="9">
        <v>8967</v>
      </c>
      <c r="CY101" s="9">
        <v>8967</v>
      </c>
      <c r="CZ101" s="9">
        <v>6258817</v>
      </c>
      <c r="DA101" s="9">
        <v>6258817</v>
      </c>
      <c r="DB101" s="31">
        <v>6258817</v>
      </c>
      <c r="DC101" s="9">
        <v>0</v>
      </c>
      <c r="DD101" s="9">
        <v>0</v>
      </c>
      <c r="DE101" s="9">
        <v>0</v>
      </c>
      <c r="DF101" s="9">
        <v>0</v>
      </c>
      <c r="DG101" s="9">
        <v>0</v>
      </c>
      <c r="DH101" s="9">
        <v>0</v>
      </c>
      <c r="DI101" s="9">
        <v>0</v>
      </c>
      <c r="DJ101" s="9">
        <v>0</v>
      </c>
      <c r="DK101" s="9">
        <v>7943900</v>
      </c>
      <c r="DL101" s="9">
        <v>7943900</v>
      </c>
      <c r="DM101" s="9">
        <v>9744243</v>
      </c>
      <c r="DN101" s="9">
        <v>9744243</v>
      </c>
      <c r="DO101" s="31">
        <v>9744243</v>
      </c>
      <c r="DP101" s="9">
        <v>0</v>
      </c>
      <c r="DQ101" s="9">
        <v>0</v>
      </c>
      <c r="DR101" s="9">
        <v>0</v>
      </c>
      <c r="DS101" s="9">
        <v>0</v>
      </c>
      <c r="DT101" s="9">
        <v>0</v>
      </c>
      <c r="DU101" s="9">
        <v>0</v>
      </c>
      <c r="DV101" s="9">
        <v>0</v>
      </c>
      <c r="DW101" s="9">
        <v>0</v>
      </c>
      <c r="DX101" s="9">
        <v>0</v>
      </c>
      <c r="DY101" s="9">
        <v>0</v>
      </c>
      <c r="DZ101" s="9">
        <v>0</v>
      </c>
      <c r="EA101" s="9">
        <v>0</v>
      </c>
      <c r="EB101" s="31">
        <v>0</v>
      </c>
      <c r="EC101" s="9">
        <v>0</v>
      </c>
      <c r="ED101" s="9">
        <v>0</v>
      </c>
      <c r="EE101" s="9">
        <v>0</v>
      </c>
      <c r="EF101" s="9">
        <v>0</v>
      </c>
      <c r="EG101" s="9">
        <v>5926</v>
      </c>
      <c r="EH101" s="9">
        <v>5926</v>
      </c>
      <c r="EI101" s="9">
        <v>5926</v>
      </c>
      <c r="EJ101" s="9">
        <v>5926</v>
      </c>
      <c r="EK101" s="9">
        <v>5926</v>
      </c>
      <c r="EL101" s="9">
        <v>7496</v>
      </c>
      <c r="EM101" s="9">
        <v>7496</v>
      </c>
      <c r="EN101" s="9">
        <v>7496</v>
      </c>
      <c r="EO101" s="31">
        <v>7496</v>
      </c>
      <c r="EP101" s="9">
        <v>2970</v>
      </c>
      <c r="EQ101" s="9">
        <v>2970</v>
      </c>
      <c r="ER101" s="9">
        <v>2970</v>
      </c>
      <c r="ES101" s="9">
        <v>2970</v>
      </c>
      <c r="ET101" s="9">
        <v>2970</v>
      </c>
      <c r="EU101" s="9">
        <v>2970</v>
      </c>
      <c r="EV101" s="9">
        <v>2970</v>
      </c>
      <c r="EW101" s="9">
        <v>2970</v>
      </c>
      <c r="EX101" s="9">
        <v>2970</v>
      </c>
      <c r="EY101" s="9">
        <v>2970</v>
      </c>
      <c r="EZ101" s="9">
        <v>2970</v>
      </c>
      <c r="FA101" s="9">
        <v>2970</v>
      </c>
      <c r="FB101" s="31">
        <v>2970</v>
      </c>
      <c r="FC101" s="9">
        <v>10</v>
      </c>
      <c r="FD101" s="9">
        <v>10</v>
      </c>
      <c r="FE101" s="9">
        <v>10</v>
      </c>
      <c r="FF101" s="9">
        <v>10</v>
      </c>
      <c r="FG101" s="9">
        <v>10</v>
      </c>
      <c r="FH101" s="9">
        <v>10</v>
      </c>
      <c r="FI101" s="9">
        <v>10</v>
      </c>
      <c r="FJ101" s="9">
        <v>10</v>
      </c>
      <c r="FK101" s="9">
        <v>10</v>
      </c>
      <c r="FL101" s="9">
        <v>10</v>
      </c>
      <c r="FM101" s="9">
        <v>10</v>
      </c>
      <c r="FN101" s="9">
        <v>10</v>
      </c>
      <c r="FO101" s="31">
        <v>10</v>
      </c>
    </row>
    <row r="102" spans="2:171" x14ac:dyDescent="0.3">
      <c r="B102" s="7" t="s">
        <v>49</v>
      </c>
      <c r="C102" s="9">
        <v>9750</v>
      </c>
      <c r="D102" s="9">
        <v>9750</v>
      </c>
      <c r="E102" s="9">
        <v>9750</v>
      </c>
      <c r="F102" s="9">
        <v>9750</v>
      </c>
      <c r="G102" s="9">
        <v>9750</v>
      </c>
      <c r="H102" s="9">
        <v>9750</v>
      </c>
      <c r="I102" s="9">
        <v>9750</v>
      </c>
      <c r="J102" s="9">
        <v>9750</v>
      </c>
      <c r="K102" s="9">
        <v>9750</v>
      </c>
      <c r="L102" s="9">
        <v>9750</v>
      </c>
      <c r="M102" s="9">
        <v>9750</v>
      </c>
      <c r="N102" s="9">
        <v>1673736</v>
      </c>
      <c r="O102" s="31">
        <v>1673736</v>
      </c>
      <c r="P102" s="9">
        <v>15091</v>
      </c>
      <c r="Q102" s="9">
        <v>3847256</v>
      </c>
      <c r="R102" s="9">
        <v>3847256</v>
      </c>
      <c r="S102" s="9">
        <v>6300204</v>
      </c>
      <c r="T102" s="9">
        <v>6300204</v>
      </c>
      <c r="U102" s="9">
        <v>6527454</v>
      </c>
      <c r="V102" s="9">
        <v>6527454</v>
      </c>
      <c r="W102" s="9">
        <v>6527454</v>
      </c>
      <c r="X102" s="9">
        <v>6527454</v>
      </c>
      <c r="Y102" s="9">
        <v>9418442</v>
      </c>
      <c r="Z102" s="9">
        <v>11296606</v>
      </c>
      <c r="AA102" s="9">
        <v>11296606</v>
      </c>
      <c r="AB102" s="31">
        <v>11296606</v>
      </c>
      <c r="AC102" s="9">
        <v>14630</v>
      </c>
      <c r="AD102" s="9">
        <v>14630</v>
      </c>
      <c r="AE102" s="9">
        <v>14630</v>
      </c>
      <c r="AF102" s="9">
        <v>34819</v>
      </c>
      <c r="AG102" s="9">
        <v>8652905</v>
      </c>
      <c r="AH102" s="9">
        <v>8652905</v>
      </c>
      <c r="AI102" s="9">
        <v>8652905</v>
      </c>
      <c r="AJ102" s="9">
        <v>8790900</v>
      </c>
      <c r="AK102" s="9">
        <v>8790900</v>
      </c>
      <c r="AL102" s="9">
        <v>8790900</v>
      </c>
      <c r="AM102" s="9">
        <v>8790900</v>
      </c>
      <c r="AN102" s="9">
        <v>8790900</v>
      </c>
      <c r="AO102" s="31">
        <v>8790900</v>
      </c>
      <c r="AP102" s="9">
        <v>15965</v>
      </c>
      <c r="AQ102" s="9">
        <v>15965</v>
      </c>
      <c r="AR102" s="9">
        <v>15965</v>
      </c>
      <c r="AS102" s="9">
        <v>15965</v>
      </c>
      <c r="AT102" s="9">
        <v>18965</v>
      </c>
      <c r="AU102" s="9">
        <v>665828</v>
      </c>
      <c r="AV102" s="9">
        <v>665828</v>
      </c>
      <c r="AW102" s="9">
        <v>665828</v>
      </c>
      <c r="AX102" s="9">
        <v>665828</v>
      </c>
      <c r="AY102" s="9">
        <v>678411</v>
      </c>
      <c r="AZ102" s="9">
        <v>678411</v>
      </c>
      <c r="BA102" s="9">
        <v>678411</v>
      </c>
      <c r="BB102" s="31">
        <v>678411</v>
      </c>
      <c r="BC102" s="9">
        <v>15148</v>
      </c>
      <c r="BD102" s="9">
        <v>15148</v>
      </c>
      <c r="BE102" s="9">
        <v>15148</v>
      </c>
      <c r="BF102" s="9">
        <v>15148</v>
      </c>
      <c r="BG102" s="9">
        <v>15148</v>
      </c>
      <c r="BH102" s="9">
        <v>15148</v>
      </c>
      <c r="BI102" s="9">
        <v>12510</v>
      </c>
      <c r="BJ102" s="9">
        <v>12510</v>
      </c>
      <c r="BK102" s="9">
        <v>12510</v>
      </c>
      <c r="BL102" s="9">
        <v>12510</v>
      </c>
      <c r="BM102" s="9">
        <v>12510</v>
      </c>
      <c r="BN102" s="9">
        <v>12510</v>
      </c>
      <c r="BO102" s="31">
        <v>12510</v>
      </c>
      <c r="BP102" s="9">
        <v>17987</v>
      </c>
      <c r="BQ102" s="9">
        <v>17987</v>
      </c>
      <c r="BR102" s="9">
        <v>17987</v>
      </c>
      <c r="BS102" s="9">
        <v>17987</v>
      </c>
      <c r="BT102" s="9">
        <v>17987</v>
      </c>
      <c r="BU102" s="9">
        <v>17987</v>
      </c>
      <c r="BV102" s="9">
        <v>17987</v>
      </c>
      <c r="BW102" s="9">
        <v>17987</v>
      </c>
      <c r="BX102" s="9">
        <v>17987</v>
      </c>
      <c r="BY102" s="9">
        <v>17987</v>
      </c>
      <c r="BZ102" s="9">
        <v>17987</v>
      </c>
      <c r="CA102" s="9">
        <v>60987</v>
      </c>
      <c r="CB102" s="31">
        <v>60987</v>
      </c>
      <c r="CC102" s="9">
        <v>18455</v>
      </c>
      <c r="CD102" s="9">
        <v>18455</v>
      </c>
      <c r="CE102" s="9">
        <v>18455</v>
      </c>
      <c r="CF102" s="9">
        <v>12918</v>
      </c>
      <c r="CG102" s="9">
        <v>7232</v>
      </c>
      <c r="CH102" s="9">
        <v>2243714</v>
      </c>
      <c r="CI102" s="9">
        <v>2243714</v>
      </c>
      <c r="CJ102" s="9">
        <v>2243714</v>
      </c>
      <c r="CK102" s="9">
        <v>2243714</v>
      </c>
      <c r="CL102" s="9">
        <v>2243714</v>
      </c>
      <c r="CM102" s="9">
        <v>2254937</v>
      </c>
      <c r="CN102" s="9">
        <v>2254937</v>
      </c>
      <c r="CO102" s="31">
        <v>2254937</v>
      </c>
      <c r="CP102" s="9">
        <v>13147</v>
      </c>
      <c r="CQ102" s="9">
        <v>13147</v>
      </c>
      <c r="CR102" s="9">
        <v>13147</v>
      </c>
      <c r="CS102" s="9">
        <v>13147</v>
      </c>
      <c r="CT102" s="9">
        <v>13147</v>
      </c>
      <c r="CU102" s="9">
        <v>13147</v>
      </c>
      <c r="CV102" s="9">
        <v>13147</v>
      </c>
      <c r="CW102" s="9">
        <v>13147</v>
      </c>
      <c r="CX102" s="9">
        <v>77908</v>
      </c>
      <c r="CY102" s="9">
        <v>77908</v>
      </c>
      <c r="CZ102" s="9">
        <v>78408</v>
      </c>
      <c r="DA102" s="9">
        <v>78408</v>
      </c>
      <c r="DB102" s="31">
        <v>78408</v>
      </c>
      <c r="DC102" s="9">
        <v>0</v>
      </c>
      <c r="DD102" s="9">
        <v>0</v>
      </c>
      <c r="DE102" s="9">
        <v>0</v>
      </c>
      <c r="DF102" s="9">
        <v>0</v>
      </c>
      <c r="DG102" s="9">
        <v>0</v>
      </c>
      <c r="DH102" s="9">
        <v>0</v>
      </c>
      <c r="DI102" s="9">
        <v>0</v>
      </c>
      <c r="DJ102" s="9">
        <v>0</v>
      </c>
      <c r="DK102" s="9">
        <v>0</v>
      </c>
      <c r="DL102" s="9">
        <v>0</v>
      </c>
      <c r="DM102" s="9">
        <v>0</v>
      </c>
      <c r="DN102" s="9">
        <v>0</v>
      </c>
      <c r="DO102" s="31">
        <v>0</v>
      </c>
      <c r="DP102" s="9">
        <v>0</v>
      </c>
      <c r="DQ102" s="9">
        <v>3978246</v>
      </c>
      <c r="DR102" s="9">
        <v>3978246</v>
      </c>
      <c r="DS102" s="9">
        <v>3978246</v>
      </c>
      <c r="DT102" s="9">
        <v>3978246</v>
      </c>
      <c r="DU102" s="9">
        <v>3978246</v>
      </c>
      <c r="DV102" s="9">
        <v>3978246</v>
      </c>
      <c r="DW102" s="9">
        <v>3978246</v>
      </c>
      <c r="DX102" s="9">
        <v>3978246</v>
      </c>
      <c r="DY102" s="9">
        <v>3978246</v>
      </c>
      <c r="DZ102" s="9">
        <v>3978246</v>
      </c>
      <c r="EA102" s="9">
        <v>3978246</v>
      </c>
      <c r="EB102" s="31">
        <v>3978246</v>
      </c>
      <c r="EC102" s="9">
        <v>0</v>
      </c>
      <c r="ED102" s="9">
        <v>0</v>
      </c>
      <c r="EE102" s="9">
        <v>0</v>
      </c>
      <c r="EF102" s="9">
        <v>0</v>
      </c>
      <c r="EG102" s="9">
        <v>1694</v>
      </c>
      <c r="EH102" s="9">
        <v>1694</v>
      </c>
      <c r="EI102" s="9">
        <v>1694</v>
      </c>
      <c r="EJ102" s="9">
        <v>1694</v>
      </c>
      <c r="EK102" s="9">
        <v>1694</v>
      </c>
      <c r="EL102" s="9">
        <v>3479</v>
      </c>
      <c r="EM102" s="9">
        <v>3479</v>
      </c>
      <c r="EN102" s="9">
        <v>3479</v>
      </c>
      <c r="EO102" s="31">
        <v>3479</v>
      </c>
      <c r="EP102" s="9">
        <v>5863</v>
      </c>
      <c r="EQ102" s="9">
        <v>5863</v>
      </c>
      <c r="ER102" s="9">
        <v>5863</v>
      </c>
      <c r="ES102" s="9">
        <v>5863</v>
      </c>
      <c r="ET102" s="9">
        <v>5863</v>
      </c>
      <c r="EU102" s="9">
        <v>5863</v>
      </c>
      <c r="EV102" s="9">
        <v>5863</v>
      </c>
      <c r="EW102" s="9">
        <v>5863</v>
      </c>
      <c r="EX102" s="9">
        <v>5863</v>
      </c>
      <c r="EY102" s="9">
        <v>5863</v>
      </c>
      <c r="EZ102" s="9">
        <v>5863</v>
      </c>
      <c r="FA102" s="9">
        <v>5863</v>
      </c>
      <c r="FB102" s="31">
        <v>5863</v>
      </c>
      <c r="FC102" s="9">
        <v>10</v>
      </c>
      <c r="FD102" s="9">
        <v>10</v>
      </c>
      <c r="FE102" s="9">
        <v>10</v>
      </c>
      <c r="FF102" s="9">
        <v>10</v>
      </c>
      <c r="FG102" s="9">
        <v>10</v>
      </c>
      <c r="FH102" s="9">
        <v>10</v>
      </c>
      <c r="FI102" s="9">
        <v>10</v>
      </c>
      <c r="FJ102" s="9">
        <v>10</v>
      </c>
      <c r="FK102" s="9">
        <v>10</v>
      </c>
      <c r="FL102" s="9">
        <v>10</v>
      </c>
      <c r="FM102" s="9">
        <v>10</v>
      </c>
      <c r="FN102" s="9">
        <v>10</v>
      </c>
      <c r="FO102" s="31">
        <v>10</v>
      </c>
    </row>
    <row r="103" spans="2:171" x14ac:dyDescent="0.3">
      <c r="B103" s="7" t="s">
        <v>50</v>
      </c>
      <c r="C103" s="9">
        <v>6703</v>
      </c>
      <c r="D103" s="9">
        <v>6703</v>
      </c>
      <c r="E103" s="9">
        <v>6703</v>
      </c>
      <c r="F103" s="9">
        <v>6703</v>
      </c>
      <c r="G103" s="9">
        <v>6703</v>
      </c>
      <c r="H103" s="9">
        <v>6703</v>
      </c>
      <c r="I103" s="9">
        <v>6703</v>
      </c>
      <c r="J103" s="9">
        <v>6703</v>
      </c>
      <c r="K103" s="9">
        <v>6703</v>
      </c>
      <c r="L103" s="9">
        <v>6703</v>
      </c>
      <c r="M103" s="9">
        <v>6703</v>
      </c>
      <c r="N103" s="9">
        <v>6703</v>
      </c>
      <c r="O103" s="31">
        <v>6703</v>
      </c>
      <c r="P103" s="9">
        <v>8171</v>
      </c>
      <c r="Q103" s="9">
        <v>8171</v>
      </c>
      <c r="R103" s="9">
        <v>8171</v>
      </c>
      <c r="S103" s="9">
        <v>8171</v>
      </c>
      <c r="T103" s="9">
        <v>8171</v>
      </c>
      <c r="U103" s="9">
        <v>8171</v>
      </c>
      <c r="V103" s="9">
        <v>8171</v>
      </c>
      <c r="W103" s="9">
        <v>14207</v>
      </c>
      <c r="X103" s="9">
        <v>14207</v>
      </c>
      <c r="Y103" s="9">
        <v>16617</v>
      </c>
      <c r="Z103" s="9">
        <v>16617</v>
      </c>
      <c r="AA103" s="9">
        <v>16617</v>
      </c>
      <c r="AB103" s="31">
        <v>16617</v>
      </c>
      <c r="AC103" s="9">
        <v>10165</v>
      </c>
      <c r="AD103" s="9">
        <v>10165</v>
      </c>
      <c r="AE103" s="9">
        <v>10165</v>
      </c>
      <c r="AF103" s="9">
        <v>10165</v>
      </c>
      <c r="AG103" s="9">
        <v>10165</v>
      </c>
      <c r="AH103" s="9">
        <v>10165</v>
      </c>
      <c r="AI103" s="9">
        <v>10165</v>
      </c>
      <c r="AJ103" s="9">
        <v>10165</v>
      </c>
      <c r="AK103" s="9">
        <v>10165</v>
      </c>
      <c r="AL103" s="9">
        <v>10165</v>
      </c>
      <c r="AM103" s="9">
        <v>10165</v>
      </c>
      <c r="AN103" s="9">
        <v>10165</v>
      </c>
      <c r="AO103" s="31">
        <v>10165</v>
      </c>
      <c r="AP103" s="9">
        <v>11330</v>
      </c>
      <c r="AQ103" s="9">
        <v>11330</v>
      </c>
      <c r="AR103" s="9">
        <v>11330</v>
      </c>
      <c r="AS103" s="9">
        <v>11330</v>
      </c>
      <c r="AT103" s="9">
        <v>14330</v>
      </c>
      <c r="AU103" s="9">
        <v>14330</v>
      </c>
      <c r="AV103" s="9">
        <v>14330</v>
      </c>
      <c r="AW103" s="9">
        <v>14330</v>
      </c>
      <c r="AX103" s="9">
        <v>1148670</v>
      </c>
      <c r="AY103" s="9">
        <v>1148670</v>
      </c>
      <c r="AZ103" s="9">
        <v>1148670</v>
      </c>
      <c r="BA103" s="9">
        <v>1158975</v>
      </c>
      <c r="BB103" s="31">
        <v>1158975</v>
      </c>
      <c r="BC103" s="9">
        <v>1530650</v>
      </c>
      <c r="BD103" s="9">
        <v>1530650</v>
      </c>
      <c r="BE103" s="9">
        <v>1530650</v>
      </c>
      <c r="BF103" s="9">
        <v>1530650</v>
      </c>
      <c r="BG103" s="9">
        <v>1530650</v>
      </c>
      <c r="BH103" s="9">
        <v>1530650</v>
      </c>
      <c r="BI103" s="9">
        <v>1374479</v>
      </c>
      <c r="BJ103" s="9">
        <v>1374479</v>
      </c>
      <c r="BK103" s="9">
        <v>1374479</v>
      </c>
      <c r="BL103" s="9">
        <v>1374479</v>
      </c>
      <c r="BM103" s="9">
        <v>1374479</v>
      </c>
      <c r="BN103" s="9">
        <v>1374479</v>
      </c>
      <c r="BO103" s="31">
        <v>1374479</v>
      </c>
      <c r="BP103" s="9">
        <v>8728</v>
      </c>
      <c r="BQ103" s="9">
        <v>8728</v>
      </c>
      <c r="BR103" s="9">
        <v>8728</v>
      </c>
      <c r="BS103" s="9">
        <v>8728</v>
      </c>
      <c r="BT103" s="9">
        <v>8728</v>
      </c>
      <c r="BU103" s="9">
        <v>8728</v>
      </c>
      <c r="BV103" s="9">
        <v>8728</v>
      </c>
      <c r="BW103" s="9">
        <v>664448</v>
      </c>
      <c r="BX103" s="9">
        <v>664448</v>
      </c>
      <c r="BY103" s="9">
        <v>664448</v>
      </c>
      <c r="BZ103" s="9">
        <v>664448</v>
      </c>
      <c r="CA103" s="9">
        <v>3064448</v>
      </c>
      <c r="CB103" s="31">
        <v>3064448</v>
      </c>
      <c r="CC103" s="9">
        <v>7563</v>
      </c>
      <c r="CD103" s="9">
        <v>7563</v>
      </c>
      <c r="CE103" s="9">
        <v>7563</v>
      </c>
      <c r="CF103" s="9">
        <v>5294</v>
      </c>
      <c r="CG103" s="9">
        <v>2646</v>
      </c>
      <c r="CH103" s="9">
        <v>2646</v>
      </c>
      <c r="CI103" s="9">
        <v>2646</v>
      </c>
      <c r="CJ103" s="9">
        <v>2646</v>
      </c>
      <c r="CK103" s="9">
        <v>2646</v>
      </c>
      <c r="CL103" s="9">
        <v>2646</v>
      </c>
      <c r="CM103" s="9">
        <v>100486</v>
      </c>
      <c r="CN103" s="9">
        <v>100486</v>
      </c>
      <c r="CO103" s="31">
        <v>100486</v>
      </c>
      <c r="CP103" s="9">
        <v>1616</v>
      </c>
      <c r="CQ103" s="9">
        <v>1616</v>
      </c>
      <c r="CR103" s="9">
        <v>1616</v>
      </c>
      <c r="CS103" s="9">
        <v>1616</v>
      </c>
      <c r="CT103" s="9">
        <v>1616</v>
      </c>
      <c r="CU103" s="9">
        <v>1926</v>
      </c>
      <c r="CV103" s="9">
        <v>1926</v>
      </c>
      <c r="CW103" s="9">
        <v>1926</v>
      </c>
      <c r="CX103" s="9">
        <v>1926</v>
      </c>
      <c r="CY103" s="9">
        <v>1926</v>
      </c>
      <c r="CZ103" s="9">
        <v>1926</v>
      </c>
      <c r="DA103" s="9">
        <v>1926</v>
      </c>
      <c r="DB103" s="31">
        <v>1926</v>
      </c>
      <c r="DC103" s="9">
        <v>0</v>
      </c>
      <c r="DD103" s="9">
        <v>0</v>
      </c>
      <c r="DE103" s="9">
        <v>0</v>
      </c>
      <c r="DF103" s="9">
        <v>0</v>
      </c>
      <c r="DG103" s="9">
        <v>0</v>
      </c>
      <c r="DH103" s="9">
        <v>0</v>
      </c>
      <c r="DI103" s="9">
        <v>0</v>
      </c>
      <c r="DJ103" s="9">
        <v>0</v>
      </c>
      <c r="DK103" s="9">
        <v>0</v>
      </c>
      <c r="DL103" s="9">
        <v>0</v>
      </c>
      <c r="DM103" s="9">
        <v>5960113</v>
      </c>
      <c r="DN103" s="9">
        <v>5960113</v>
      </c>
      <c r="DO103" s="31">
        <v>5960113</v>
      </c>
      <c r="DP103" s="9">
        <v>0</v>
      </c>
      <c r="DQ103" s="9">
        <v>0</v>
      </c>
      <c r="DR103" s="9">
        <v>0</v>
      </c>
      <c r="DS103" s="9">
        <v>0</v>
      </c>
      <c r="DT103" s="9">
        <v>0</v>
      </c>
      <c r="DU103" s="9">
        <v>0</v>
      </c>
      <c r="DV103" s="9">
        <v>0</v>
      </c>
      <c r="DW103" s="9">
        <v>0</v>
      </c>
      <c r="DX103" s="9">
        <v>0</v>
      </c>
      <c r="DY103" s="9">
        <v>0</v>
      </c>
      <c r="DZ103" s="9">
        <v>0</v>
      </c>
      <c r="EA103" s="9">
        <v>0</v>
      </c>
      <c r="EB103" s="31">
        <v>0</v>
      </c>
      <c r="EC103" s="9">
        <v>0</v>
      </c>
      <c r="ED103" s="9">
        <v>0</v>
      </c>
      <c r="EE103" s="9">
        <v>0</v>
      </c>
      <c r="EF103" s="9">
        <v>0</v>
      </c>
      <c r="EG103" s="9">
        <v>5080</v>
      </c>
      <c r="EH103" s="9">
        <v>5080</v>
      </c>
      <c r="EI103" s="9">
        <v>5080</v>
      </c>
      <c r="EJ103" s="9">
        <v>5080</v>
      </c>
      <c r="EK103" s="9">
        <v>5080</v>
      </c>
      <c r="EL103" s="9">
        <v>6270</v>
      </c>
      <c r="EM103" s="9">
        <v>6270</v>
      </c>
      <c r="EN103" s="9">
        <v>6270</v>
      </c>
      <c r="EO103" s="31">
        <v>6270</v>
      </c>
      <c r="EP103" s="9">
        <v>710</v>
      </c>
      <c r="EQ103" s="9">
        <v>710</v>
      </c>
      <c r="ER103" s="9">
        <v>710</v>
      </c>
      <c r="ES103" s="9">
        <v>710</v>
      </c>
      <c r="ET103" s="9">
        <v>710</v>
      </c>
      <c r="EU103" s="9">
        <v>710</v>
      </c>
      <c r="EV103" s="9">
        <v>710</v>
      </c>
      <c r="EW103" s="9">
        <v>710</v>
      </c>
      <c r="EX103" s="9">
        <v>710</v>
      </c>
      <c r="EY103" s="9">
        <v>710</v>
      </c>
      <c r="EZ103" s="9">
        <v>710</v>
      </c>
      <c r="FA103" s="9">
        <v>710</v>
      </c>
      <c r="FB103" s="31">
        <v>710</v>
      </c>
      <c r="FC103" s="9">
        <v>10</v>
      </c>
      <c r="FD103" s="9">
        <v>10</v>
      </c>
      <c r="FE103" s="9">
        <v>10</v>
      </c>
      <c r="FF103" s="9">
        <v>10</v>
      </c>
      <c r="FG103" s="9">
        <v>10</v>
      </c>
      <c r="FH103" s="9">
        <v>10</v>
      </c>
      <c r="FI103" s="9">
        <v>10</v>
      </c>
      <c r="FJ103" s="9">
        <v>10</v>
      </c>
      <c r="FK103" s="9">
        <v>10</v>
      </c>
      <c r="FL103" s="9">
        <v>10</v>
      </c>
      <c r="FM103" s="9">
        <v>10</v>
      </c>
      <c r="FN103" s="9">
        <v>10</v>
      </c>
      <c r="FO103" s="31">
        <v>10</v>
      </c>
    </row>
    <row r="104" spans="2:171" x14ac:dyDescent="0.3">
      <c r="B104" s="7" t="s">
        <v>51</v>
      </c>
      <c r="C104" s="9">
        <v>8794</v>
      </c>
      <c r="D104" s="9">
        <v>8794</v>
      </c>
      <c r="E104" s="9">
        <v>8794</v>
      </c>
      <c r="F104" s="9">
        <v>8794</v>
      </c>
      <c r="G104" s="9">
        <v>8794</v>
      </c>
      <c r="H104" s="9">
        <v>8794</v>
      </c>
      <c r="I104" s="9">
        <v>8794</v>
      </c>
      <c r="J104" s="9">
        <v>8794</v>
      </c>
      <c r="K104" s="9">
        <v>8794</v>
      </c>
      <c r="L104" s="9">
        <v>8794</v>
      </c>
      <c r="M104" s="9">
        <v>8794</v>
      </c>
      <c r="N104" s="9">
        <v>8794</v>
      </c>
      <c r="O104" s="31">
        <v>8794</v>
      </c>
      <c r="P104" s="9">
        <v>13274</v>
      </c>
      <c r="Q104" s="9">
        <v>13274</v>
      </c>
      <c r="R104" s="9">
        <v>13274</v>
      </c>
      <c r="S104" s="9">
        <v>13274</v>
      </c>
      <c r="T104" s="9">
        <v>13274</v>
      </c>
      <c r="U104" s="9">
        <v>13274</v>
      </c>
      <c r="V104" s="9">
        <v>13274</v>
      </c>
      <c r="W104" s="9">
        <v>13274</v>
      </c>
      <c r="X104" s="9">
        <v>13274</v>
      </c>
      <c r="Y104" s="9">
        <v>13274</v>
      </c>
      <c r="Z104" s="9">
        <v>13274</v>
      </c>
      <c r="AA104" s="9">
        <v>13274</v>
      </c>
      <c r="AB104" s="31">
        <v>13274</v>
      </c>
      <c r="AC104" s="9">
        <v>15315</v>
      </c>
      <c r="AD104" s="9">
        <v>15315</v>
      </c>
      <c r="AE104" s="9">
        <v>15315</v>
      </c>
      <c r="AF104" s="9">
        <v>354259</v>
      </c>
      <c r="AG104" s="9">
        <v>354259</v>
      </c>
      <c r="AH104" s="9">
        <v>354259</v>
      </c>
      <c r="AI104" s="9">
        <v>354259</v>
      </c>
      <c r="AJ104" s="9">
        <v>354259</v>
      </c>
      <c r="AK104" s="9">
        <v>354259</v>
      </c>
      <c r="AL104" s="9">
        <v>354259</v>
      </c>
      <c r="AM104" s="9">
        <v>354259</v>
      </c>
      <c r="AN104" s="9">
        <v>354259</v>
      </c>
      <c r="AO104" s="31">
        <v>354259</v>
      </c>
      <c r="AP104" s="9">
        <v>13699</v>
      </c>
      <c r="AQ104" s="9">
        <v>13699</v>
      </c>
      <c r="AR104" s="9">
        <v>13699</v>
      </c>
      <c r="AS104" s="9">
        <v>13699</v>
      </c>
      <c r="AT104" s="9">
        <v>13699</v>
      </c>
      <c r="AU104" s="9">
        <v>13699</v>
      </c>
      <c r="AV104" s="9">
        <v>13699</v>
      </c>
      <c r="AW104" s="9">
        <v>13699</v>
      </c>
      <c r="AX104" s="9">
        <v>1243966</v>
      </c>
      <c r="AY104" s="9">
        <v>1243966</v>
      </c>
      <c r="AZ104" s="9">
        <v>1243966</v>
      </c>
      <c r="BA104" s="9">
        <v>1243966</v>
      </c>
      <c r="BB104" s="31">
        <v>1243966</v>
      </c>
      <c r="BC104" s="9">
        <v>18833</v>
      </c>
      <c r="BD104" s="9">
        <v>18833</v>
      </c>
      <c r="BE104" s="9">
        <v>18833</v>
      </c>
      <c r="BF104" s="9">
        <v>18833</v>
      </c>
      <c r="BG104" s="9">
        <v>18833</v>
      </c>
      <c r="BH104" s="9">
        <v>18833</v>
      </c>
      <c r="BI104" s="9">
        <v>15578</v>
      </c>
      <c r="BJ104" s="9">
        <v>15578</v>
      </c>
      <c r="BK104" s="9">
        <v>15578</v>
      </c>
      <c r="BL104" s="9">
        <v>15578</v>
      </c>
      <c r="BM104" s="9">
        <v>15578</v>
      </c>
      <c r="BN104" s="9">
        <v>15578</v>
      </c>
      <c r="BO104" s="31">
        <v>15578</v>
      </c>
      <c r="BP104" s="9">
        <v>13337</v>
      </c>
      <c r="BQ104" s="9">
        <v>13337</v>
      </c>
      <c r="BR104" s="9">
        <v>13337</v>
      </c>
      <c r="BS104" s="9">
        <v>13337</v>
      </c>
      <c r="BT104" s="9">
        <v>13337</v>
      </c>
      <c r="BU104" s="9">
        <v>13337</v>
      </c>
      <c r="BV104" s="9">
        <v>13337</v>
      </c>
      <c r="BW104" s="9">
        <v>13337</v>
      </c>
      <c r="BX104" s="9">
        <v>1232119</v>
      </c>
      <c r="BY104" s="9">
        <v>1232119</v>
      </c>
      <c r="BZ104" s="9">
        <v>1232119</v>
      </c>
      <c r="CA104" s="9">
        <v>1232119</v>
      </c>
      <c r="CB104" s="31">
        <v>1232119</v>
      </c>
      <c r="CC104" s="9">
        <v>13684</v>
      </c>
      <c r="CD104" s="9">
        <v>13684</v>
      </c>
      <c r="CE104" s="9">
        <v>13684</v>
      </c>
      <c r="CF104" s="9">
        <v>9579</v>
      </c>
      <c r="CG104" s="9">
        <v>4789</v>
      </c>
      <c r="CH104" s="9">
        <v>4789</v>
      </c>
      <c r="CI104" s="9">
        <v>4789</v>
      </c>
      <c r="CJ104" s="9">
        <v>4789</v>
      </c>
      <c r="CK104" s="9">
        <v>4789</v>
      </c>
      <c r="CL104" s="9">
        <v>4789</v>
      </c>
      <c r="CM104" s="9">
        <v>13684</v>
      </c>
      <c r="CN104" s="9">
        <v>13684</v>
      </c>
      <c r="CO104" s="31">
        <v>13684</v>
      </c>
      <c r="CP104" s="9">
        <v>7771</v>
      </c>
      <c r="CQ104" s="9">
        <v>7771</v>
      </c>
      <c r="CR104" s="9">
        <v>7771</v>
      </c>
      <c r="CS104" s="9">
        <v>7771</v>
      </c>
      <c r="CT104" s="9">
        <v>7771</v>
      </c>
      <c r="CU104" s="9">
        <v>7771</v>
      </c>
      <c r="CV104" s="9">
        <v>7771</v>
      </c>
      <c r="CW104" s="9">
        <v>7771</v>
      </c>
      <c r="CX104" s="9">
        <v>7771</v>
      </c>
      <c r="CY104" s="9">
        <v>7771</v>
      </c>
      <c r="CZ104" s="9">
        <v>7771</v>
      </c>
      <c r="DA104" s="9">
        <v>7771</v>
      </c>
      <c r="DB104" s="31">
        <v>7771</v>
      </c>
      <c r="DC104" s="9">
        <v>0</v>
      </c>
      <c r="DD104" s="9">
        <v>0</v>
      </c>
      <c r="DE104" s="9">
        <v>0</v>
      </c>
      <c r="DF104" s="9">
        <v>0</v>
      </c>
      <c r="DG104" s="9">
        <v>0</v>
      </c>
      <c r="DH104" s="9">
        <v>0</v>
      </c>
      <c r="DI104" s="9">
        <v>0</v>
      </c>
      <c r="DJ104" s="9">
        <v>0</v>
      </c>
      <c r="DK104" s="9">
        <v>0</v>
      </c>
      <c r="DL104" s="9">
        <v>0</v>
      </c>
      <c r="DM104" s="9">
        <v>8335525</v>
      </c>
      <c r="DN104" s="9">
        <v>8335525</v>
      </c>
      <c r="DO104" s="31">
        <v>8335525</v>
      </c>
      <c r="DP104" s="9">
        <v>0</v>
      </c>
      <c r="DQ104" s="9">
        <v>0</v>
      </c>
      <c r="DR104" s="9">
        <v>0</v>
      </c>
      <c r="DS104" s="9">
        <v>0</v>
      </c>
      <c r="DT104" s="9">
        <v>0</v>
      </c>
      <c r="DU104" s="9">
        <v>0</v>
      </c>
      <c r="DV104" s="9">
        <v>0</v>
      </c>
      <c r="DW104" s="9">
        <v>0</v>
      </c>
      <c r="DX104" s="9">
        <v>0</v>
      </c>
      <c r="DY104" s="9">
        <v>0</v>
      </c>
      <c r="DZ104" s="9">
        <v>0</v>
      </c>
      <c r="EA104" s="9">
        <v>329064</v>
      </c>
      <c r="EB104" s="31">
        <v>329064</v>
      </c>
      <c r="EC104" s="9">
        <v>0</v>
      </c>
      <c r="ED104" s="9">
        <v>0</v>
      </c>
      <c r="EE104" s="9">
        <v>0</v>
      </c>
      <c r="EF104" s="9">
        <v>0</v>
      </c>
      <c r="EG104" s="9">
        <v>5926</v>
      </c>
      <c r="EH104" s="9">
        <v>5926</v>
      </c>
      <c r="EI104" s="9">
        <v>5926</v>
      </c>
      <c r="EJ104" s="9">
        <v>5926</v>
      </c>
      <c r="EK104" s="9">
        <v>5926</v>
      </c>
      <c r="EL104" s="9">
        <v>6646</v>
      </c>
      <c r="EM104" s="9">
        <v>6646</v>
      </c>
      <c r="EN104" s="9">
        <v>6646</v>
      </c>
      <c r="EO104" s="31">
        <v>6646</v>
      </c>
      <c r="EP104" s="9">
        <v>6540</v>
      </c>
      <c r="EQ104" s="9">
        <v>6540</v>
      </c>
      <c r="ER104" s="9">
        <v>6540</v>
      </c>
      <c r="ES104" s="9">
        <v>6540</v>
      </c>
      <c r="ET104" s="9">
        <v>6540</v>
      </c>
      <c r="EU104" s="9">
        <v>6540</v>
      </c>
      <c r="EV104" s="9">
        <v>6540</v>
      </c>
      <c r="EW104" s="9">
        <v>6540</v>
      </c>
      <c r="EX104" s="9">
        <v>6540</v>
      </c>
      <c r="EY104" s="9">
        <v>6540</v>
      </c>
      <c r="EZ104" s="9">
        <v>6540</v>
      </c>
      <c r="FA104" s="9">
        <v>6540</v>
      </c>
      <c r="FB104" s="31">
        <v>6540</v>
      </c>
      <c r="FC104" s="9">
        <v>10</v>
      </c>
      <c r="FD104" s="9">
        <v>10</v>
      </c>
      <c r="FE104" s="9">
        <v>10</v>
      </c>
      <c r="FF104" s="9">
        <v>10</v>
      </c>
      <c r="FG104" s="9">
        <v>10</v>
      </c>
      <c r="FH104" s="9">
        <v>10</v>
      </c>
      <c r="FI104" s="9">
        <v>10</v>
      </c>
      <c r="FJ104" s="9">
        <v>10</v>
      </c>
      <c r="FK104" s="9">
        <v>10</v>
      </c>
      <c r="FL104" s="9">
        <v>10</v>
      </c>
      <c r="FM104" s="9">
        <v>10</v>
      </c>
      <c r="FN104" s="9">
        <v>10</v>
      </c>
      <c r="FO104" s="31">
        <v>10</v>
      </c>
    </row>
    <row r="105" spans="2:171" x14ac:dyDescent="0.3">
      <c r="B105" s="7" t="s">
        <v>52</v>
      </c>
      <c r="C105" s="9">
        <v>19164</v>
      </c>
      <c r="D105" s="9">
        <v>19164</v>
      </c>
      <c r="E105" s="9">
        <v>19164</v>
      </c>
      <c r="F105" s="9">
        <v>19164</v>
      </c>
      <c r="G105" s="9">
        <v>19164</v>
      </c>
      <c r="H105" s="9">
        <v>19164</v>
      </c>
      <c r="I105" s="9">
        <v>19164</v>
      </c>
      <c r="J105" s="9">
        <v>19164</v>
      </c>
      <c r="K105" s="9">
        <v>19164</v>
      </c>
      <c r="L105" s="9">
        <v>19164</v>
      </c>
      <c r="M105" s="9">
        <v>19164</v>
      </c>
      <c r="N105" s="9">
        <v>19164</v>
      </c>
      <c r="O105" s="31">
        <v>19164</v>
      </c>
      <c r="P105" s="9">
        <v>20898</v>
      </c>
      <c r="Q105" s="9">
        <v>20898</v>
      </c>
      <c r="R105" s="9">
        <v>1337840</v>
      </c>
      <c r="S105" s="9">
        <v>1337840</v>
      </c>
      <c r="T105" s="9">
        <v>1337840</v>
      </c>
      <c r="U105" s="9">
        <v>1337840</v>
      </c>
      <c r="V105" s="9">
        <v>1337840</v>
      </c>
      <c r="W105" s="9">
        <v>1337840</v>
      </c>
      <c r="X105" s="9">
        <v>1355440</v>
      </c>
      <c r="Y105" s="9">
        <v>1375440</v>
      </c>
      <c r="Z105" s="9">
        <v>1375440</v>
      </c>
      <c r="AA105" s="9">
        <v>1375440</v>
      </c>
      <c r="AB105" s="31">
        <v>1375440</v>
      </c>
      <c r="AC105" s="9">
        <v>16233</v>
      </c>
      <c r="AD105" s="9">
        <v>16233</v>
      </c>
      <c r="AE105" s="9">
        <v>87066</v>
      </c>
      <c r="AF105" s="9">
        <v>87066</v>
      </c>
      <c r="AG105" s="9">
        <v>87066</v>
      </c>
      <c r="AH105" s="9">
        <v>87066</v>
      </c>
      <c r="AI105" s="9">
        <v>87066</v>
      </c>
      <c r="AJ105" s="9">
        <v>87066</v>
      </c>
      <c r="AK105" s="9">
        <v>87066</v>
      </c>
      <c r="AL105" s="9">
        <v>87066</v>
      </c>
      <c r="AM105" s="9">
        <v>897066</v>
      </c>
      <c r="AN105" s="9">
        <v>2291726</v>
      </c>
      <c r="AO105" s="31">
        <v>2291726</v>
      </c>
      <c r="AP105" s="9">
        <v>15038</v>
      </c>
      <c r="AQ105" s="9">
        <v>15038</v>
      </c>
      <c r="AR105" s="9">
        <v>15038</v>
      </c>
      <c r="AS105" s="9">
        <v>1127220</v>
      </c>
      <c r="AT105" s="9">
        <v>1127220</v>
      </c>
      <c r="AU105" s="9">
        <v>1156953</v>
      </c>
      <c r="AV105" s="9">
        <v>1156953</v>
      </c>
      <c r="AW105" s="9">
        <v>1156953</v>
      </c>
      <c r="AX105" s="9">
        <v>1156953</v>
      </c>
      <c r="AY105" s="9">
        <v>1156953</v>
      </c>
      <c r="AZ105" s="9">
        <v>1156953</v>
      </c>
      <c r="BA105" s="9">
        <v>2133191</v>
      </c>
      <c r="BB105" s="31">
        <v>2133191</v>
      </c>
      <c r="BC105" s="9">
        <v>17276</v>
      </c>
      <c r="BD105" s="9">
        <v>17276</v>
      </c>
      <c r="BE105" s="9">
        <v>17276</v>
      </c>
      <c r="BF105" s="9">
        <v>17276</v>
      </c>
      <c r="BG105" s="9">
        <v>17276</v>
      </c>
      <c r="BH105" s="9">
        <v>17276</v>
      </c>
      <c r="BI105" s="9">
        <v>14167</v>
      </c>
      <c r="BJ105" s="9">
        <v>14167</v>
      </c>
      <c r="BK105" s="9">
        <v>14167</v>
      </c>
      <c r="BL105" s="9">
        <v>14167</v>
      </c>
      <c r="BM105" s="9">
        <v>14167</v>
      </c>
      <c r="BN105" s="9">
        <v>82639</v>
      </c>
      <c r="BO105" s="31">
        <v>82639</v>
      </c>
      <c r="BP105" s="9">
        <v>11951</v>
      </c>
      <c r="BQ105" s="9">
        <v>11951</v>
      </c>
      <c r="BR105" s="9">
        <v>11951</v>
      </c>
      <c r="BS105" s="9">
        <v>11951</v>
      </c>
      <c r="BT105" s="9">
        <v>11951</v>
      </c>
      <c r="BU105" s="9">
        <v>11951</v>
      </c>
      <c r="BV105" s="9">
        <v>11951</v>
      </c>
      <c r="BW105" s="9">
        <v>11951</v>
      </c>
      <c r="BX105" s="9">
        <v>11951</v>
      </c>
      <c r="BY105" s="9">
        <v>11951</v>
      </c>
      <c r="BZ105" s="9">
        <v>11951</v>
      </c>
      <c r="CA105" s="9">
        <v>11951</v>
      </c>
      <c r="CB105" s="31">
        <v>11951</v>
      </c>
      <c r="CC105" s="9">
        <v>12262</v>
      </c>
      <c r="CD105" s="9">
        <v>12262</v>
      </c>
      <c r="CE105" s="9">
        <v>12262</v>
      </c>
      <c r="CF105" s="9">
        <v>8584</v>
      </c>
      <c r="CG105" s="9">
        <v>4330</v>
      </c>
      <c r="CH105" s="9">
        <v>4330</v>
      </c>
      <c r="CI105" s="9">
        <v>4330</v>
      </c>
      <c r="CJ105" s="9">
        <v>4330</v>
      </c>
      <c r="CK105" s="9">
        <v>4330</v>
      </c>
      <c r="CL105" s="9">
        <v>4330</v>
      </c>
      <c r="CM105" s="9">
        <v>1149753</v>
      </c>
      <c r="CN105" s="9">
        <v>1149753</v>
      </c>
      <c r="CO105" s="31">
        <v>1149753</v>
      </c>
      <c r="CP105" s="9">
        <v>9458</v>
      </c>
      <c r="CQ105" s="9">
        <v>9458</v>
      </c>
      <c r="CR105" s="9">
        <v>9458</v>
      </c>
      <c r="CS105" s="9">
        <v>9458</v>
      </c>
      <c r="CT105" s="9">
        <v>1661590</v>
      </c>
      <c r="CU105" s="9">
        <v>1662157</v>
      </c>
      <c r="CV105" s="9">
        <v>1662157</v>
      </c>
      <c r="CW105" s="9">
        <v>1662157</v>
      </c>
      <c r="CX105" s="9">
        <v>1662157</v>
      </c>
      <c r="CY105" s="9">
        <v>1662778</v>
      </c>
      <c r="CZ105" s="9">
        <v>1662778</v>
      </c>
      <c r="DA105" s="9">
        <v>1662778</v>
      </c>
      <c r="DB105" s="31">
        <v>1662778</v>
      </c>
      <c r="DC105" s="9">
        <v>0</v>
      </c>
      <c r="DD105" s="9">
        <v>0</v>
      </c>
      <c r="DE105" s="9">
        <v>0</v>
      </c>
      <c r="DF105" s="9">
        <v>0</v>
      </c>
      <c r="DG105" s="9">
        <v>0</v>
      </c>
      <c r="DH105" s="9">
        <v>0</v>
      </c>
      <c r="DI105" s="9">
        <v>0</v>
      </c>
      <c r="DJ105" s="9">
        <v>0</v>
      </c>
      <c r="DK105" s="9">
        <v>0</v>
      </c>
      <c r="DL105" s="9">
        <v>0</v>
      </c>
      <c r="DM105" s="9">
        <v>5385954</v>
      </c>
      <c r="DN105" s="9">
        <v>25574386</v>
      </c>
      <c r="DO105" s="31">
        <v>25574386</v>
      </c>
      <c r="DP105" s="9">
        <v>0</v>
      </c>
      <c r="DQ105" s="9">
        <v>0</v>
      </c>
      <c r="DR105" s="9">
        <v>0</v>
      </c>
      <c r="DS105" s="9">
        <v>0</v>
      </c>
      <c r="DT105" s="9">
        <v>0</v>
      </c>
      <c r="DU105" s="9">
        <v>0</v>
      </c>
      <c r="DV105" s="9">
        <v>0</v>
      </c>
      <c r="DW105" s="9">
        <v>0</v>
      </c>
      <c r="DX105" s="9">
        <v>0</v>
      </c>
      <c r="DY105" s="9">
        <v>0</v>
      </c>
      <c r="DZ105" s="9">
        <v>0</v>
      </c>
      <c r="EA105" s="9">
        <v>115827</v>
      </c>
      <c r="EB105" s="31">
        <v>115827</v>
      </c>
      <c r="EC105" s="9">
        <v>0</v>
      </c>
      <c r="ED105" s="9">
        <v>0</v>
      </c>
      <c r="EE105" s="9">
        <v>0</v>
      </c>
      <c r="EF105" s="9">
        <v>0</v>
      </c>
      <c r="EG105" s="9">
        <v>8466</v>
      </c>
      <c r="EH105" s="9">
        <v>6091623</v>
      </c>
      <c r="EI105" s="9">
        <v>6091623</v>
      </c>
      <c r="EJ105" s="9">
        <v>6091623</v>
      </c>
      <c r="EK105" s="9">
        <v>6091623</v>
      </c>
      <c r="EL105" s="9">
        <v>6092813</v>
      </c>
      <c r="EM105" s="9">
        <v>6092813</v>
      </c>
      <c r="EN105" s="9">
        <v>6092813</v>
      </c>
      <c r="EO105" s="31">
        <v>6092813</v>
      </c>
      <c r="EP105" s="9">
        <v>6033</v>
      </c>
      <c r="EQ105" s="9">
        <v>6033</v>
      </c>
      <c r="ER105" s="9">
        <v>6033</v>
      </c>
      <c r="ES105" s="9">
        <v>6033</v>
      </c>
      <c r="ET105" s="9">
        <v>6033</v>
      </c>
      <c r="EU105" s="9">
        <v>6033</v>
      </c>
      <c r="EV105" s="9">
        <v>6033</v>
      </c>
      <c r="EW105" s="9">
        <v>6033</v>
      </c>
      <c r="EX105" s="9">
        <v>6033</v>
      </c>
      <c r="EY105" s="9">
        <v>6033</v>
      </c>
      <c r="EZ105" s="9">
        <v>6033</v>
      </c>
      <c r="FA105" s="9">
        <v>6033</v>
      </c>
      <c r="FB105" s="31">
        <v>6033</v>
      </c>
      <c r="FC105" s="9">
        <v>10</v>
      </c>
      <c r="FD105" s="9">
        <v>10</v>
      </c>
      <c r="FE105" s="9">
        <v>10</v>
      </c>
      <c r="FF105" s="9">
        <v>10</v>
      </c>
      <c r="FG105" s="9">
        <v>10</v>
      </c>
      <c r="FH105" s="9">
        <v>10</v>
      </c>
      <c r="FI105" s="9">
        <v>10</v>
      </c>
      <c r="FJ105" s="9">
        <v>10</v>
      </c>
      <c r="FK105" s="9">
        <v>10</v>
      </c>
      <c r="FL105" s="9">
        <v>10</v>
      </c>
      <c r="FM105" s="9">
        <v>10</v>
      </c>
      <c r="FN105" s="9">
        <v>10</v>
      </c>
      <c r="FO105" s="31">
        <v>10</v>
      </c>
    </row>
    <row r="106" spans="2:171" x14ac:dyDescent="0.3">
      <c r="B106" s="7" t="s">
        <v>53</v>
      </c>
      <c r="C106" s="9">
        <v>22603</v>
      </c>
      <c r="D106" s="9">
        <v>22603</v>
      </c>
      <c r="E106" s="9">
        <v>22603</v>
      </c>
      <c r="F106" s="9">
        <v>22603</v>
      </c>
      <c r="G106" s="9">
        <v>22603</v>
      </c>
      <c r="H106" s="9">
        <v>22603</v>
      </c>
      <c r="I106" s="9">
        <v>22603</v>
      </c>
      <c r="J106" s="9">
        <v>22603</v>
      </c>
      <c r="K106" s="9">
        <v>756403</v>
      </c>
      <c r="L106" s="9">
        <v>756403</v>
      </c>
      <c r="M106" s="9">
        <v>756403</v>
      </c>
      <c r="N106" s="9">
        <v>788479</v>
      </c>
      <c r="O106" s="31">
        <v>788479</v>
      </c>
      <c r="P106" s="9">
        <v>126364</v>
      </c>
      <c r="Q106" s="9">
        <v>126364</v>
      </c>
      <c r="R106" s="9">
        <v>126364</v>
      </c>
      <c r="S106" s="9">
        <v>491628</v>
      </c>
      <c r="T106" s="9">
        <v>491628</v>
      </c>
      <c r="U106" s="9">
        <v>491628</v>
      </c>
      <c r="V106" s="9">
        <v>491628</v>
      </c>
      <c r="W106" s="9">
        <v>491628</v>
      </c>
      <c r="X106" s="9">
        <v>491628</v>
      </c>
      <c r="Y106" s="9">
        <v>491628</v>
      </c>
      <c r="Z106" s="9">
        <v>491628</v>
      </c>
      <c r="AA106" s="9">
        <v>1032986</v>
      </c>
      <c r="AB106" s="31">
        <v>1032986</v>
      </c>
      <c r="AC106" s="9">
        <v>572264</v>
      </c>
      <c r="AD106" s="9">
        <v>572264</v>
      </c>
      <c r="AE106" s="9">
        <v>572264</v>
      </c>
      <c r="AF106" s="9">
        <v>572264</v>
      </c>
      <c r="AG106" s="9">
        <v>572264</v>
      </c>
      <c r="AH106" s="9">
        <v>574764</v>
      </c>
      <c r="AI106" s="9">
        <v>574764</v>
      </c>
      <c r="AJ106" s="9">
        <v>574764</v>
      </c>
      <c r="AK106" s="9">
        <v>574764</v>
      </c>
      <c r="AL106" s="9">
        <v>574764</v>
      </c>
      <c r="AM106" s="9">
        <v>574764</v>
      </c>
      <c r="AN106" s="9">
        <v>2284764</v>
      </c>
      <c r="AO106" s="31">
        <v>2284764</v>
      </c>
      <c r="AP106" s="9">
        <v>187666</v>
      </c>
      <c r="AQ106" s="9">
        <v>187666</v>
      </c>
      <c r="AR106" s="9">
        <v>187666</v>
      </c>
      <c r="AS106" s="9">
        <v>187666</v>
      </c>
      <c r="AT106" s="9">
        <v>188666</v>
      </c>
      <c r="AU106" s="9">
        <v>188666</v>
      </c>
      <c r="AV106" s="9">
        <v>188666</v>
      </c>
      <c r="AW106" s="9">
        <v>188666</v>
      </c>
      <c r="AX106" s="9">
        <v>188666</v>
      </c>
      <c r="AY106" s="9">
        <v>188666</v>
      </c>
      <c r="AZ106" s="9">
        <v>188666</v>
      </c>
      <c r="BA106" s="9">
        <v>59997</v>
      </c>
      <c r="BB106" s="31">
        <v>59997</v>
      </c>
      <c r="BC106" s="9">
        <v>29913</v>
      </c>
      <c r="BD106" s="9">
        <v>29913</v>
      </c>
      <c r="BE106" s="9">
        <v>1111645</v>
      </c>
      <c r="BF106" s="9">
        <v>1111645</v>
      </c>
      <c r="BG106" s="9">
        <v>1111645</v>
      </c>
      <c r="BH106" s="9">
        <v>1111645</v>
      </c>
      <c r="BI106" s="9">
        <v>1106031</v>
      </c>
      <c r="BJ106" s="9">
        <v>1106031</v>
      </c>
      <c r="BK106" s="9">
        <v>24299</v>
      </c>
      <c r="BL106" s="9">
        <v>24299</v>
      </c>
      <c r="BM106" s="9">
        <v>24299</v>
      </c>
      <c r="BN106" s="9">
        <v>1082931</v>
      </c>
      <c r="BO106" s="31">
        <v>1082931</v>
      </c>
      <c r="BP106" s="9">
        <v>22012</v>
      </c>
      <c r="BQ106" s="9">
        <v>22012</v>
      </c>
      <c r="BR106" s="9">
        <v>22012</v>
      </c>
      <c r="BS106" s="9">
        <v>22012</v>
      </c>
      <c r="BT106" s="9">
        <v>22012</v>
      </c>
      <c r="BU106" s="9">
        <v>22012</v>
      </c>
      <c r="BV106" s="9">
        <v>22012</v>
      </c>
      <c r="BW106" s="9">
        <v>22012</v>
      </c>
      <c r="BX106" s="9">
        <v>22012</v>
      </c>
      <c r="BY106" s="9">
        <v>22012</v>
      </c>
      <c r="BZ106" s="9">
        <v>755655</v>
      </c>
      <c r="CA106" s="9">
        <v>755655</v>
      </c>
      <c r="CB106" s="31">
        <v>755655</v>
      </c>
      <c r="CC106" s="9">
        <v>180044</v>
      </c>
      <c r="CD106" s="9">
        <v>180044</v>
      </c>
      <c r="CE106" s="9">
        <v>180044</v>
      </c>
      <c r="CF106" s="9">
        <v>173269</v>
      </c>
      <c r="CG106" s="9">
        <v>90600</v>
      </c>
      <c r="CH106" s="9">
        <v>90600</v>
      </c>
      <c r="CI106" s="9">
        <v>540623</v>
      </c>
      <c r="CJ106" s="9">
        <v>540623</v>
      </c>
      <c r="CK106" s="9">
        <v>540623</v>
      </c>
      <c r="CL106" s="9">
        <v>1961048</v>
      </c>
      <c r="CM106" s="9">
        <v>3449031</v>
      </c>
      <c r="CN106" s="9">
        <v>3449031</v>
      </c>
      <c r="CO106" s="31">
        <v>3449031</v>
      </c>
      <c r="CP106" s="9">
        <v>16432</v>
      </c>
      <c r="CQ106" s="9">
        <v>16432</v>
      </c>
      <c r="CR106" s="9">
        <v>16432</v>
      </c>
      <c r="CS106" s="9">
        <v>16432</v>
      </c>
      <c r="CT106" s="9">
        <v>16432</v>
      </c>
      <c r="CU106" s="9">
        <v>16432</v>
      </c>
      <c r="CV106" s="9">
        <v>16432</v>
      </c>
      <c r="CW106" s="9">
        <v>1463147</v>
      </c>
      <c r="CX106" s="9">
        <v>1463147</v>
      </c>
      <c r="CY106" s="9">
        <v>1463147</v>
      </c>
      <c r="CZ106" s="9">
        <v>1463147</v>
      </c>
      <c r="DA106" s="9">
        <v>1985593</v>
      </c>
      <c r="DB106" s="31">
        <v>1985593</v>
      </c>
      <c r="DC106" s="9">
        <v>0</v>
      </c>
      <c r="DD106" s="9">
        <v>0</v>
      </c>
      <c r="DE106" s="9">
        <v>0</v>
      </c>
      <c r="DF106" s="9">
        <v>0</v>
      </c>
      <c r="DG106" s="9">
        <v>4326119</v>
      </c>
      <c r="DH106" s="9">
        <v>4326119</v>
      </c>
      <c r="DI106" s="9">
        <v>4326119</v>
      </c>
      <c r="DJ106" s="9">
        <v>4326119</v>
      </c>
      <c r="DK106" s="9">
        <v>4645716</v>
      </c>
      <c r="DL106" s="9">
        <v>4645716</v>
      </c>
      <c r="DM106" s="9">
        <v>16485804</v>
      </c>
      <c r="DN106" s="9">
        <v>17202625</v>
      </c>
      <c r="DO106" s="31">
        <v>17202625</v>
      </c>
      <c r="DP106" s="9">
        <v>3986250</v>
      </c>
      <c r="DQ106" s="9">
        <v>3986250</v>
      </c>
      <c r="DR106" s="9">
        <v>3986250</v>
      </c>
      <c r="DS106" s="9">
        <v>3986250</v>
      </c>
      <c r="DT106" s="9">
        <v>3986250</v>
      </c>
      <c r="DU106" s="9">
        <v>3986250</v>
      </c>
      <c r="DV106" s="9">
        <v>3986250</v>
      </c>
      <c r="DW106" s="9">
        <v>3986250</v>
      </c>
      <c r="DX106" s="9">
        <v>3986250</v>
      </c>
      <c r="DY106" s="9">
        <v>3986250</v>
      </c>
      <c r="DZ106" s="9">
        <v>3986250</v>
      </c>
      <c r="EA106" s="9">
        <v>3986250</v>
      </c>
      <c r="EB106" s="31">
        <v>3986250</v>
      </c>
      <c r="EC106" s="9">
        <v>0</v>
      </c>
      <c r="ED106" s="9">
        <v>0</v>
      </c>
      <c r="EE106" s="9">
        <v>0</v>
      </c>
      <c r="EF106" s="9">
        <v>0</v>
      </c>
      <c r="EG106" s="9">
        <v>20317</v>
      </c>
      <c r="EH106" s="9">
        <v>20317</v>
      </c>
      <c r="EI106" s="9">
        <v>20317</v>
      </c>
      <c r="EJ106" s="9">
        <v>20317</v>
      </c>
      <c r="EK106" s="9">
        <v>20317</v>
      </c>
      <c r="EL106" s="9">
        <v>21887</v>
      </c>
      <c r="EM106" s="9">
        <v>21887</v>
      </c>
      <c r="EN106" s="9">
        <v>21887</v>
      </c>
      <c r="EO106" s="31">
        <v>21887</v>
      </c>
      <c r="EP106" s="9">
        <v>7139</v>
      </c>
      <c r="EQ106" s="9">
        <v>7139</v>
      </c>
      <c r="ER106" s="9">
        <v>7139</v>
      </c>
      <c r="ES106" s="9">
        <v>7139</v>
      </c>
      <c r="ET106" s="9">
        <v>7139</v>
      </c>
      <c r="EU106" s="9">
        <v>7139</v>
      </c>
      <c r="EV106" s="9">
        <v>7139</v>
      </c>
      <c r="EW106" s="9">
        <v>7139</v>
      </c>
      <c r="EX106" s="9">
        <v>7139</v>
      </c>
      <c r="EY106" s="9">
        <v>7139</v>
      </c>
      <c r="EZ106" s="9">
        <v>7139</v>
      </c>
      <c r="FA106" s="9">
        <v>10998043</v>
      </c>
      <c r="FB106" s="31">
        <v>10998043</v>
      </c>
      <c r="FC106" s="9">
        <v>10</v>
      </c>
      <c r="FD106" s="9">
        <v>10</v>
      </c>
      <c r="FE106" s="9">
        <v>10</v>
      </c>
      <c r="FF106" s="9">
        <v>10</v>
      </c>
      <c r="FG106" s="9">
        <v>10</v>
      </c>
      <c r="FH106" s="9">
        <v>10</v>
      </c>
      <c r="FI106" s="9">
        <v>10</v>
      </c>
      <c r="FJ106" s="9">
        <v>10</v>
      </c>
      <c r="FK106" s="9">
        <v>10</v>
      </c>
      <c r="FL106" s="9">
        <v>10</v>
      </c>
      <c r="FM106" s="9">
        <v>10</v>
      </c>
      <c r="FN106" s="9">
        <v>10</v>
      </c>
      <c r="FO106" s="31">
        <v>10</v>
      </c>
    </row>
    <row r="107" spans="2:171" x14ac:dyDescent="0.3">
      <c r="B107" s="7" t="s">
        <v>54</v>
      </c>
      <c r="C107" s="9">
        <v>52172</v>
      </c>
      <c r="D107" s="9">
        <v>52172</v>
      </c>
      <c r="E107" s="9">
        <v>52172</v>
      </c>
      <c r="F107" s="9">
        <v>52172</v>
      </c>
      <c r="G107" s="9">
        <v>316172</v>
      </c>
      <c r="H107" s="9">
        <v>14236138</v>
      </c>
      <c r="I107" s="9">
        <v>14236138</v>
      </c>
      <c r="J107" s="9">
        <v>14236138</v>
      </c>
      <c r="K107" s="9">
        <v>22278578</v>
      </c>
      <c r="L107" s="9">
        <v>32868288</v>
      </c>
      <c r="M107" s="9">
        <v>33073288</v>
      </c>
      <c r="N107" s="9">
        <v>36989603</v>
      </c>
      <c r="O107" s="31">
        <v>36989603</v>
      </c>
      <c r="P107" s="9">
        <v>6810295</v>
      </c>
      <c r="Q107" s="9">
        <v>6810295</v>
      </c>
      <c r="R107" s="9">
        <v>6810295</v>
      </c>
      <c r="S107" s="9">
        <v>6810295</v>
      </c>
      <c r="T107" s="9">
        <v>6810295</v>
      </c>
      <c r="U107" s="9">
        <v>6810295</v>
      </c>
      <c r="V107" s="9">
        <v>6810295</v>
      </c>
      <c r="W107" s="9">
        <v>6810295</v>
      </c>
      <c r="X107" s="9">
        <v>6810295</v>
      </c>
      <c r="Y107" s="9">
        <v>6810295</v>
      </c>
      <c r="Z107" s="9">
        <v>7623318</v>
      </c>
      <c r="AA107" s="9">
        <v>14032001</v>
      </c>
      <c r="AB107" s="31">
        <v>14032001</v>
      </c>
      <c r="AC107" s="9">
        <v>106766</v>
      </c>
      <c r="AD107" s="9">
        <v>106766</v>
      </c>
      <c r="AE107" s="9">
        <v>106766</v>
      </c>
      <c r="AF107" s="9">
        <v>109266</v>
      </c>
      <c r="AG107" s="9">
        <v>109266</v>
      </c>
      <c r="AH107" s="9">
        <v>109766</v>
      </c>
      <c r="AI107" s="9">
        <v>109766</v>
      </c>
      <c r="AJ107" s="9">
        <v>109766</v>
      </c>
      <c r="AK107" s="9">
        <v>1363360</v>
      </c>
      <c r="AL107" s="9">
        <v>1861003</v>
      </c>
      <c r="AM107" s="9">
        <v>1861003</v>
      </c>
      <c r="AN107" s="9">
        <v>1861003</v>
      </c>
      <c r="AO107" s="31">
        <v>1861003</v>
      </c>
      <c r="AP107" s="9">
        <v>82915</v>
      </c>
      <c r="AQ107" s="9">
        <v>82915</v>
      </c>
      <c r="AR107" s="9">
        <v>82915</v>
      </c>
      <c r="AS107" s="9">
        <v>5587890</v>
      </c>
      <c r="AT107" s="9">
        <v>5590455</v>
      </c>
      <c r="AU107" s="9">
        <v>5590455</v>
      </c>
      <c r="AV107" s="9">
        <v>5590455</v>
      </c>
      <c r="AW107" s="9">
        <v>5590455</v>
      </c>
      <c r="AX107" s="9">
        <v>5590455</v>
      </c>
      <c r="AY107" s="9">
        <v>5590455</v>
      </c>
      <c r="AZ107" s="9">
        <v>5590455</v>
      </c>
      <c r="BA107" s="9">
        <v>16909905</v>
      </c>
      <c r="BB107" s="31">
        <v>16909905</v>
      </c>
      <c r="BC107" s="9">
        <v>115897</v>
      </c>
      <c r="BD107" s="9">
        <v>115897</v>
      </c>
      <c r="BE107" s="9">
        <v>115897</v>
      </c>
      <c r="BF107" s="9">
        <v>115897</v>
      </c>
      <c r="BG107" s="9">
        <v>115897</v>
      </c>
      <c r="BH107" s="9">
        <v>115897</v>
      </c>
      <c r="BI107" s="9">
        <v>3664753</v>
      </c>
      <c r="BJ107" s="9">
        <v>3664753</v>
      </c>
      <c r="BK107" s="9">
        <v>3664753</v>
      </c>
      <c r="BL107" s="9">
        <v>3664753</v>
      </c>
      <c r="BM107" s="9">
        <v>3664753</v>
      </c>
      <c r="BN107" s="9">
        <v>3664753</v>
      </c>
      <c r="BO107" s="31">
        <v>3664753</v>
      </c>
      <c r="BP107" s="9">
        <v>71643</v>
      </c>
      <c r="BQ107" s="9">
        <v>71643</v>
      </c>
      <c r="BR107" s="9">
        <v>71643</v>
      </c>
      <c r="BS107" s="9">
        <v>71643</v>
      </c>
      <c r="BT107" s="9">
        <v>71643</v>
      </c>
      <c r="BU107" s="9">
        <v>24064522</v>
      </c>
      <c r="BV107" s="9">
        <v>24064522</v>
      </c>
      <c r="BW107" s="9">
        <v>27314932</v>
      </c>
      <c r="BX107" s="9">
        <v>27314932</v>
      </c>
      <c r="BY107" s="9">
        <v>27314932</v>
      </c>
      <c r="BZ107" s="9">
        <v>27314932</v>
      </c>
      <c r="CA107" s="9">
        <v>25125412</v>
      </c>
      <c r="CB107" s="31">
        <v>25125412</v>
      </c>
      <c r="CC107" s="9">
        <v>73506</v>
      </c>
      <c r="CD107" s="9">
        <v>73506</v>
      </c>
      <c r="CE107" s="9">
        <v>73506</v>
      </c>
      <c r="CF107" s="9">
        <v>51455</v>
      </c>
      <c r="CG107" s="9">
        <v>33048</v>
      </c>
      <c r="CH107" s="9">
        <v>33048</v>
      </c>
      <c r="CI107" s="9">
        <v>33048</v>
      </c>
      <c r="CJ107" s="9">
        <v>33048</v>
      </c>
      <c r="CK107" s="9">
        <v>8339993</v>
      </c>
      <c r="CL107" s="9">
        <v>8339993</v>
      </c>
      <c r="CM107" s="9">
        <v>8380451</v>
      </c>
      <c r="CN107" s="9">
        <v>10994892</v>
      </c>
      <c r="CO107" s="31">
        <v>10994892</v>
      </c>
      <c r="CP107" s="9">
        <v>45774</v>
      </c>
      <c r="CQ107" s="9">
        <v>45774</v>
      </c>
      <c r="CR107" s="9">
        <v>45774</v>
      </c>
      <c r="CS107" s="9">
        <v>45774</v>
      </c>
      <c r="CT107" s="9">
        <v>10722943</v>
      </c>
      <c r="CU107" s="9">
        <v>10722943</v>
      </c>
      <c r="CV107" s="9">
        <v>10722943</v>
      </c>
      <c r="CW107" s="9">
        <v>10722943</v>
      </c>
      <c r="CX107" s="9">
        <v>10722943</v>
      </c>
      <c r="CY107" s="9">
        <v>10722943</v>
      </c>
      <c r="CZ107" s="9">
        <v>10722943</v>
      </c>
      <c r="DA107" s="9">
        <v>11741384</v>
      </c>
      <c r="DB107" s="31">
        <v>11741384</v>
      </c>
      <c r="DC107" s="9">
        <v>0</v>
      </c>
      <c r="DD107" s="9">
        <v>0</v>
      </c>
      <c r="DE107" s="9">
        <v>0</v>
      </c>
      <c r="DF107" s="9">
        <v>2514515</v>
      </c>
      <c r="DG107" s="9">
        <v>6983585</v>
      </c>
      <c r="DH107" s="9">
        <v>6983585</v>
      </c>
      <c r="DI107" s="9">
        <v>6983585</v>
      </c>
      <c r="DJ107" s="9">
        <v>6983585</v>
      </c>
      <c r="DK107" s="9">
        <v>6983585</v>
      </c>
      <c r="DL107" s="9">
        <v>51902800</v>
      </c>
      <c r="DM107" s="9">
        <v>80310595</v>
      </c>
      <c r="DN107" s="9">
        <v>78492160</v>
      </c>
      <c r="DO107" s="31">
        <v>78492160</v>
      </c>
      <c r="DP107" s="9">
        <v>9301250</v>
      </c>
      <c r="DQ107" s="9">
        <v>9301250</v>
      </c>
      <c r="DR107" s="9">
        <v>9301250</v>
      </c>
      <c r="DS107" s="9">
        <v>9301250</v>
      </c>
      <c r="DT107" s="9">
        <v>9301250</v>
      </c>
      <c r="DU107" s="9">
        <v>9301250</v>
      </c>
      <c r="DV107" s="9">
        <v>9301250</v>
      </c>
      <c r="DW107" s="9">
        <v>9301250</v>
      </c>
      <c r="DX107" s="9">
        <v>9301250</v>
      </c>
      <c r="DY107" s="9">
        <v>9301250</v>
      </c>
      <c r="DZ107" s="9">
        <v>9301250</v>
      </c>
      <c r="EA107" s="9">
        <v>9462117</v>
      </c>
      <c r="EB107" s="31">
        <v>9462117</v>
      </c>
      <c r="EC107" s="9">
        <v>0</v>
      </c>
      <c r="ED107" s="9">
        <v>0</v>
      </c>
      <c r="EE107" s="9">
        <v>0</v>
      </c>
      <c r="EF107" s="9">
        <v>0</v>
      </c>
      <c r="EG107" s="9">
        <v>32168</v>
      </c>
      <c r="EH107" s="9">
        <v>32168</v>
      </c>
      <c r="EI107" s="9">
        <v>32168</v>
      </c>
      <c r="EJ107" s="9">
        <v>32168</v>
      </c>
      <c r="EK107" s="9">
        <v>32168</v>
      </c>
      <c r="EL107" s="9">
        <v>44560</v>
      </c>
      <c r="EM107" s="9">
        <v>44560</v>
      </c>
      <c r="EN107" s="9">
        <v>44560</v>
      </c>
      <c r="EO107" s="31">
        <v>44560</v>
      </c>
      <c r="EP107" s="9">
        <v>17818</v>
      </c>
      <c r="EQ107" s="9">
        <v>17818</v>
      </c>
      <c r="ER107" s="9">
        <v>17818</v>
      </c>
      <c r="ES107" s="9">
        <v>17818</v>
      </c>
      <c r="ET107" s="9">
        <v>17818</v>
      </c>
      <c r="EU107" s="9">
        <v>17818</v>
      </c>
      <c r="EV107" s="9">
        <v>17818</v>
      </c>
      <c r="EW107" s="9">
        <v>17818</v>
      </c>
      <c r="EX107" s="9">
        <v>17818</v>
      </c>
      <c r="EY107" s="9">
        <v>17818</v>
      </c>
      <c r="EZ107" s="9">
        <v>17818</v>
      </c>
      <c r="FA107" s="9">
        <v>17818</v>
      </c>
      <c r="FB107" s="31">
        <v>17818</v>
      </c>
      <c r="FC107" s="9">
        <v>10</v>
      </c>
      <c r="FD107" s="9">
        <v>10</v>
      </c>
      <c r="FE107" s="9">
        <v>10</v>
      </c>
      <c r="FF107" s="9">
        <v>10</v>
      </c>
      <c r="FG107" s="9">
        <v>10</v>
      </c>
      <c r="FH107" s="9">
        <v>10</v>
      </c>
      <c r="FI107" s="9">
        <v>10</v>
      </c>
      <c r="FJ107" s="9">
        <v>10</v>
      </c>
      <c r="FK107" s="9">
        <v>10</v>
      </c>
      <c r="FL107" s="9">
        <v>10</v>
      </c>
      <c r="FM107" s="9">
        <v>10</v>
      </c>
      <c r="FN107" s="9">
        <v>10</v>
      </c>
      <c r="FO107" s="31">
        <v>10</v>
      </c>
    </row>
    <row r="108" spans="2:171" x14ac:dyDescent="0.3">
      <c r="B108" s="7" t="s">
        <v>55</v>
      </c>
      <c r="C108" s="9">
        <v>20560</v>
      </c>
      <c r="D108" s="9">
        <v>20560</v>
      </c>
      <c r="E108" s="9">
        <v>20560</v>
      </c>
      <c r="F108" s="9">
        <v>20560</v>
      </c>
      <c r="G108" s="9">
        <v>20560</v>
      </c>
      <c r="H108" s="9">
        <v>20560</v>
      </c>
      <c r="I108" s="9">
        <v>20560</v>
      </c>
      <c r="J108" s="9">
        <v>146465</v>
      </c>
      <c r="K108" s="9">
        <v>2846465</v>
      </c>
      <c r="L108" s="9">
        <v>2846465</v>
      </c>
      <c r="M108" s="9">
        <v>2946465</v>
      </c>
      <c r="N108" s="9">
        <v>4122649</v>
      </c>
      <c r="O108" s="31">
        <v>4122649</v>
      </c>
      <c r="P108" s="9">
        <v>22608</v>
      </c>
      <c r="Q108" s="9">
        <v>22608</v>
      </c>
      <c r="R108" s="9">
        <v>22608</v>
      </c>
      <c r="S108" s="9">
        <v>279091</v>
      </c>
      <c r="T108" s="9">
        <v>279091</v>
      </c>
      <c r="U108" s="9">
        <v>279091</v>
      </c>
      <c r="V108" s="9">
        <v>279091</v>
      </c>
      <c r="W108" s="9">
        <v>279091</v>
      </c>
      <c r="X108" s="9">
        <v>279091</v>
      </c>
      <c r="Y108" s="9">
        <v>516575</v>
      </c>
      <c r="Z108" s="9">
        <v>516575</v>
      </c>
      <c r="AA108" s="9">
        <v>3275675</v>
      </c>
      <c r="AB108" s="31">
        <v>3275675</v>
      </c>
      <c r="AC108" s="9">
        <v>945905</v>
      </c>
      <c r="AD108" s="9">
        <v>945905</v>
      </c>
      <c r="AE108" s="9">
        <v>945905</v>
      </c>
      <c r="AF108" s="9">
        <v>945905</v>
      </c>
      <c r="AG108" s="9">
        <v>945905</v>
      </c>
      <c r="AH108" s="9">
        <v>945905</v>
      </c>
      <c r="AI108" s="9">
        <v>945905</v>
      </c>
      <c r="AJ108" s="9">
        <v>4006609</v>
      </c>
      <c r="AK108" s="9">
        <v>4006609</v>
      </c>
      <c r="AL108" s="9">
        <v>4468585</v>
      </c>
      <c r="AM108" s="9">
        <v>4468585</v>
      </c>
      <c r="AN108" s="9">
        <v>4468585</v>
      </c>
      <c r="AO108" s="31">
        <v>4468585</v>
      </c>
      <c r="AP108" s="9">
        <v>16995</v>
      </c>
      <c r="AQ108" s="9">
        <v>16995</v>
      </c>
      <c r="AR108" s="9">
        <v>16995</v>
      </c>
      <c r="AS108" s="9">
        <v>16995</v>
      </c>
      <c r="AT108" s="9">
        <v>18415</v>
      </c>
      <c r="AU108" s="9">
        <v>22839</v>
      </c>
      <c r="AV108" s="9">
        <v>22839</v>
      </c>
      <c r="AW108" s="9">
        <v>26667</v>
      </c>
      <c r="AX108" s="9">
        <v>26667</v>
      </c>
      <c r="AY108" s="9">
        <v>26667</v>
      </c>
      <c r="AZ108" s="9">
        <v>26667</v>
      </c>
      <c r="BA108" s="9">
        <v>26667</v>
      </c>
      <c r="BB108" s="31">
        <v>26667</v>
      </c>
      <c r="BC108" s="9">
        <v>17432</v>
      </c>
      <c r="BD108" s="9">
        <v>17432</v>
      </c>
      <c r="BE108" s="9">
        <v>17432</v>
      </c>
      <c r="BF108" s="9">
        <v>17432</v>
      </c>
      <c r="BG108" s="9">
        <v>17432</v>
      </c>
      <c r="BH108" s="9">
        <v>17432</v>
      </c>
      <c r="BI108" s="9">
        <v>14492</v>
      </c>
      <c r="BJ108" s="9">
        <v>14492</v>
      </c>
      <c r="BK108" s="9">
        <v>14492</v>
      </c>
      <c r="BL108" s="9">
        <v>14492</v>
      </c>
      <c r="BM108" s="9">
        <v>14492</v>
      </c>
      <c r="BN108" s="9">
        <v>14492</v>
      </c>
      <c r="BO108" s="31">
        <v>14492</v>
      </c>
      <c r="BP108" s="9">
        <v>936647</v>
      </c>
      <c r="BQ108" s="9">
        <v>936647</v>
      </c>
      <c r="BR108" s="9">
        <v>936647</v>
      </c>
      <c r="BS108" s="9">
        <v>936647</v>
      </c>
      <c r="BT108" s="9">
        <v>936647</v>
      </c>
      <c r="BU108" s="9">
        <v>936647</v>
      </c>
      <c r="BV108" s="9">
        <v>936647</v>
      </c>
      <c r="BW108" s="9">
        <v>936647</v>
      </c>
      <c r="BX108" s="9">
        <v>936647</v>
      </c>
      <c r="BY108" s="9">
        <v>936647</v>
      </c>
      <c r="BZ108" s="9">
        <v>936647</v>
      </c>
      <c r="CA108" s="9">
        <v>936647</v>
      </c>
      <c r="CB108" s="31">
        <v>936647</v>
      </c>
      <c r="CC108" s="9">
        <v>3242677</v>
      </c>
      <c r="CD108" s="9">
        <v>3242677</v>
      </c>
      <c r="CE108" s="9">
        <v>3242677</v>
      </c>
      <c r="CF108" s="9">
        <v>3236542</v>
      </c>
      <c r="CG108" s="9">
        <v>1620999</v>
      </c>
      <c r="CH108" s="9">
        <v>1620999</v>
      </c>
      <c r="CI108" s="9">
        <v>1620999</v>
      </c>
      <c r="CJ108" s="9">
        <v>1620999</v>
      </c>
      <c r="CK108" s="9">
        <v>1620999</v>
      </c>
      <c r="CL108" s="9">
        <v>1993366</v>
      </c>
      <c r="CM108" s="9">
        <v>3600225</v>
      </c>
      <c r="CN108" s="9">
        <v>3600225</v>
      </c>
      <c r="CO108" s="31">
        <v>3600225</v>
      </c>
      <c r="CP108" s="9">
        <v>11095</v>
      </c>
      <c r="CQ108" s="9">
        <v>11095</v>
      </c>
      <c r="CR108" s="9">
        <v>11095</v>
      </c>
      <c r="CS108" s="9">
        <v>11095</v>
      </c>
      <c r="CT108" s="9">
        <v>11095</v>
      </c>
      <c r="CU108" s="9">
        <v>11095</v>
      </c>
      <c r="CV108" s="9">
        <v>11095</v>
      </c>
      <c r="CW108" s="9">
        <v>11095</v>
      </c>
      <c r="CX108" s="9">
        <v>11095</v>
      </c>
      <c r="CY108" s="9">
        <v>5116931</v>
      </c>
      <c r="CZ108" s="9">
        <v>5116931</v>
      </c>
      <c r="DA108" s="9">
        <v>5116931</v>
      </c>
      <c r="DB108" s="31">
        <v>5116931</v>
      </c>
      <c r="DC108" s="9">
        <v>0</v>
      </c>
      <c r="DD108" s="9">
        <v>0</v>
      </c>
      <c r="DE108" s="9">
        <v>1089715</v>
      </c>
      <c r="DF108" s="9">
        <v>1089715</v>
      </c>
      <c r="DG108" s="9">
        <v>1089715</v>
      </c>
      <c r="DH108" s="9">
        <v>1089715</v>
      </c>
      <c r="DI108" s="9">
        <v>1089715</v>
      </c>
      <c r="DJ108" s="9">
        <v>1089715</v>
      </c>
      <c r="DK108" s="9">
        <v>1089715</v>
      </c>
      <c r="DL108" s="9">
        <v>1089715</v>
      </c>
      <c r="DM108" s="9">
        <v>7899193</v>
      </c>
      <c r="DN108" s="9">
        <v>7899193</v>
      </c>
      <c r="DO108" s="31">
        <v>7899193</v>
      </c>
      <c r="DP108" s="9">
        <v>0</v>
      </c>
      <c r="DQ108" s="9">
        <v>0</v>
      </c>
      <c r="DR108" s="9">
        <v>0</v>
      </c>
      <c r="DS108" s="9">
        <v>0</v>
      </c>
      <c r="DT108" s="9">
        <v>0</v>
      </c>
      <c r="DU108" s="9">
        <v>0</v>
      </c>
      <c r="DV108" s="9">
        <v>0</v>
      </c>
      <c r="DW108" s="9">
        <v>0</v>
      </c>
      <c r="DX108" s="9">
        <v>0</v>
      </c>
      <c r="DY108" s="9">
        <v>0</v>
      </c>
      <c r="DZ108" s="9">
        <v>0</v>
      </c>
      <c r="EA108" s="9">
        <v>0</v>
      </c>
      <c r="EB108" s="31">
        <v>0</v>
      </c>
      <c r="EC108" s="9">
        <v>0</v>
      </c>
      <c r="ED108" s="9">
        <v>0</v>
      </c>
      <c r="EE108" s="9">
        <v>0</v>
      </c>
      <c r="EF108" s="9">
        <v>0</v>
      </c>
      <c r="EG108" s="9">
        <v>10159</v>
      </c>
      <c r="EH108" s="9">
        <v>10159</v>
      </c>
      <c r="EI108" s="9">
        <v>10159</v>
      </c>
      <c r="EJ108" s="9">
        <v>10159</v>
      </c>
      <c r="EK108" s="9">
        <v>10159</v>
      </c>
      <c r="EL108" s="9">
        <v>12541</v>
      </c>
      <c r="EM108" s="9">
        <v>431652</v>
      </c>
      <c r="EN108" s="9">
        <v>300457</v>
      </c>
      <c r="EO108" s="31">
        <v>300457</v>
      </c>
      <c r="EP108" s="9">
        <v>7424</v>
      </c>
      <c r="EQ108" s="9">
        <v>7424</v>
      </c>
      <c r="ER108" s="9">
        <v>7424</v>
      </c>
      <c r="ES108" s="9">
        <v>7424</v>
      </c>
      <c r="ET108" s="9">
        <v>7424</v>
      </c>
      <c r="EU108" s="9">
        <v>7424</v>
      </c>
      <c r="EV108" s="9">
        <v>7424</v>
      </c>
      <c r="EW108" s="9">
        <v>7424</v>
      </c>
      <c r="EX108" s="9">
        <v>7424</v>
      </c>
      <c r="EY108" s="9">
        <v>7424</v>
      </c>
      <c r="EZ108" s="9">
        <v>7424</v>
      </c>
      <c r="FA108" s="9">
        <v>7424</v>
      </c>
      <c r="FB108" s="31">
        <v>7424</v>
      </c>
      <c r="FC108" s="9">
        <v>10</v>
      </c>
      <c r="FD108" s="9">
        <v>10</v>
      </c>
      <c r="FE108" s="9">
        <v>10</v>
      </c>
      <c r="FF108" s="9">
        <v>10</v>
      </c>
      <c r="FG108" s="9">
        <v>10</v>
      </c>
      <c r="FH108" s="9">
        <v>10</v>
      </c>
      <c r="FI108" s="9">
        <v>10</v>
      </c>
      <c r="FJ108" s="9">
        <v>10</v>
      </c>
      <c r="FK108" s="9">
        <v>10</v>
      </c>
      <c r="FL108" s="9">
        <v>10</v>
      </c>
      <c r="FM108" s="9">
        <v>10</v>
      </c>
      <c r="FN108" s="9">
        <v>10</v>
      </c>
      <c r="FO108" s="31">
        <v>10</v>
      </c>
    </row>
    <row r="109" spans="2:171" x14ac:dyDescent="0.3">
      <c r="B109" s="7" t="s">
        <v>56</v>
      </c>
      <c r="C109" s="9">
        <v>22041</v>
      </c>
      <c r="D109" s="9">
        <v>22041</v>
      </c>
      <c r="E109" s="9">
        <v>22041</v>
      </c>
      <c r="F109" s="9">
        <v>22041</v>
      </c>
      <c r="G109" s="9">
        <v>22041</v>
      </c>
      <c r="H109" s="9">
        <v>22041</v>
      </c>
      <c r="I109" s="9">
        <v>22041</v>
      </c>
      <c r="J109" s="9">
        <v>22041</v>
      </c>
      <c r="K109" s="9">
        <v>22041</v>
      </c>
      <c r="L109" s="9">
        <v>22041</v>
      </c>
      <c r="M109" s="9">
        <v>22041</v>
      </c>
      <c r="N109" s="9">
        <v>22041</v>
      </c>
      <c r="O109" s="31">
        <v>22041</v>
      </c>
      <c r="P109" s="9">
        <v>24650</v>
      </c>
      <c r="Q109" s="9">
        <v>24650</v>
      </c>
      <c r="R109" s="9">
        <v>24650</v>
      </c>
      <c r="S109" s="9">
        <v>24650</v>
      </c>
      <c r="T109" s="9">
        <v>24650</v>
      </c>
      <c r="U109" s="9">
        <v>24650</v>
      </c>
      <c r="V109" s="9">
        <v>24650</v>
      </c>
      <c r="W109" s="9">
        <v>24650</v>
      </c>
      <c r="X109" s="9">
        <v>24650</v>
      </c>
      <c r="Y109" s="9">
        <v>24650</v>
      </c>
      <c r="Z109" s="9">
        <v>24650</v>
      </c>
      <c r="AA109" s="9">
        <v>24650</v>
      </c>
      <c r="AB109" s="31">
        <v>24650</v>
      </c>
      <c r="AC109" s="9">
        <v>25151</v>
      </c>
      <c r="AD109" s="9">
        <v>25151</v>
      </c>
      <c r="AE109" s="9">
        <v>25151</v>
      </c>
      <c r="AF109" s="9">
        <v>156411</v>
      </c>
      <c r="AG109" s="9">
        <v>156411</v>
      </c>
      <c r="AH109" s="9">
        <v>160526</v>
      </c>
      <c r="AI109" s="9">
        <v>160526</v>
      </c>
      <c r="AJ109" s="9">
        <v>160526</v>
      </c>
      <c r="AK109" s="9">
        <v>160526</v>
      </c>
      <c r="AL109" s="9">
        <v>160526</v>
      </c>
      <c r="AM109" s="9">
        <v>160526</v>
      </c>
      <c r="AN109" s="9">
        <v>160526</v>
      </c>
      <c r="AO109" s="31">
        <v>160526</v>
      </c>
      <c r="AP109" s="9">
        <v>692985</v>
      </c>
      <c r="AQ109" s="9">
        <v>692985</v>
      </c>
      <c r="AR109" s="9">
        <v>692985</v>
      </c>
      <c r="AS109" s="9">
        <v>692985</v>
      </c>
      <c r="AT109" s="9">
        <v>692985</v>
      </c>
      <c r="AU109" s="9">
        <v>692985</v>
      </c>
      <c r="AV109" s="9">
        <v>692985</v>
      </c>
      <c r="AW109" s="9">
        <v>692985</v>
      </c>
      <c r="AX109" s="9">
        <v>692985</v>
      </c>
      <c r="AY109" s="9">
        <v>692985</v>
      </c>
      <c r="AZ109" s="9">
        <v>692985</v>
      </c>
      <c r="BA109" s="9">
        <v>425441</v>
      </c>
      <c r="BB109" s="31">
        <v>425441</v>
      </c>
      <c r="BC109" s="9">
        <v>1462323</v>
      </c>
      <c r="BD109" s="9">
        <v>1462323</v>
      </c>
      <c r="BE109" s="9">
        <v>1462323</v>
      </c>
      <c r="BF109" s="9">
        <v>1462323</v>
      </c>
      <c r="BG109" s="9">
        <v>1462323</v>
      </c>
      <c r="BH109" s="9">
        <v>1462323</v>
      </c>
      <c r="BI109" s="9">
        <v>1311653</v>
      </c>
      <c r="BJ109" s="9">
        <v>1311653</v>
      </c>
      <c r="BK109" s="9">
        <v>1311653</v>
      </c>
      <c r="BL109" s="9">
        <v>1311653</v>
      </c>
      <c r="BM109" s="9">
        <v>1311653</v>
      </c>
      <c r="BN109" s="9">
        <v>1311653</v>
      </c>
      <c r="BO109" s="31">
        <v>1311653</v>
      </c>
      <c r="BP109" s="9">
        <v>563609</v>
      </c>
      <c r="BQ109" s="9">
        <v>563609</v>
      </c>
      <c r="BR109" s="9">
        <v>563609</v>
      </c>
      <c r="BS109" s="9">
        <v>563609</v>
      </c>
      <c r="BT109" s="9">
        <v>563609</v>
      </c>
      <c r="BU109" s="9">
        <v>563609</v>
      </c>
      <c r="BV109" s="9">
        <v>647839</v>
      </c>
      <c r="BW109" s="9">
        <v>678139</v>
      </c>
      <c r="BX109" s="9">
        <v>678139</v>
      </c>
      <c r="BY109" s="9">
        <v>678139</v>
      </c>
      <c r="BZ109" s="9">
        <v>678139</v>
      </c>
      <c r="CA109" s="9">
        <v>140311</v>
      </c>
      <c r="CB109" s="31">
        <v>140311</v>
      </c>
      <c r="CC109" s="9">
        <v>12650</v>
      </c>
      <c r="CD109" s="9">
        <v>12650</v>
      </c>
      <c r="CE109" s="9">
        <v>12650</v>
      </c>
      <c r="CF109" s="9">
        <v>8855</v>
      </c>
      <c r="CG109" s="9">
        <v>4427</v>
      </c>
      <c r="CH109" s="9">
        <v>4427</v>
      </c>
      <c r="CI109" s="9">
        <v>4427</v>
      </c>
      <c r="CJ109" s="9">
        <v>4427</v>
      </c>
      <c r="CK109" s="9">
        <v>4427</v>
      </c>
      <c r="CL109" s="9">
        <v>4427</v>
      </c>
      <c r="CM109" s="9">
        <v>440660</v>
      </c>
      <c r="CN109" s="9">
        <v>450100</v>
      </c>
      <c r="CO109" s="31">
        <v>450100</v>
      </c>
      <c r="CP109" s="9">
        <v>7055</v>
      </c>
      <c r="CQ109" s="9">
        <v>7055</v>
      </c>
      <c r="CR109" s="9">
        <v>7055</v>
      </c>
      <c r="CS109" s="9">
        <v>7055</v>
      </c>
      <c r="CT109" s="9">
        <v>250007</v>
      </c>
      <c r="CU109" s="9">
        <v>250007</v>
      </c>
      <c r="CV109" s="9">
        <v>266968</v>
      </c>
      <c r="CW109" s="9">
        <v>266968</v>
      </c>
      <c r="CX109" s="9">
        <v>266968</v>
      </c>
      <c r="CY109" s="9">
        <v>266968</v>
      </c>
      <c r="CZ109" s="9">
        <v>266968</v>
      </c>
      <c r="DA109" s="9">
        <v>266968</v>
      </c>
      <c r="DB109" s="31">
        <v>266968</v>
      </c>
      <c r="DC109" s="9">
        <v>0</v>
      </c>
      <c r="DD109" s="9">
        <v>0</v>
      </c>
      <c r="DE109" s="9">
        <v>0</v>
      </c>
      <c r="DF109" s="9">
        <v>0</v>
      </c>
      <c r="DG109" s="9">
        <v>33826</v>
      </c>
      <c r="DH109" s="9">
        <v>33826</v>
      </c>
      <c r="DI109" s="9">
        <v>33826</v>
      </c>
      <c r="DJ109" s="9">
        <v>33826</v>
      </c>
      <c r="DK109" s="9">
        <v>33826</v>
      </c>
      <c r="DL109" s="9">
        <v>3346047</v>
      </c>
      <c r="DM109" s="9">
        <v>6440875</v>
      </c>
      <c r="DN109" s="9">
        <v>8582147</v>
      </c>
      <c r="DO109" s="31">
        <v>8582147</v>
      </c>
      <c r="DP109" s="9">
        <v>0</v>
      </c>
      <c r="DQ109" s="9">
        <v>0</v>
      </c>
      <c r="DR109" s="9">
        <v>0</v>
      </c>
      <c r="DS109" s="9">
        <v>0</v>
      </c>
      <c r="DT109" s="9">
        <v>0</v>
      </c>
      <c r="DU109" s="9">
        <v>0</v>
      </c>
      <c r="DV109" s="9">
        <v>0</v>
      </c>
      <c r="DW109" s="9">
        <v>0</v>
      </c>
      <c r="DX109" s="9">
        <v>0</v>
      </c>
      <c r="DY109" s="9">
        <v>0</v>
      </c>
      <c r="DZ109" s="9">
        <v>0</v>
      </c>
      <c r="EA109" s="9">
        <v>0</v>
      </c>
      <c r="EB109" s="31">
        <v>0</v>
      </c>
      <c r="EC109" s="9">
        <v>0</v>
      </c>
      <c r="ED109" s="9">
        <v>0</v>
      </c>
      <c r="EE109" s="9">
        <v>0</v>
      </c>
      <c r="EF109" s="9">
        <v>0</v>
      </c>
      <c r="EG109" s="9">
        <v>5080</v>
      </c>
      <c r="EH109" s="9">
        <v>5080</v>
      </c>
      <c r="EI109" s="9">
        <v>5080</v>
      </c>
      <c r="EJ109" s="9">
        <v>5080</v>
      </c>
      <c r="EK109" s="9">
        <v>5080</v>
      </c>
      <c r="EL109" s="9">
        <v>6865</v>
      </c>
      <c r="EM109" s="9">
        <v>6865</v>
      </c>
      <c r="EN109" s="9">
        <v>6865</v>
      </c>
      <c r="EO109" s="31">
        <v>6865</v>
      </c>
      <c r="EP109" s="9">
        <v>2970</v>
      </c>
      <c r="EQ109" s="9">
        <v>2970</v>
      </c>
      <c r="ER109" s="9">
        <v>2970</v>
      </c>
      <c r="ES109" s="9">
        <v>2970</v>
      </c>
      <c r="ET109" s="9">
        <v>2970</v>
      </c>
      <c r="EU109" s="9">
        <v>2970</v>
      </c>
      <c r="EV109" s="9">
        <v>2970</v>
      </c>
      <c r="EW109" s="9">
        <v>2970</v>
      </c>
      <c r="EX109" s="9">
        <v>2970</v>
      </c>
      <c r="EY109" s="9">
        <v>2970</v>
      </c>
      <c r="EZ109" s="9">
        <v>2970</v>
      </c>
      <c r="FA109" s="9">
        <v>2970</v>
      </c>
      <c r="FB109" s="31">
        <v>2970</v>
      </c>
      <c r="FC109" s="9">
        <v>10</v>
      </c>
      <c r="FD109" s="9">
        <v>10</v>
      </c>
      <c r="FE109" s="9">
        <v>10</v>
      </c>
      <c r="FF109" s="9">
        <v>10</v>
      </c>
      <c r="FG109" s="9">
        <v>10</v>
      </c>
      <c r="FH109" s="9">
        <v>10</v>
      </c>
      <c r="FI109" s="9">
        <v>10</v>
      </c>
      <c r="FJ109" s="9">
        <v>10</v>
      </c>
      <c r="FK109" s="9">
        <v>10</v>
      </c>
      <c r="FL109" s="9">
        <v>10</v>
      </c>
      <c r="FM109" s="9">
        <v>10</v>
      </c>
      <c r="FN109" s="9">
        <v>10</v>
      </c>
      <c r="FO109" s="31">
        <v>10</v>
      </c>
    </row>
    <row r="110" spans="2:171" x14ac:dyDescent="0.3">
      <c r="B110" s="7" t="s">
        <v>57</v>
      </c>
      <c r="C110" s="9">
        <v>0</v>
      </c>
      <c r="D110" s="9">
        <v>0</v>
      </c>
      <c r="E110" s="9">
        <v>0</v>
      </c>
      <c r="F110" s="9">
        <v>0</v>
      </c>
      <c r="G110" s="9">
        <v>0</v>
      </c>
      <c r="H110" s="9">
        <v>0</v>
      </c>
      <c r="I110" s="9">
        <v>0</v>
      </c>
      <c r="J110" s="9">
        <v>0</v>
      </c>
      <c r="K110" s="9">
        <v>0</v>
      </c>
      <c r="L110" s="9">
        <v>0</v>
      </c>
      <c r="M110" s="9">
        <v>0</v>
      </c>
      <c r="N110" s="9">
        <v>0</v>
      </c>
      <c r="O110" s="31">
        <v>0</v>
      </c>
      <c r="P110" s="9">
        <v>0</v>
      </c>
      <c r="Q110" s="9">
        <v>0</v>
      </c>
      <c r="R110" s="9">
        <v>0</v>
      </c>
      <c r="S110" s="9">
        <v>0</v>
      </c>
      <c r="T110" s="9">
        <v>0</v>
      </c>
      <c r="U110" s="9">
        <v>0</v>
      </c>
      <c r="V110" s="9">
        <v>0</v>
      </c>
      <c r="W110" s="9">
        <v>0</v>
      </c>
      <c r="X110" s="9">
        <v>0</v>
      </c>
      <c r="Y110" s="9">
        <v>0</v>
      </c>
      <c r="Z110" s="9">
        <v>0</v>
      </c>
      <c r="AA110" s="9">
        <v>0</v>
      </c>
      <c r="AB110" s="31">
        <v>0</v>
      </c>
      <c r="AC110" s="9">
        <v>0</v>
      </c>
      <c r="AD110" s="9">
        <v>0</v>
      </c>
      <c r="AE110" s="9">
        <v>0</v>
      </c>
      <c r="AF110" s="9">
        <v>0</v>
      </c>
      <c r="AG110" s="9">
        <v>0</v>
      </c>
      <c r="AH110" s="9">
        <v>0</v>
      </c>
      <c r="AI110" s="9">
        <v>0</v>
      </c>
      <c r="AJ110" s="9">
        <v>0</v>
      </c>
      <c r="AK110" s="9">
        <v>0</v>
      </c>
      <c r="AL110" s="9">
        <v>0</v>
      </c>
      <c r="AM110" s="9">
        <v>0</v>
      </c>
      <c r="AN110" s="9">
        <v>0</v>
      </c>
      <c r="AO110" s="31">
        <v>0</v>
      </c>
      <c r="AP110" s="9">
        <v>0</v>
      </c>
      <c r="AQ110" s="9">
        <v>0</v>
      </c>
      <c r="AR110" s="9">
        <v>0</v>
      </c>
      <c r="AS110" s="9">
        <v>0</v>
      </c>
      <c r="AT110" s="9">
        <v>0</v>
      </c>
      <c r="AU110" s="9">
        <v>0</v>
      </c>
      <c r="AV110" s="9">
        <v>0</v>
      </c>
      <c r="AW110" s="9">
        <v>0</v>
      </c>
      <c r="AX110" s="9">
        <v>0</v>
      </c>
      <c r="AY110" s="9">
        <v>0</v>
      </c>
      <c r="AZ110" s="9">
        <v>0</v>
      </c>
      <c r="BA110" s="9">
        <v>0</v>
      </c>
      <c r="BB110" s="31">
        <v>0</v>
      </c>
      <c r="BC110" s="9">
        <v>0</v>
      </c>
      <c r="BD110" s="9">
        <v>0</v>
      </c>
      <c r="BE110" s="9">
        <v>0</v>
      </c>
      <c r="BF110" s="9">
        <v>0</v>
      </c>
      <c r="BG110" s="9">
        <v>0</v>
      </c>
      <c r="BH110" s="9">
        <v>0</v>
      </c>
      <c r="BI110" s="9">
        <v>0</v>
      </c>
      <c r="BJ110" s="9">
        <v>0</v>
      </c>
      <c r="BK110" s="9">
        <v>0</v>
      </c>
      <c r="BL110" s="9">
        <v>0</v>
      </c>
      <c r="BM110" s="9">
        <v>0</v>
      </c>
      <c r="BN110" s="9">
        <v>0</v>
      </c>
      <c r="BO110" s="31">
        <v>0</v>
      </c>
      <c r="BP110" s="9">
        <v>68447</v>
      </c>
      <c r="BQ110" s="9">
        <v>68447</v>
      </c>
      <c r="BR110" s="9">
        <v>68447</v>
      </c>
      <c r="BS110" s="9">
        <v>68447</v>
      </c>
      <c r="BT110" s="9">
        <v>68447</v>
      </c>
      <c r="BU110" s="9">
        <v>68447</v>
      </c>
      <c r="BV110" s="9">
        <v>68447</v>
      </c>
      <c r="BW110" s="9">
        <v>68447</v>
      </c>
      <c r="BX110" s="9">
        <v>68447</v>
      </c>
      <c r="BY110" s="9">
        <v>68447</v>
      </c>
      <c r="BZ110" s="9">
        <v>68447</v>
      </c>
      <c r="CA110" s="9">
        <v>68447</v>
      </c>
      <c r="CB110" s="31">
        <v>68447</v>
      </c>
      <c r="CC110" s="9">
        <v>21975</v>
      </c>
      <c r="CD110" s="9">
        <v>21975</v>
      </c>
      <c r="CE110" s="9">
        <v>21975</v>
      </c>
      <c r="CF110" s="9">
        <v>21975</v>
      </c>
      <c r="CG110" s="9">
        <v>21975</v>
      </c>
      <c r="CH110" s="9">
        <v>21975</v>
      </c>
      <c r="CI110" s="9">
        <v>7690</v>
      </c>
      <c r="CJ110" s="9">
        <v>7690</v>
      </c>
      <c r="CK110" s="9">
        <v>7690</v>
      </c>
      <c r="CL110" s="9">
        <v>7690</v>
      </c>
      <c r="CM110" s="9">
        <v>21975</v>
      </c>
      <c r="CN110" s="9">
        <v>21975</v>
      </c>
      <c r="CO110" s="31">
        <v>21975</v>
      </c>
      <c r="CP110" s="9">
        <v>15569</v>
      </c>
      <c r="CQ110" s="9">
        <v>15569</v>
      </c>
      <c r="CR110" s="9">
        <v>15569</v>
      </c>
      <c r="CS110" s="9">
        <v>15569</v>
      </c>
      <c r="CT110" s="9">
        <v>15569</v>
      </c>
      <c r="CU110" s="9">
        <v>19306</v>
      </c>
      <c r="CV110" s="9">
        <v>19306</v>
      </c>
      <c r="CW110" s="9">
        <v>19306</v>
      </c>
      <c r="CX110" s="9">
        <v>19306</v>
      </c>
      <c r="CY110" s="9">
        <v>19306</v>
      </c>
      <c r="CZ110" s="9">
        <v>19306</v>
      </c>
      <c r="DA110" s="9">
        <v>2042437</v>
      </c>
      <c r="DB110" s="31">
        <v>2042437</v>
      </c>
      <c r="DC110" s="9">
        <v>0</v>
      </c>
      <c r="DD110" s="9">
        <v>0</v>
      </c>
      <c r="DE110" s="9">
        <v>0</v>
      </c>
      <c r="DF110" s="9">
        <v>0</v>
      </c>
      <c r="DG110" s="9">
        <v>0</v>
      </c>
      <c r="DH110" s="9">
        <v>0</v>
      </c>
      <c r="DI110" s="9">
        <v>0</v>
      </c>
      <c r="DJ110" s="9">
        <v>0</v>
      </c>
      <c r="DK110" s="9">
        <v>0</v>
      </c>
      <c r="DL110" s="9">
        <v>0</v>
      </c>
      <c r="DM110" s="9">
        <v>1603019</v>
      </c>
      <c r="DN110" s="9">
        <v>1603019</v>
      </c>
      <c r="DO110" s="31">
        <v>1603019</v>
      </c>
      <c r="DP110" s="9">
        <v>3986250</v>
      </c>
      <c r="DQ110" s="9">
        <v>3986250</v>
      </c>
      <c r="DR110" s="9">
        <v>3986250</v>
      </c>
      <c r="DS110" s="9">
        <v>3986250</v>
      </c>
      <c r="DT110" s="9">
        <v>3986250</v>
      </c>
      <c r="DU110" s="9">
        <v>3986250</v>
      </c>
      <c r="DV110" s="9">
        <v>3986250</v>
      </c>
      <c r="DW110" s="9">
        <v>3986250</v>
      </c>
      <c r="DX110" s="9">
        <v>3986250</v>
      </c>
      <c r="DY110" s="9">
        <v>3986250</v>
      </c>
      <c r="DZ110" s="9">
        <v>3986250</v>
      </c>
      <c r="EA110" s="9">
        <v>4033097</v>
      </c>
      <c r="EB110" s="31">
        <v>4033097</v>
      </c>
      <c r="EC110" s="9">
        <v>0</v>
      </c>
      <c r="ED110" s="9">
        <v>0</v>
      </c>
      <c r="EE110" s="9">
        <v>0</v>
      </c>
      <c r="EF110" s="9">
        <v>0</v>
      </c>
      <c r="EG110" s="9">
        <v>5080</v>
      </c>
      <c r="EH110" s="9">
        <v>5080</v>
      </c>
      <c r="EI110" s="9">
        <v>5080</v>
      </c>
      <c r="EJ110" s="9">
        <v>5080</v>
      </c>
      <c r="EK110" s="9">
        <v>5080</v>
      </c>
      <c r="EL110" s="9">
        <v>6270</v>
      </c>
      <c r="EM110" s="9">
        <v>6270</v>
      </c>
      <c r="EN110" s="9">
        <v>6270</v>
      </c>
      <c r="EO110" s="31">
        <v>6270</v>
      </c>
      <c r="EP110" s="9">
        <v>8909</v>
      </c>
      <c r="EQ110" s="9">
        <v>8909</v>
      </c>
      <c r="ER110" s="9">
        <v>8909</v>
      </c>
      <c r="ES110" s="9">
        <v>8909</v>
      </c>
      <c r="ET110" s="9">
        <v>8909</v>
      </c>
      <c r="EU110" s="9">
        <v>8909</v>
      </c>
      <c r="EV110" s="9">
        <v>8909</v>
      </c>
      <c r="EW110" s="9">
        <v>8909</v>
      </c>
      <c r="EX110" s="9">
        <v>8909</v>
      </c>
      <c r="EY110" s="9">
        <v>8909</v>
      </c>
      <c r="EZ110" s="9">
        <v>8909</v>
      </c>
      <c r="FA110" s="9">
        <v>8909</v>
      </c>
      <c r="FB110" s="31">
        <v>8909</v>
      </c>
      <c r="FC110" s="9">
        <v>10</v>
      </c>
      <c r="FD110" s="9">
        <v>10</v>
      </c>
      <c r="FE110" s="9">
        <v>10</v>
      </c>
      <c r="FF110" s="9">
        <v>10</v>
      </c>
      <c r="FG110" s="9">
        <v>10</v>
      </c>
      <c r="FH110" s="9">
        <v>10</v>
      </c>
      <c r="FI110" s="9">
        <v>10</v>
      </c>
      <c r="FJ110" s="9">
        <v>10</v>
      </c>
      <c r="FK110" s="9">
        <v>10</v>
      </c>
      <c r="FL110" s="9">
        <v>10</v>
      </c>
      <c r="FM110" s="9">
        <v>10</v>
      </c>
      <c r="FN110" s="9">
        <v>10</v>
      </c>
      <c r="FO110" s="31">
        <v>10</v>
      </c>
    </row>
    <row r="111" spans="2:171" x14ac:dyDescent="0.3">
      <c r="B111" s="7" t="s">
        <v>58</v>
      </c>
      <c r="C111" s="9">
        <v>26966</v>
      </c>
      <c r="D111" s="9">
        <v>26966</v>
      </c>
      <c r="E111" s="9">
        <v>26966</v>
      </c>
      <c r="F111" s="9">
        <v>26966</v>
      </c>
      <c r="G111" s="9">
        <v>126966</v>
      </c>
      <c r="H111" s="9">
        <v>126966</v>
      </c>
      <c r="I111" s="9">
        <v>126966</v>
      </c>
      <c r="J111" s="9">
        <v>126966</v>
      </c>
      <c r="K111" s="9">
        <v>126966</v>
      </c>
      <c r="L111" s="9">
        <v>126966</v>
      </c>
      <c r="M111" s="9">
        <v>212711</v>
      </c>
      <c r="N111" s="9">
        <v>212711</v>
      </c>
      <c r="O111" s="31">
        <v>212711</v>
      </c>
      <c r="P111" s="9">
        <v>31276</v>
      </c>
      <c r="Q111" s="9">
        <v>31276</v>
      </c>
      <c r="R111" s="9">
        <v>31276</v>
      </c>
      <c r="S111" s="9">
        <v>31276</v>
      </c>
      <c r="T111" s="9">
        <v>31276</v>
      </c>
      <c r="U111" s="9">
        <v>44112</v>
      </c>
      <c r="V111" s="9">
        <v>44112</v>
      </c>
      <c r="W111" s="9">
        <v>44112</v>
      </c>
      <c r="X111" s="9">
        <v>567415</v>
      </c>
      <c r="Y111" s="9">
        <v>567415</v>
      </c>
      <c r="Z111" s="9">
        <v>826590</v>
      </c>
      <c r="AA111" s="9">
        <v>826590</v>
      </c>
      <c r="AB111" s="31">
        <v>826590</v>
      </c>
      <c r="AC111" s="9">
        <v>34397</v>
      </c>
      <c r="AD111" s="9">
        <v>34397</v>
      </c>
      <c r="AE111" s="9">
        <v>34397</v>
      </c>
      <c r="AF111" s="9">
        <v>34397</v>
      </c>
      <c r="AG111" s="9">
        <v>34397</v>
      </c>
      <c r="AH111" s="9">
        <v>41397</v>
      </c>
      <c r="AI111" s="9">
        <v>61685</v>
      </c>
      <c r="AJ111" s="9">
        <v>518239</v>
      </c>
      <c r="AK111" s="9">
        <v>518239</v>
      </c>
      <c r="AL111" s="9">
        <v>1035175</v>
      </c>
      <c r="AM111" s="9">
        <v>1035175</v>
      </c>
      <c r="AN111" s="9">
        <v>899900</v>
      </c>
      <c r="AO111" s="31">
        <v>899900</v>
      </c>
      <c r="AP111" s="9">
        <v>31724</v>
      </c>
      <c r="AQ111" s="9">
        <v>31724</v>
      </c>
      <c r="AR111" s="9">
        <v>31724</v>
      </c>
      <c r="AS111" s="9">
        <v>31724</v>
      </c>
      <c r="AT111" s="9">
        <v>31724</v>
      </c>
      <c r="AU111" s="9">
        <v>31724</v>
      </c>
      <c r="AV111" s="9">
        <v>31724</v>
      </c>
      <c r="AW111" s="9">
        <v>659380</v>
      </c>
      <c r="AX111" s="9">
        <v>659380</v>
      </c>
      <c r="AY111" s="9">
        <v>708090</v>
      </c>
      <c r="AZ111" s="9">
        <v>708090</v>
      </c>
      <c r="BA111" s="9">
        <v>373378</v>
      </c>
      <c r="BB111" s="31">
        <v>373378</v>
      </c>
      <c r="BC111" s="9">
        <v>20520</v>
      </c>
      <c r="BD111" s="9">
        <v>20520</v>
      </c>
      <c r="BE111" s="9">
        <v>20520</v>
      </c>
      <c r="BF111" s="9">
        <v>20520</v>
      </c>
      <c r="BG111" s="9">
        <v>423428</v>
      </c>
      <c r="BH111" s="9">
        <v>423428</v>
      </c>
      <c r="BI111" s="9">
        <v>420310</v>
      </c>
      <c r="BJ111" s="9">
        <v>420310</v>
      </c>
      <c r="BK111" s="9">
        <v>420310</v>
      </c>
      <c r="BL111" s="9">
        <v>420310</v>
      </c>
      <c r="BM111" s="9">
        <v>420310</v>
      </c>
      <c r="BN111" s="9">
        <v>420310</v>
      </c>
      <c r="BO111" s="31">
        <v>420310</v>
      </c>
      <c r="BP111" s="9">
        <v>9271</v>
      </c>
      <c r="BQ111" s="9">
        <v>9271</v>
      </c>
      <c r="BR111" s="9">
        <v>9271</v>
      </c>
      <c r="BS111" s="9">
        <v>9271</v>
      </c>
      <c r="BT111" s="9">
        <v>9271</v>
      </c>
      <c r="BU111" s="9">
        <v>784906</v>
      </c>
      <c r="BV111" s="9">
        <v>784906</v>
      </c>
      <c r="BW111" s="9">
        <v>784906</v>
      </c>
      <c r="BX111" s="9">
        <v>784906</v>
      </c>
      <c r="BY111" s="9">
        <v>784906</v>
      </c>
      <c r="BZ111" s="9">
        <v>784906</v>
      </c>
      <c r="CA111" s="9">
        <v>749167</v>
      </c>
      <c r="CB111" s="31">
        <v>749167</v>
      </c>
      <c r="CC111" s="9">
        <v>9512</v>
      </c>
      <c r="CD111" s="9">
        <v>9512</v>
      </c>
      <c r="CE111" s="9">
        <v>9512</v>
      </c>
      <c r="CF111" s="9">
        <v>6659</v>
      </c>
      <c r="CG111" s="9">
        <v>5964</v>
      </c>
      <c r="CH111" s="9">
        <v>5964</v>
      </c>
      <c r="CI111" s="9">
        <v>5964</v>
      </c>
      <c r="CJ111" s="9">
        <v>5964</v>
      </c>
      <c r="CK111" s="9">
        <v>5964</v>
      </c>
      <c r="CL111" s="9">
        <v>5964</v>
      </c>
      <c r="CM111" s="9">
        <v>24272</v>
      </c>
      <c r="CN111" s="9">
        <v>24272</v>
      </c>
      <c r="CO111" s="31">
        <v>24272</v>
      </c>
      <c r="CP111" s="9">
        <v>13073</v>
      </c>
      <c r="CQ111" s="9">
        <v>13073</v>
      </c>
      <c r="CR111" s="9">
        <v>13073</v>
      </c>
      <c r="CS111" s="9">
        <v>777303</v>
      </c>
      <c r="CT111" s="9">
        <v>777303</v>
      </c>
      <c r="CU111" s="9">
        <v>777303</v>
      </c>
      <c r="CV111" s="9">
        <v>777303</v>
      </c>
      <c r="CW111" s="9">
        <v>777303</v>
      </c>
      <c r="CX111" s="9">
        <v>777303</v>
      </c>
      <c r="CY111" s="9">
        <v>777303</v>
      </c>
      <c r="CZ111" s="9">
        <v>777303</v>
      </c>
      <c r="DA111" s="9">
        <v>812303</v>
      </c>
      <c r="DB111" s="31">
        <v>812303</v>
      </c>
      <c r="DC111" s="9">
        <v>0</v>
      </c>
      <c r="DD111" s="9">
        <v>0</v>
      </c>
      <c r="DE111" s="9">
        <v>0</v>
      </c>
      <c r="DF111" s="9">
        <v>0</v>
      </c>
      <c r="DG111" s="9">
        <v>0</v>
      </c>
      <c r="DH111" s="9">
        <v>0</v>
      </c>
      <c r="DI111" s="9">
        <v>0</v>
      </c>
      <c r="DJ111" s="9">
        <v>0</v>
      </c>
      <c r="DK111" s="9">
        <v>0</v>
      </c>
      <c r="DL111" s="9">
        <v>0</v>
      </c>
      <c r="DM111" s="9">
        <v>3907752</v>
      </c>
      <c r="DN111" s="9">
        <v>3907752</v>
      </c>
      <c r="DO111" s="31">
        <v>3907752</v>
      </c>
      <c r="DP111" s="9">
        <v>9301250</v>
      </c>
      <c r="DQ111" s="9">
        <v>9301250</v>
      </c>
      <c r="DR111" s="9">
        <v>9301250</v>
      </c>
      <c r="DS111" s="9">
        <v>9301250</v>
      </c>
      <c r="DT111" s="9">
        <v>9301250</v>
      </c>
      <c r="DU111" s="9">
        <v>9301250</v>
      </c>
      <c r="DV111" s="9">
        <v>9301250</v>
      </c>
      <c r="DW111" s="9">
        <v>9301250</v>
      </c>
      <c r="DX111" s="9">
        <v>9301250</v>
      </c>
      <c r="DY111" s="9">
        <v>9301250</v>
      </c>
      <c r="DZ111" s="9">
        <v>9301250</v>
      </c>
      <c r="EA111" s="9">
        <v>8558484</v>
      </c>
      <c r="EB111" s="31">
        <v>8558484</v>
      </c>
      <c r="EC111" s="9">
        <v>0</v>
      </c>
      <c r="ED111" s="9">
        <v>0</v>
      </c>
      <c r="EE111" s="9">
        <v>0</v>
      </c>
      <c r="EF111" s="9">
        <v>0</v>
      </c>
      <c r="EG111" s="9">
        <v>11175</v>
      </c>
      <c r="EH111" s="9">
        <v>11175</v>
      </c>
      <c r="EI111" s="9">
        <v>11175</v>
      </c>
      <c r="EJ111" s="9">
        <v>11175</v>
      </c>
      <c r="EK111" s="9">
        <v>11175</v>
      </c>
      <c r="EL111" s="9">
        <v>12960</v>
      </c>
      <c r="EM111" s="9">
        <v>12960</v>
      </c>
      <c r="EN111" s="9">
        <v>12960</v>
      </c>
      <c r="EO111" s="31">
        <v>12960</v>
      </c>
      <c r="EP111" s="9">
        <v>11879</v>
      </c>
      <c r="EQ111" s="9">
        <v>11879</v>
      </c>
      <c r="ER111" s="9">
        <v>11879</v>
      </c>
      <c r="ES111" s="9">
        <v>11879</v>
      </c>
      <c r="ET111" s="9">
        <v>11879</v>
      </c>
      <c r="EU111" s="9">
        <v>11879</v>
      </c>
      <c r="EV111" s="9">
        <v>11879</v>
      </c>
      <c r="EW111" s="9">
        <v>11879</v>
      </c>
      <c r="EX111" s="9">
        <v>11879</v>
      </c>
      <c r="EY111" s="9">
        <v>11879</v>
      </c>
      <c r="EZ111" s="9">
        <v>11879</v>
      </c>
      <c r="FA111" s="9">
        <v>11879</v>
      </c>
      <c r="FB111" s="31">
        <v>11879</v>
      </c>
      <c r="FC111" s="9">
        <v>10</v>
      </c>
      <c r="FD111" s="9">
        <v>10</v>
      </c>
      <c r="FE111" s="9">
        <v>10</v>
      </c>
      <c r="FF111" s="9">
        <v>10</v>
      </c>
      <c r="FG111" s="9">
        <v>10</v>
      </c>
      <c r="FH111" s="9">
        <v>10</v>
      </c>
      <c r="FI111" s="9">
        <v>10</v>
      </c>
      <c r="FJ111" s="9">
        <v>10</v>
      </c>
      <c r="FK111" s="9">
        <v>10</v>
      </c>
      <c r="FL111" s="9">
        <v>10</v>
      </c>
      <c r="FM111" s="9">
        <v>10</v>
      </c>
      <c r="FN111" s="9">
        <v>10</v>
      </c>
      <c r="FO111" s="31">
        <v>10</v>
      </c>
    </row>
    <row r="112" spans="2:171" x14ac:dyDescent="0.3">
      <c r="B112" s="7" t="s">
        <v>59</v>
      </c>
      <c r="C112" s="9">
        <v>18467</v>
      </c>
      <c r="D112" s="9">
        <v>18467</v>
      </c>
      <c r="E112" s="9">
        <v>18467</v>
      </c>
      <c r="F112" s="9">
        <v>18467</v>
      </c>
      <c r="G112" s="9">
        <v>18467</v>
      </c>
      <c r="H112" s="9">
        <v>18467</v>
      </c>
      <c r="I112" s="9">
        <v>18467</v>
      </c>
      <c r="J112" s="9">
        <v>18467</v>
      </c>
      <c r="K112" s="9">
        <v>18467</v>
      </c>
      <c r="L112" s="9">
        <v>18467</v>
      </c>
      <c r="M112" s="9">
        <v>18467</v>
      </c>
      <c r="N112" s="9">
        <v>18467</v>
      </c>
      <c r="O112" s="31">
        <v>18467</v>
      </c>
      <c r="P112" s="9">
        <v>20434</v>
      </c>
      <c r="Q112" s="9">
        <v>20434</v>
      </c>
      <c r="R112" s="9">
        <v>20434</v>
      </c>
      <c r="S112" s="9">
        <v>20434</v>
      </c>
      <c r="T112" s="9">
        <v>20434</v>
      </c>
      <c r="U112" s="9">
        <v>20434</v>
      </c>
      <c r="V112" s="9">
        <v>20434</v>
      </c>
      <c r="W112" s="9">
        <v>20434</v>
      </c>
      <c r="X112" s="9">
        <v>20434</v>
      </c>
      <c r="Y112" s="9">
        <v>62794</v>
      </c>
      <c r="Z112" s="9">
        <v>101205</v>
      </c>
      <c r="AA112" s="9">
        <v>101205</v>
      </c>
      <c r="AB112" s="31">
        <v>101205</v>
      </c>
      <c r="AC112" s="9">
        <v>22950</v>
      </c>
      <c r="AD112" s="9">
        <v>42484</v>
      </c>
      <c r="AE112" s="9">
        <v>42484</v>
      </c>
      <c r="AF112" s="9">
        <v>193534</v>
      </c>
      <c r="AG112" s="9">
        <v>193534</v>
      </c>
      <c r="AH112" s="9">
        <v>193534</v>
      </c>
      <c r="AI112" s="9">
        <v>243899</v>
      </c>
      <c r="AJ112" s="9">
        <v>243899</v>
      </c>
      <c r="AK112" s="9">
        <v>243899</v>
      </c>
      <c r="AL112" s="9">
        <v>243899</v>
      </c>
      <c r="AM112" s="9">
        <v>243899</v>
      </c>
      <c r="AN112" s="9">
        <v>243899</v>
      </c>
      <c r="AO112" s="31">
        <v>243899</v>
      </c>
      <c r="AP112" s="9">
        <v>22660</v>
      </c>
      <c r="AQ112" s="9">
        <v>22660</v>
      </c>
      <c r="AR112" s="9">
        <v>22660</v>
      </c>
      <c r="AS112" s="9">
        <v>22660</v>
      </c>
      <c r="AT112" s="9">
        <v>22660</v>
      </c>
      <c r="AU112" s="9">
        <v>22660</v>
      </c>
      <c r="AV112" s="9">
        <v>22660</v>
      </c>
      <c r="AW112" s="9">
        <v>30030</v>
      </c>
      <c r="AX112" s="9">
        <v>30030</v>
      </c>
      <c r="AY112" s="9">
        <v>286552</v>
      </c>
      <c r="AZ112" s="9">
        <v>286552</v>
      </c>
      <c r="BA112" s="9">
        <v>289095</v>
      </c>
      <c r="BB112" s="31">
        <v>289095</v>
      </c>
      <c r="BC112" s="9">
        <v>29190</v>
      </c>
      <c r="BD112" s="9">
        <v>29190</v>
      </c>
      <c r="BE112" s="9">
        <v>29190</v>
      </c>
      <c r="BF112" s="9">
        <v>29190</v>
      </c>
      <c r="BG112" s="9">
        <v>29190</v>
      </c>
      <c r="BH112" s="9">
        <v>29190</v>
      </c>
      <c r="BI112" s="9">
        <v>24629</v>
      </c>
      <c r="BJ112" s="9">
        <v>24629</v>
      </c>
      <c r="BK112" s="9">
        <v>24629</v>
      </c>
      <c r="BL112" s="9">
        <v>24629</v>
      </c>
      <c r="BM112" s="9">
        <v>24629</v>
      </c>
      <c r="BN112" s="9">
        <v>24629</v>
      </c>
      <c r="BO112" s="31">
        <v>24629</v>
      </c>
      <c r="BP112" s="9">
        <v>22583</v>
      </c>
      <c r="BQ112" s="9">
        <v>22583</v>
      </c>
      <c r="BR112" s="9">
        <v>22583</v>
      </c>
      <c r="BS112" s="9">
        <v>22583</v>
      </c>
      <c r="BT112" s="9">
        <v>22583</v>
      </c>
      <c r="BU112" s="9">
        <v>22583</v>
      </c>
      <c r="BV112" s="9">
        <v>22583</v>
      </c>
      <c r="BW112" s="9">
        <v>22583</v>
      </c>
      <c r="BX112" s="9">
        <v>22583</v>
      </c>
      <c r="BY112" s="9">
        <v>22583</v>
      </c>
      <c r="BZ112" s="9">
        <v>22583</v>
      </c>
      <c r="CA112" s="9">
        <v>3013458</v>
      </c>
      <c r="CB112" s="31">
        <v>3013458</v>
      </c>
      <c r="CC112" s="9">
        <v>23171</v>
      </c>
      <c r="CD112" s="9">
        <v>23171</v>
      </c>
      <c r="CE112" s="9">
        <v>23171</v>
      </c>
      <c r="CF112" s="9">
        <v>16219</v>
      </c>
      <c r="CG112" s="9">
        <v>13560</v>
      </c>
      <c r="CH112" s="9">
        <v>13560</v>
      </c>
      <c r="CI112" s="9">
        <v>149106</v>
      </c>
      <c r="CJ112" s="9">
        <v>149106</v>
      </c>
      <c r="CK112" s="9">
        <v>1588951</v>
      </c>
      <c r="CL112" s="9">
        <v>1588951</v>
      </c>
      <c r="CM112" s="9">
        <v>1598562</v>
      </c>
      <c r="CN112" s="9">
        <v>1598562</v>
      </c>
      <c r="CO112" s="31">
        <v>1598562</v>
      </c>
      <c r="CP112" s="9">
        <v>18558</v>
      </c>
      <c r="CQ112" s="9">
        <v>18558</v>
      </c>
      <c r="CR112" s="9">
        <v>18558</v>
      </c>
      <c r="CS112" s="9">
        <v>18558</v>
      </c>
      <c r="CT112" s="9">
        <v>18558</v>
      </c>
      <c r="CU112" s="9">
        <v>18558</v>
      </c>
      <c r="CV112" s="9">
        <v>18558</v>
      </c>
      <c r="CW112" s="9">
        <v>18558</v>
      </c>
      <c r="CX112" s="9">
        <v>18558</v>
      </c>
      <c r="CY112" s="9">
        <v>169560</v>
      </c>
      <c r="CZ112" s="9">
        <v>169560</v>
      </c>
      <c r="DA112" s="9">
        <v>169560</v>
      </c>
      <c r="DB112" s="31">
        <v>169560</v>
      </c>
      <c r="DC112" s="9">
        <v>0</v>
      </c>
      <c r="DD112" s="9">
        <v>0</v>
      </c>
      <c r="DE112" s="9">
        <v>0</v>
      </c>
      <c r="DF112" s="9">
        <v>0</v>
      </c>
      <c r="DG112" s="9">
        <v>0</v>
      </c>
      <c r="DH112" s="9">
        <v>0</v>
      </c>
      <c r="DI112" s="9">
        <v>0</v>
      </c>
      <c r="DJ112" s="9">
        <v>0</v>
      </c>
      <c r="DK112" s="9">
        <v>4620268</v>
      </c>
      <c r="DL112" s="9">
        <v>4620268</v>
      </c>
      <c r="DM112" s="9">
        <v>11447397</v>
      </c>
      <c r="DN112" s="9">
        <v>11447397</v>
      </c>
      <c r="DO112" s="31">
        <v>11447397</v>
      </c>
      <c r="DP112" s="9">
        <v>0</v>
      </c>
      <c r="DQ112" s="9">
        <v>0</v>
      </c>
      <c r="DR112" s="9">
        <v>0</v>
      </c>
      <c r="DS112" s="9">
        <v>0</v>
      </c>
      <c r="DT112" s="9">
        <v>0</v>
      </c>
      <c r="DU112" s="9">
        <v>0</v>
      </c>
      <c r="DV112" s="9">
        <v>0</v>
      </c>
      <c r="DW112" s="9">
        <v>0</v>
      </c>
      <c r="DX112" s="9">
        <v>0</v>
      </c>
      <c r="DY112" s="9">
        <v>0</v>
      </c>
      <c r="DZ112" s="9">
        <v>0</v>
      </c>
      <c r="EA112" s="9">
        <v>0</v>
      </c>
      <c r="EB112" s="31">
        <v>0</v>
      </c>
      <c r="EC112" s="9">
        <v>0</v>
      </c>
      <c r="ED112" s="9">
        <v>0</v>
      </c>
      <c r="EE112" s="9">
        <v>0</v>
      </c>
      <c r="EF112" s="9">
        <v>0</v>
      </c>
      <c r="EG112" s="9">
        <v>10159</v>
      </c>
      <c r="EH112" s="9">
        <v>10159</v>
      </c>
      <c r="EI112" s="9">
        <v>10159</v>
      </c>
      <c r="EJ112" s="9">
        <v>10159</v>
      </c>
      <c r="EK112" s="9">
        <v>10159</v>
      </c>
      <c r="EL112" s="9">
        <v>12161</v>
      </c>
      <c r="EM112" s="9">
        <v>12161</v>
      </c>
      <c r="EN112" s="9">
        <v>12161</v>
      </c>
      <c r="EO112" s="31">
        <v>12161</v>
      </c>
      <c r="EP112" s="9">
        <v>6929</v>
      </c>
      <c r="EQ112" s="9">
        <v>6929</v>
      </c>
      <c r="ER112" s="9">
        <v>6929</v>
      </c>
      <c r="ES112" s="9">
        <v>6929</v>
      </c>
      <c r="ET112" s="9">
        <v>6929</v>
      </c>
      <c r="EU112" s="9">
        <v>6929</v>
      </c>
      <c r="EV112" s="9">
        <v>6929</v>
      </c>
      <c r="EW112" s="9">
        <v>6929</v>
      </c>
      <c r="EX112" s="9">
        <v>6929</v>
      </c>
      <c r="EY112" s="9">
        <v>6929</v>
      </c>
      <c r="EZ112" s="9">
        <v>6929</v>
      </c>
      <c r="FA112" s="9">
        <v>6929</v>
      </c>
      <c r="FB112" s="31">
        <v>6929</v>
      </c>
      <c r="FC112" s="9">
        <v>10</v>
      </c>
      <c r="FD112" s="9">
        <v>10</v>
      </c>
      <c r="FE112" s="9">
        <v>10</v>
      </c>
      <c r="FF112" s="9">
        <v>10</v>
      </c>
      <c r="FG112" s="9">
        <v>10</v>
      </c>
      <c r="FH112" s="9">
        <v>10</v>
      </c>
      <c r="FI112" s="9">
        <v>10</v>
      </c>
      <c r="FJ112" s="9">
        <v>10</v>
      </c>
      <c r="FK112" s="9">
        <v>10</v>
      </c>
      <c r="FL112" s="9">
        <v>10</v>
      </c>
      <c r="FM112" s="9">
        <v>10</v>
      </c>
      <c r="FN112" s="9">
        <v>10</v>
      </c>
      <c r="FO112" s="31">
        <v>10</v>
      </c>
    </row>
    <row r="113" spans="2:171" x14ac:dyDescent="0.3">
      <c r="B113" s="7" t="s">
        <v>60</v>
      </c>
      <c r="C113" s="9">
        <v>10805</v>
      </c>
      <c r="D113" s="9">
        <v>10805</v>
      </c>
      <c r="E113" s="9">
        <v>10805</v>
      </c>
      <c r="F113" s="9">
        <v>10805</v>
      </c>
      <c r="G113" s="9">
        <v>10805</v>
      </c>
      <c r="H113" s="9">
        <v>16805</v>
      </c>
      <c r="I113" s="9">
        <v>16805</v>
      </c>
      <c r="J113" s="9">
        <v>16805</v>
      </c>
      <c r="K113" s="9">
        <v>16805</v>
      </c>
      <c r="L113" s="9">
        <v>16805</v>
      </c>
      <c r="M113" s="9">
        <v>16805</v>
      </c>
      <c r="N113" s="9">
        <v>16805</v>
      </c>
      <c r="O113" s="31">
        <v>16805</v>
      </c>
      <c r="P113" s="9">
        <v>11634</v>
      </c>
      <c r="Q113" s="9">
        <v>11634</v>
      </c>
      <c r="R113" s="9">
        <v>11634</v>
      </c>
      <c r="S113" s="9">
        <v>11634</v>
      </c>
      <c r="T113" s="9">
        <v>11634</v>
      </c>
      <c r="U113" s="9">
        <v>11634</v>
      </c>
      <c r="V113" s="9">
        <v>11634</v>
      </c>
      <c r="W113" s="9">
        <v>11634</v>
      </c>
      <c r="X113" s="9">
        <v>11634</v>
      </c>
      <c r="Y113" s="9">
        <v>11634</v>
      </c>
      <c r="Z113" s="9">
        <v>11634</v>
      </c>
      <c r="AA113" s="9">
        <v>11634</v>
      </c>
      <c r="AB113" s="31">
        <v>11634</v>
      </c>
      <c r="AC113" s="9">
        <v>635947</v>
      </c>
      <c r="AD113" s="9">
        <v>635947</v>
      </c>
      <c r="AE113" s="9">
        <v>635947</v>
      </c>
      <c r="AF113" s="9">
        <v>636947</v>
      </c>
      <c r="AG113" s="9">
        <v>636947</v>
      </c>
      <c r="AH113" s="9">
        <v>636947</v>
      </c>
      <c r="AI113" s="9">
        <v>636947</v>
      </c>
      <c r="AJ113" s="9">
        <v>636947</v>
      </c>
      <c r="AK113" s="9">
        <v>636947</v>
      </c>
      <c r="AL113" s="9">
        <v>636947</v>
      </c>
      <c r="AM113" s="9">
        <v>636947</v>
      </c>
      <c r="AN113" s="9">
        <v>636947</v>
      </c>
      <c r="AO113" s="31">
        <v>636947</v>
      </c>
      <c r="AP113" s="9">
        <v>14420</v>
      </c>
      <c r="AQ113" s="9">
        <v>14420</v>
      </c>
      <c r="AR113" s="9">
        <v>14420</v>
      </c>
      <c r="AS113" s="9">
        <v>14420</v>
      </c>
      <c r="AT113" s="9">
        <v>15020</v>
      </c>
      <c r="AU113" s="9">
        <v>15020</v>
      </c>
      <c r="AV113" s="9">
        <v>15020</v>
      </c>
      <c r="AW113" s="9">
        <v>2678138</v>
      </c>
      <c r="AX113" s="9">
        <v>2678138</v>
      </c>
      <c r="AY113" s="9">
        <v>2678138</v>
      </c>
      <c r="AZ113" s="9">
        <v>2678138</v>
      </c>
      <c r="BA113" s="9">
        <v>2678138</v>
      </c>
      <c r="BB113" s="31">
        <v>2678138</v>
      </c>
      <c r="BC113" s="9">
        <v>16931</v>
      </c>
      <c r="BD113" s="9">
        <v>16931</v>
      </c>
      <c r="BE113" s="9">
        <v>16931</v>
      </c>
      <c r="BF113" s="9">
        <v>16931</v>
      </c>
      <c r="BG113" s="9">
        <v>16931</v>
      </c>
      <c r="BH113" s="9">
        <v>16931</v>
      </c>
      <c r="BI113" s="9">
        <v>13940</v>
      </c>
      <c r="BJ113" s="9">
        <v>13940</v>
      </c>
      <c r="BK113" s="9">
        <v>13940</v>
      </c>
      <c r="BL113" s="9">
        <v>13940</v>
      </c>
      <c r="BM113" s="9">
        <v>13940</v>
      </c>
      <c r="BN113" s="9">
        <v>13940</v>
      </c>
      <c r="BO113" s="31">
        <v>13940</v>
      </c>
      <c r="BP113" s="9">
        <v>13745</v>
      </c>
      <c r="BQ113" s="9">
        <v>13745</v>
      </c>
      <c r="BR113" s="9">
        <v>13745</v>
      </c>
      <c r="BS113" s="9">
        <v>13745</v>
      </c>
      <c r="BT113" s="9">
        <v>13745</v>
      </c>
      <c r="BU113" s="9">
        <v>13745</v>
      </c>
      <c r="BV113" s="9">
        <v>13745</v>
      </c>
      <c r="BW113" s="9">
        <v>13745</v>
      </c>
      <c r="BX113" s="9">
        <v>13745</v>
      </c>
      <c r="BY113" s="9">
        <v>13745</v>
      </c>
      <c r="BZ113" s="9">
        <v>13745</v>
      </c>
      <c r="CA113" s="9">
        <v>2711223</v>
      </c>
      <c r="CB113" s="31">
        <v>2711223</v>
      </c>
      <c r="CC113" s="9">
        <v>313243</v>
      </c>
      <c r="CD113" s="9">
        <v>313243</v>
      </c>
      <c r="CE113" s="9">
        <v>313243</v>
      </c>
      <c r="CF113" s="9">
        <v>309021</v>
      </c>
      <c r="CG113" s="9">
        <v>158250</v>
      </c>
      <c r="CH113" s="9">
        <v>158250</v>
      </c>
      <c r="CI113" s="9">
        <v>158250</v>
      </c>
      <c r="CJ113" s="9">
        <v>158250</v>
      </c>
      <c r="CK113" s="9">
        <v>158250</v>
      </c>
      <c r="CL113" s="9">
        <v>158250</v>
      </c>
      <c r="CM113" s="9">
        <v>935389</v>
      </c>
      <c r="CN113" s="9">
        <v>927808</v>
      </c>
      <c r="CO113" s="31">
        <v>927808</v>
      </c>
      <c r="CP113" s="9">
        <v>13786</v>
      </c>
      <c r="CQ113" s="9">
        <v>13786</v>
      </c>
      <c r="CR113" s="9">
        <v>13786</v>
      </c>
      <c r="CS113" s="9">
        <v>13786</v>
      </c>
      <c r="CT113" s="9">
        <v>1912606</v>
      </c>
      <c r="CU113" s="9">
        <v>1912606</v>
      </c>
      <c r="CV113" s="9">
        <v>1912606</v>
      </c>
      <c r="CW113" s="9">
        <v>1912606</v>
      </c>
      <c r="CX113" s="9">
        <v>1912606</v>
      </c>
      <c r="CY113" s="9">
        <v>1912606</v>
      </c>
      <c r="CZ113" s="9">
        <v>1912606</v>
      </c>
      <c r="DA113" s="9">
        <v>2767129</v>
      </c>
      <c r="DB113" s="31">
        <v>2767129</v>
      </c>
      <c r="DC113" s="9">
        <v>0</v>
      </c>
      <c r="DD113" s="9">
        <v>0</v>
      </c>
      <c r="DE113" s="9">
        <v>814039</v>
      </c>
      <c r="DF113" s="9">
        <v>814039</v>
      </c>
      <c r="DG113" s="9">
        <v>1256295</v>
      </c>
      <c r="DH113" s="9">
        <v>1256295</v>
      </c>
      <c r="DI113" s="9">
        <v>1256295</v>
      </c>
      <c r="DJ113" s="9">
        <v>1256295</v>
      </c>
      <c r="DK113" s="9">
        <v>1256295</v>
      </c>
      <c r="DL113" s="9">
        <v>2903454</v>
      </c>
      <c r="DM113" s="9">
        <v>2903454</v>
      </c>
      <c r="DN113" s="9">
        <v>3007656</v>
      </c>
      <c r="DO113" s="31">
        <v>3007656</v>
      </c>
      <c r="DP113" s="9">
        <v>0</v>
      </c>
      <c r="DQ113" s="9">
        <v>0</v>
      </c>
      <c r="DR113" s="9">
        <v>0</v>
      </c>
      <c r="DS113" s="9">
        <v>0</v>
      </c>
      <c r="DT113" s="9">
        <v>0</v>
      </c>
      <c r="DU113" s="9">
        <v>0</v>
      </c>
      <c r="DV113" s="9">
        <v>0</v>
      </c>
      <c r="DW113" s="9">
        <v>0</v>
      </c>
      <c r="DX113" s="9">
        <v>0</v>
      </c>
      <c r="DY113" s="9">
        <v>0</v>
      </c>
      <c r="DZ113" s="9">
        <v>0</v>
      </c>
      <c r="EA113" s="9">
        <v>0</v>
      </c>
      <c r="EB113" s="31">
        <v>0</v>
      </c>
      <c r="EC113" s="9">
        <v>0</v>
      </c>
      <c r="ED113" s="9">
        <v>0</v>
      </c>
      <c r="EE113" s="9">
        <v>0</v>
      </c>
      <c r="EF113" s="9">
        <v>0</v>
      </c>
      <c r="EG113" s="9">
        <v>7619</v>
      </c>
      <c r="EH113" s="9">
        <v>7619</v>
      </c>
      <c r="EI113" s="9">
        <v>7619</v>
      </c>
      <c r="EJ113" s="9">
        <v>7619</v>
      </c>
      <c r="EK113" s="9">
        <v>7619</v>
      </c>
      <c r="EL113" s="9">
        <v>9216</v>
      </c>
      <c r="EM113" s="9">
        <v>9216</v>
      </c>
      <c r="EN113" s="9">
        <v>9216</v>
      </c>
      <c r="EO113" s="31">
        <v>9216</v>
      </c>
      <c r="EP113" s="9">
        <v>5890</v>
      </c>
      <c r="EQ113" s="9">
        <v>5890</v>
      </c>
      <c r="ER113" s="9">
        <v>5890</v>
      </c>
      <c r="ES113" s="9">
        <v>5890</v>
      </c>
      <c r="ET113" s="9">
        <v>5890</v>
      </c>
      <c r="EU113" s="9">
        <v>5890</v>
      </c>
      <c r="EV113" s="9">
        <v>5890</v>
      </c>
      <c r="EW113" s="9">
        <v>5890</v>
      </c>
      <c r="EX113" s="9">
        <v>5890</v>
      </c>
      <c r="EY113" s="9">
        <v>5890</v>
      </c>
      <c r="EZ113" s="9">
        <v>5890</v>
      </c>
      <c r="FA113" s="9">
        <v>5890</v>
      </c>
      <c r="FB113" s="31">
        <v>5890</v>
      </c>
      <c r="FC113" s="9">
        <v>10</v>
      </c>
      <c r="FD113" s="9">
        <v>10</v>
      </c>
      <c r="FE113" s="9">
        <v>10</v>
      </c>
      <c r="FF113" s="9">
        <v>10</v>
      </c>
      <c r="FG113" s="9">
        <v>10</v>
      </c>
      <c r="FH113" s="9">
        <v>10</v>
      </c>
      <c r="FI113" s="9">
        <v>10</v>
      </c>
      <c r="FJ113" s="9">
        <v>10</v>
      </c>
      <c r="FK113" s="9">
        <v>10</v>
      </c>
      <c r="FL113" s="9">
        <v>10</v>
      </c>
      <c r="FM113" s="9">
        <v>10</v>
      </c>
      <c r="FN113" s="9">
        <v>10</v>
      </c>
      <c r="FO113" s="31">
        <v>10</v>
      </c>
    </row>
    <row r="114" spans="2:171" x14ac:dyDescent="0.3">
      <c r="B114" s="7" t="s">
        <v>61</v>
      </c>
      <c r="C114" s="9">
        <v>10825</v>
      </c>
      <c r="D114" s="9">
        <v>10825</v>
      </c>
      <c r="E114" s="9">
        <v>10825</v>
      </c>
      <c r="F114" s="9">
        <v>10825</v>
      </c>
      <c r="G114" s="9">
        <v>10825</v>
      </c>
      <c r="H114" s="9">
        <v>10825</v>
      </c>
      <c r="I114" s="9">
        <v>10825</v>
      </c>
      <c r="J114" s="9">
        <v>10825</v>
      </c>
      <c r="K114" s="9">
        <v>10825</v>
      </c>
      <c r="L114" s="9">
        <v>10825</v>
      </c>
      <c r="M114" s="9">
        <v>10825</v>
      </c>
      <c r="N114" s="9">
        <v>10825</v>
      </c>
      <c r="O114" s="31">
        <v>10825</v>
      </c>
      <c r="P114" s="9">
        <v>12043</v>
      </c>
      <c r="Q114" s="9">
        <v>12043</v>
      </c>
      <c r="R114" s="9">
        <v>12043</v>
      </c>
      <c r="S114" s="9">
        <v>12043</v>
      </c>
      <c r="T114" s="9">
        <v>12043</v>
      </c>
      <c r="U114" s="9">
        <v>12043</v>
      </c>
      <c r="V114" s="9">
        <v>12043</v>
      </c>
      <c r="W114" s="9">
        <v>12043</v>
      </c>
      <c r="X114" s="9">
        <v>12043</v>
      </c>
      <c r="Y114" s="9">
        <v>12043</v>
      </c>
      <c r="Z114" s="9">
        <v>12043</v>
      </c>
      <c r="AA114" s="9">
        <v>12043</v>
      </c>
      <c r="AB114" s="31">
        <v>12043</v>
      </c>
      <c r="AC114" s="9">
        <v>14050</v>
      </c>
      <c r="AD114" s="9">
        <v>14050</v>
      </c>
      <c r="AE114" s="9">
        <v>14050</v>
      </c>
      <c r="AF114" s="9">
        <v>15050</v>
      </c>
      <c r="AG114" s="9">
        <v>303884</v>
      </c>
      <c r="AH114" s="9">
        <v>312054</v>
      </c>
      <c r="AI114" s="9">
        <v>312054</v>
      </c>
      <c r="AJ114" s="9">
        <v>492054</v>
      </c>
      <c r="AK114" s="9">
        <v>492054</v>
      </c>
      <c r="AL114" s="9">
        <v>492054</v>
      </c>
      <c r="AM114" s="9">
        <v>875093</v>
      </c>
      <c r="AN114" s="9">
        <v>875093</v>
      </c>
      <c r="AO114" s="31">
        <v>875093</v>
      </c>
      <c r="AP114" s="9">
        <v>13390</v>
      </c>
      <c r="AQ114" s="9">
        <v>13390</v>
      </c>
      <c r="AR114" s="9">
        <v>13390</v>
      </c>
      <c r="AS114" s="9">
        <v>13390</v>
      </c>
      <c r="AT114" s="9">
        <v>14390</v>
      </c>
      <c r="AU114" s="9">
        <v>14390</v>
      </c>
      <c r="AV114" s="9">
        <v>14390</v>
      </c>
      <c r="AW114" s="9">
        <v>14390</v>
      </c>
      <c r="AX114" s="9">
        <v>14390</v>
      </c>
      <c r="AY114" s="9">
        <v>1344390</v>
      </c>
      <c r="AZ114" s="9">
        <v>1344390</v>
      </c>
      <c r="BA114" s="9">
        <v>3344390</v>
      </c>
      <c r="BB114" s="31">
        <v>3344390</v>
      </c>
      <c r="BC114" s="9">
        <v>14594</v>
      </c>
      <c r="BD114" s="9">
        <v>14594</v>
      </c>
      <c r="BE114" s="9">
        <v>14594</v>
      </c>
      <c r="BF114" s="9">
        <v>14594</v>
      </c>
      <c r="BG114" s="9">
        <v>14594</v>
      </c>
      <c r="BH114" s="9">
        <v>14594</v>
      </c>
      <c r="BI114" s="9">
        <v>12046</v>
      </c>
      <c r="BJ114" s="9">
        <v>12046</v>
      </c>
      <c r="BK114" s="9">
        <v>12046</v>
      </c>
      <c r="BL114" s="9">
        <v>12046</v>
      </c>
      <c r="BM114" s="9">
        <v>12046</v>
      </c>
      <c r="BN114" s="9">
        <v>12046</v>
      </c>
      <c r="BO114" s="31">
        <v>12046</v>
      </c>
      <c r="BP114" s="9">
        <v>6677</v>
      </c>
      <c r="BQ114" s="9">
        <v>6677</v>
      </c>
      <c r="BR114" s="9">
        <v>6677</v>
      </c>
      <c r="BS114" s="9">
        <v>6677</v>
      </c>
      <c r="BT114" s="9">
        <v>6677</v>
      </c>
      <c r="BU114" s="9">
        <v>6677</v>
      </c>
      <c r="BV114" s="9">
        <v>6677</v>
      </c>
      <c r="BW114" s="9">
        <v>6677</v>
      </c>
      <c r="BX114" s="9">
        <v>6677</v>
      </c>
      <c r="BY114" s="9">
        <v>6677</v>
      </c>
      <c r="BZ114" s="9">
        <v>6677</v>
      </c>
      <c r="CA114" s="9">
        <v>6677</v>
      </c>
      <c r="CB114" s="31">
        <v>6677</v>
      </c>
      <c r="CC114" s="9">
        <v>6851</v>
      </c>
      <c r="CD114" s="9">
        <v>6851</v>
      </c>
      <c r="CE114" s="9">
        <v>6851</v>
      </c>
      <c r="CF114" s="9">
        <v>4796</v>
      </c>
      <c r="CG114" s="9">
        <v>1384956</v>
      </c>
      <c r="CH114" s="9">
        <v>1384956</v>
      </c>
      <c r="CI114" s="9">
        <v>1384956</v>
      </c>
      <c r="CJ114" s="9">
        <v>1384956</v>
      </c>
      <c r="CK114" s="9">
        <v>1384956</v>
      </c>
      <c r="CL114" s="9">
        <v>2064304</v>
      </c>
      <c r="CM114" s="9">
        <v>2068136</v>
      </c>
      <c r="CN114" s="9">
        <v>2101136</v>
      </c>
      <c r="CO114" s="31">
        <v>2101136</v>
      </c>
      <c r="CP114" s="9">
        <v>9479</v>
      </c>
      <c r="CQ114" s="9">
        <v>9479</v>
      </c>
      <c r="CR114" s="9">
        <v>9479</v>
      </c>
      <c r="CS114" s="9">
        <v>9479</v>
      </c>
      <c r="CT114" s="9">
        <v>9479</v>
      </c>
      <c r="CU114" s="9">
        <v>9479</v>
      </c>
      <c r="CV114" s="9">
        <v>9479</v>
      </c>
      <c r="CW114" s="9">
        <v>9479</v>
      </c>
      <c r="CX114" s="9">
        <v>9479</v>
      </c>
      <c r="CY114" s="9">
        <v>9479</v>
      </c>
      <c r="CZ114" s="9">
        <v>9479</v>
      </c>
      <c r="DA114" s="9">
        <v>317614</v>
      </c>
      <c r="DB114" s="31">
        <v>317614</v>
      </c>
      <c r="DC114" s="9">
        <v>0</v>
      </c>
      <c r="DD114" s="9">
        <v>0</v>
      </c>
      <c r="DE114" s="9">
        <v>0</v>
      </c>
      <c r="DF114" s="9">
        <v>0</v>
      </c>
      <c r="DG114" s="9">
        <v>0</v>
      </c>
      <c r="DH114" s="9">
        <v>0</v>
      </c>
      <c r="DI114" s="9">
        <v>0</v>
      </c>
      <c r="DJ114" s="9">
        <v>0</v>
      </c>
      <c r="DK114" s="9">
        <v>0</v>
      </c>
      <c r="DL114" s="9">
        <v>0</v>
      </c>
      <c r="DM114" s="9">
        <v>7174216</v>
      </c>
      <c r="DN114" s="9">
        <v>7174216</v>
      </c>
      <c r="DO114" s="31">
        <v>7174216</v>
      </c>
      <c r="DP114" s="9">
        <v>0</v>
      </c>
      <c r="DQ114" s="9">
        <v>0</v>
      </c>
      <c r="DR114" s="9">
        <v>0</v>
      </c>
      <c r="DS114" s="9">
        <v>0</v>
      </c>
      <c r="DT114" s="9">
        <v>0</v>
      </c>
      <c r="DU114" s="9">
        <v>0</v>
      </c>
      <c r="DV114" s="9">
        <v>0</v>
      </c>
      <c r="DW114" s="9">
        <v>0</v>
      </c>
      <c r="DX114" s="9">
        <v>0</v>
      </c>
      <c r="DY114" s="9">
        <v>0</v>
      </c>
      <c r="DZ114" s="9">
        <v>0</v>
      </c>
      <c r="EA114" s="9">
        <v>0</v>
      </c>
      <c r="EB114" s="31">
        <v>0</v>
      </c>
      <c r="EC114" s="9">
        <v>0</v>
      </c>
      <c r="ED114" s="9">
        <v>0</v>
      </c>
      <c r="EE114" s="9">
        <v>0</v>
      </c>
      <c r="EF114" s="9">
        <v>0</v>
      </c>
      <c r="EG114" s="9">
        <v>11852</v>
      </c>
      <c r="EH114" s="9">
        <v>11852</v>
      </c>
      <c r="EI114" s="9">
        <v>11852</v>
      </c>
      <c r="EJ114" s="9">
        <v>1610341</v>
      </c>
      <c r="EK114" s="9">
        <v>1610341</v>
      </c>
      <c r="EL114" s="9">
        <v>1612723</v>
      </c>
      <c r="EM114" s="9">
        <v>7959032</v>
      </c>
      <c r="EN114" s="9">
        <v>9262299</v>
      </c>
      <c r="EO114" s="31">
        <v>9262299</v>
      </c>
      <c r="EP114" s="9">
        <v>1980</v>
      </c>
      <c r="EQ114" s="9">
        <v>1980</v>
      </c>
      <c r="ER114" s="9">
        <v>1980</v>
      </c>
      <c r="ES114" s="9">
        <v>1980</v>
      </c>
      <c r="ET114" s="9">
        <v>1980</v>
      </c>
      <c r="EU114" s="9">
        <v>1980</v>
      </c>
      <c r="EV114" s="9">
        <v>1980</v>
      </c>
      <c r="EW114" s="9">
        <v>1980</v>
      </c>
      <c r="EX114" s="9">
        <v>1980</v>
      </c>
      <c r="EY114" s="9">
        <v>1980</v>
      </c>
      <c r="EZ114" s="9">
        <v>1980</v>
      </c>
      <c r="FA114" s="9">
        <v>1980</v>
      </c>
      <c r="FB114" s="31">
        <v>1980</v>
      </c>
      <c r="FC114" s="9">
        <v>10</v>
      </c>
      <c r="FD114" s="9">
        <v>10</v>
      </c>
      <c r="FE114" s="9">
        <v>10</v>
      </c>
      <c r="FF114" s="9">
        <v>10</v>
      </c>
      <c r="FG114" s="9">
        <v>10</v>
      </c>
      <c r="FH114" s="9">
        <v>10</v>
      </c>
      <c r="FI114" s="9">
        <v>10</v>
      </c>
      <c r="FJ114" s="9">
        <v>10</v>
      </c>
      <c r="FK114" s="9">
        <v>10</v>
      </c>
      <c r="FL114" s="9">
        <v>10</v>
      </c>
      <c r="FM114" s="9">
        <v>10</v>
      </c>
      <c r="FN114" s="9">
        <v>10</v>
      </c>
      <c r="FO114" s="31">
        <v>10</v>
      </c>
    </row>
    <row r="115" spans="2:171" x14ac:dyDescent="0.3">
      <c r="B115" s="7" t="s">
        <v>62</v>
      </c>
      <c r="C115" s="9">
        <v>8561</v>
      </c>
      <c r="D115" s="9">
        <v>8561</v>
      </c>
      <c r="E115" s="9">
        <v>8561</v>
      </c>
      <c r="F115" s="9">
        <v>8561</v>
      </c>
      <c r="G115" s="9">
        <v>8561</v>
      </c>
      <c r="H115" s="9">
        <v>8561</v>
      </c>
      <c r="I115" s="9">
        <v>8561</v>
      </c>
      <c r="J115" s="9">
        <v>8561</v>
      </c>
      <c r="K115" s="9">
        <v>8561</v>
      </c>
      <c r="L115" s="9">
        <v>8561</v>
      </c>
      <c r="M115" s="9">
        <v>8561</v>
      </c>
      <c r="N115" s="9">
        <v>8561</v>
      </c>
      <c r="O115" s="31">
        <v>8561</v>
      </c>
      <c r="P115" s="9">
        <v>15987</v>
      </c>
      <c r="Q115" s="9">
        <v>15987</v>
      </c>
      <c r="R115" s="9">
        <v>15987</v>
      </c>
      <c r="S115" s="9">
        <v>15987</v>
      </c>
      <c r="T115" s="9">
        <v>15987</v>
      </c>
      <c r="U115" s="9">
        <v>15987</v>
      </c>
      <c r="V115" s="9">
        <v>15987</v>
      </c>
      <c r="W115" s="9">
        <v>15987</v>
      </c>
      <c r="X115" s="9">
        <v>15987</v>
      </c>
      <c r="Y115" s="9">
        <v>15987</v>
      </c>
      <c r="Z115" s="9">
        <v>15987</v>
      </c>
      <c r="AA115" s="9">
        <v>15987</v>
      </c>
      <c r="AB115" s="31">
        <v>15987</v>
      </c>
      <c r="AC115" s="9">
        <v>17793</v>
      </c>
      <c r="AD115" s="9">
        <v>17793</v>
      </c>
      <c r="AE115" s="9">
        <v>17793</v>
      </c>
      <c r="AF115" s="9">
        <v>18793</v>
      </c>
      <c r="AG115" s="9">
        <v>18793</v>
      </c>
      <c r="AH115" s="9">
        <v>31593</v>
      </c>
      <c r="AI115" s="9">
        <v>31593</v>
      </c>
      <c r="AJ115" s="9">
        <v>31593</v>
      </c>
      <c r="AK115" s="9">
        <v>31593</v>
      </c>
      <c r="AL115" s="9">
        <v>31593</v>
      </c>
      <c r="AM115" s="9">
        <v>31593</v>
      </c>
      <c r="AN115" s="9">
        <v>31593</v>
      </c>
      <c r="AO115" s="31">
        <v>31593</v>
      </c>
      <c r="AP115" s="9">
        <v>12360</v>
      </c>
      <c r="AQ115" s="9">
        <v>12360</v>
      </c>
      <c r="AR115" s="9">
        <v>12360</v>
      </c>
      <c r="AS115" s="9">
        <v>12360</v>
      </c>
      <c r="AT115" s="9">
        <v>12360</v>
      </c>
      <c r="AU115" s="9">
        <v>12360</v>
      </c>
      <c r="AV115" s="9">
        <v>12360</v>
      </c>
      <c r="AW115" s="9">
        <v>12360</v>
      </c>
      <c r="AX115" s="9">
        <v>12360</v>
      </c>
      <c r="AY115" s="9">
        <v>377360</v>
      </c>
      <c r="AZ115" s="9">
        <v>377360</v>
      </c>
      <c r="BA115" s="9">
        <v>377360</v>
      </c>
      <c r="BB115" s="31">
        <v>377360</v>
      </c>
      <c r="BC115" s="9">
        <v>12681</v>
      </c>
      <c r="BD115" s="9">
        <v>12681</v>
      </c>
      <c r="BE115" s="9">
        <v>12681</v>
      </c>
      <c r="BF115" s="9">
        <v>12681</v>
      </c>
      <c r="BG115" s="9">
        <v>12681</v>
      </c>
      <c r="BH115" s="9">
        <v>12681</v>
      </c>
      <c r="BI115" s="9">
        <v>12681</v>
      </c>
      <c r="BJ115" s="9">
        <v>12681</v>
      </c>
      <c r="BK115" s="9">
        <v>12681</v>
      </c>
      <c r="BL115" s="9">
        <v>12681</v>
      </c>
      <c r="BM115" s="9">
        <v>12681</v>
      </c>
      <c r="BN115" s="9">
        <v>2081022</v>
      </c>
      <c r="BO115" s="31">
        <v>2081022</v>
      </c>
      <c r="BP115" s="9">
        <v>7864</v>
      </c>
      <c r="BQ115" s="9">
        <v>7864</v>
      </c>
      <c r="BR115" s="9">
        <v>7864</v>
      </c>
      <c r="BS115" s="9">
        <v>7864</v>
      </c>
      <c r="BT115" s="9">
        <v>2099602</v>
      </c>
      <c r="BU115" s="9">
        <v>2099602</v>
      </c>
      <c r="BV115" s="9">
        <v>2099602</v>
      </c>
      <c r="BW115" s="9">
        <v>2099602</v>
      </c>
      <c r="BX115" s="9">
        <v>2099602</v>
      </c>
      <c r="BY115" s="9">
        <v>2099602</v>
      </c>
      <c r="BZ115" s="9">
        <v>2099602</v>
      </c>
      <c r="CA115" s="9">
        <v>2075299</v>
      </c>
      <c r="CB115" s="31">
        <v>2075299</v>
      </c>
      <c r="CC115" s="9">
        <v>8068</v>
      </c>
      <c r="CD115" s="9">
        <v>8068</v>
      </c>
      <c r="CE115" s="9">
        <v>8068</v>
      </c>
      <c r="CF115" s="9">
        <v>5647</v>
      </c>
      <c r="CG115" s="9">
        <v>2823</v>
      </c>
      <c r="CH115" s="9">
        <v>2823</v>
      </c>
      <c r="CI115" s="9">
        <v>2823</v>
      </c>
      <c r="CJ115" s="9">
        <v>2823</v>
      </c>
      <c r="CK115" s="9">
        <v>2823</v>
      </c>
      <c r="CL115" s="9">
        <v>2823</v>
      </c>
      <c r="CM115" s="9">
        <v>8068</v>
      </c>
      <c r="CN115" s="9">
        <v>8068</v>
      </c>
      <c r="CO115" s="31">
        <v>8068</v>
      </c>
      <c r="CP115" s="9">
        <v>6340</v>
      </c>
      <c r="CQ115" s="9">
        <v>6340</v>
      </c>
      <c r="CR115" s="9">
        <v>6340</v>
      </c>
      <c r="CS115" s="9">
        <v>6340</v>
      </c>
      <c r="CT115" s="9">
        <v>6340</v>
      </c>
      <c r="CU115" s="9">
        <v>7570</v>
      </c>
      <c r="CV115" s="9">
        <v>7570</v>
      </c>
      <c r="CW115" s="9">
        <v>7570</v>
      </c>
      <c r="CX115" s="9">
        <v>7570</v>
      </c>
      <c r="CY115" s="9">
        <v>7570</v>
      </c>
      <c r="CZ115" s="9">
        <v>7570</v>
      </c>
      <c r="DA115" s="9">
        <v>7570</v>
      </c>
      <c r="DB115" s="31">
        <v>7570</v>
      </c>
      <c r="DC115" s="9">
        <v>0</v>
      </c>
      <c r="DD115" s="9">
        <v>0</v>
      </c>
      <c r="DE115" s="9">
        <v>0</v>
      </c>
      <c r="DF115" s="9">
        <v>0</v>
      </c>
      <c r="DG115" s="9">
        <v>0</v>
      </c>
      <c r="DH115" s="9">
        <v>0</v>
      </c>
      <c r="DI115" s="9">
        <v>0</v>
      </c>
      <c r="DJ115" s="9">
        <v>0</v>
      </c>
      <c r="DK115" s="9">
        <v>0</v>
      </c>
      <c r="DL115" s="9">
        <v>0</v>
      </c>
      <c r="DM115" s="9">
        <v>695827</v>
      </c>
      <c r="DN115" s="9">
        <v>695827</v>
      </c>
      <c r="DO115" s="31">
        <v>695827</v>
      </c>
      <c r="DP115" s="9">
        <v>0</v>
      </c>
      <c r="DQ115" s="9">
        <v>0</v>
      </c>
      <c r="DR115" s="9">
        <v>0</v>
      </c>
      <c r="DS115" s="9">
        <v>0</v>
      </c>
      <c r="DT115" s="9">
        <v>0</v>
      </c>
      <c r="DU115" s="9">
        <v>0</v>
      </c>
      <c r="DV115" s="9">
        <v>0</v>
      </c>
      <c r="DW115" s="9">
        <v>0</v>
      </c>
      <c r="DX115" s="9">
        <v>0</v>
      </c>
      <c r="DY115" s="9">
        <v>0</v>
      </c>
      <c r="DZ115" s="9">
        <v>0</v>
      </c>
      <c r="EA115" s="9">
        <v>0</v>
      </c>
      <c r="EB115" s="31">
        <v>0</v>
      </c>
      <c r="EC115" s="9">
        <v>0</v>
      </c>
      <c r="ED115" s="9">
        <v>0</v>
      </c>
      <c r="EE115" s="9">
        <v>0</v>
      </c>
      <c r="EF115" s="9">
        <v>0</v>
      </c>
      <c r="EG115" s="9">
        <v>5080</v>
      </c>
      <c r="EH115" s="9">
        <v>5080</v>
      </c>
      <c r="EI115" s="9">
        <v>5080</v>
      </c>
      <c r="EJ115" s="9">
        <v>5080</v>
      </c>
      <c r="EK115" s="9">
        <v>5080</v>
      </c>
      <c r="EL115" s="9">
        <v>6270</v>
      </c>
      <c r="EM115" s="9">
        <v>20880</v>
      </c>
      <c r="EN115" s="9">
        <v>6270</v>
      </c>
      <c r="EO115" s="31">
        <v>6270</v>
      </c>
      <c r="EP115" s="9">
        <v>3960</v>
      </c>
      <c r="EQ115" s="9">
        <v>3960</v>
      </c>
      <c r="ER115" s="9">
        <v>3960</v>
      </c>
      <c r="ES115" s="9">
        <v>3960</v>
      </c>
      <c r="ET115" s="9">
        <v>3960</v>
      </c>
      <c r="EU115" s="9">
        <v>3960</v>
      </c>
      <c r="EV115" s="9">
        <v>3960</v>
      </c>
      <c r="EW115" s="9">
        <v>3960</v>
      </c>
      <c r="EX115" s="9">
        <v>3960</v>
      </c>
      <c r="EY115" s="9">
        <v>3960</v>
      </c>
      <c r="EZ115" s="9">
        <v>3960</v>
      </c>
      <c r="FA115" s="9">
        <v>3960</v>
      </c>
      <c r="FB115" s="31">
        <v>3960</v>
      </c>
      <c r="FC115" s="9">
        <v>10</v>
      </c>
      <c r="FD115" s="9">
        <v>10</v>
      </c>
      <c r="FE115" s="9">
        <v>10</v>
      </c>
      <c r="FF115" s="9">
        <v>10</v>
      </c>
      <c r="FG115" s="9">
        <v>10</v>
      </c>
      <c r="FH115" s="9">
        <v>10</v>
      </c>
      <c r="FI115" s="9">
        <v>10</v>
      </c>
      <c r="FJ115" s="9">
        <v>10</v>
      </c>
      <c r="FK115" s="9">
        <v>10</v>
      </c>
      <c r="FL115" s="9">
        <v>10</v>
      </c>
      <c r="FM115" s="9">
        <v>10</v>
      </c>
      <c r="FN115" s="9">
        <v>10</v>
      </c>
      <c r="FO115" s="31">
        <v>10</v>
      </c>
    </row>
    <row r="116" spans="2:171" x14ac:dyDescent="0.3">
      <c r="B116" s="7" t="s">
        <v>63</v>
      </c>
      <c r="C116" s="9">
        <v>7804</v>
      </c>
      <c r="D116" s="9">
        <v>7804</v>
      </c>
      <c r="E116" s="9">
        <v>7804</v>
      </c>
      <c r="F116" s="9">
        <v>7804</v>
      </c>
      <c r="G116" s="9">
        <v>7804</v>
      </c>
      <c r="H116" s="9">
        <v>7804</v>
      </c>
      <c r="I116" s="9">
        <v>7804</v>
      </c>
      <c r="J116" s="9">
        <v>7804</v>
      </c>
      <c r="K116" s="9">
        <v>7804</v>
      </c>
      <c r="L116" s="9">
        <v>7804</v>
      </c>
      <c r="M116" s="9">
        <v>7804</v>
      </c>
      <c r="N116" s="9">
        <v>7804</v>
      </c>
      <c r="O116" s="31">
        <v>7804</v>
      </c>
      <c r="P116" s="9">
        <v>14053</v>
      </c>
      <c r="Q116" s="9">
        <v>14053</v>
      </c>
      <c r="R116" s="9">
        <v>14053</v>
      </c>
      <c r="S116" s="9">
        <v>14053</v>
      </c>
      <c r="T116" s="9">
        <v>1586353</v>
      </c>
      <c r="U116" s="9">
        <v>1586353</v>
      </c>
      <c r="V116" s="9">
        <v>1586353</v>
      </c>
      <c r="W116" s="9">
        <v>1586353</v>
      </c>
      <c r="X116" s="9">
        <v>1586353</v>
      </c>
      <c r="Y116" s="9">
        <v>4420491</v>
      </c>
      <c r="Z116" s="9">
        <v>4420491</v>
      </c>
      <c r="AA116" s="9">
        <v>4420491</v>
      </c>
      <c r="AB116" s="31">
        <v>4420491</v>
      </c>
      <c r="AC116" s="9">
        <v>16140</v>
      </c>
      <c r="AD116" s="9">
        <v>16140</v>
      </c>
      <c r="AE116" s="9">
        <v>16140</v>
      </c>
      <c r="AF116" s="9">
        <v>49374</v>
      </c>
      <c r="AG116" s="9">
        <v>49374</v>
      </c>
      <c r="AH116" s="9">
        <v>49374</v>
      </c>
      <c r="AI116" s="9">
        <v>49374</v>
      </c>
      <c r="AJ116" s="9">
        <v>49374</v>
      </c>
      <c r="AK116" s="9">
        <v>49374</v>
      </c>
      <c r="AL116" s="9">
        <v>49374</v>
      </c>
      <c r="AM116" s="9">
        <v>109820</v>
      </c>
      <c r="AN116" s="9">
        <v>109820</v>
      </c>
      <c r="AO116" s="31">
        <v>109820</v>
      </c>
      <c r="AP116" s="9">
        <v>16480</v>
      </c>
      <c r="AQ116" s="9">
        <v>16480</v>
      </c>
      <c r="AR116" s="9">
        <v>16480</v>
      </c>
      <c r="AS116" s="9">
        <v>16480</v>
      </c>
      <c r="AT116" s="9">
        <v>16480</v>
      </c>
      <c r="AU116" s="9">
        <v>16480</v>
      </c>
      <c r="AV116" s="9">
        <v>16480</v>
      </c>
      <c r="AW116" s="9">
        <v>16480</v>
      </c>
      <c r="AX116" s="9">
        <v>16480</v>
      </c>
      <c r="AY116" s="9">
        <v>29769</v>
      </c>
      <c r="AZ116" s="9">
        <v>29769</v>
      </c>
      <c r="BA116" s="9">
        <v>96724</v>
      </c>
      <c r="BB116" s="31">
        <v>96724</v>
      </c>
      <c r="BC116" s="9">
        <v>24722</v>
      </c>
      <c r="BD116" s="9">
        <v>24722</v>
      </c>
      <c r="BE116" s="9">
        <v>24722</v>
      </c>
      <c r="BF116" s="9">
        <v>24722</v>
      </c>
      <c r="BG116" s="9">
        <v>24722</v>
      </c>
      <c r="BH116" s="9">
        <v>24722</v>
      </c>
      <c r="BI116" s="9">
        <v>20961</v>
      </c>
      <c r="BJ116" s="9">
        <v>20961</v>
      </c>
      <c r="BK116" s="9">
        <v>20961</v>
      </c>
      <c r="BL116" s="9">
        <v>20961</v>
      </c>
      <c r="BM116" s="9">
        <v>448785</v>
      </c>
      <c r="BN116" s="9">
        <v>448785</v>
      </c>
      <c r="BO116" s="31">
        <v>448785</v>
      </c>
      <c r="BP116" s="9">
        <v>12364</v>
      </c>
      <c r="BQ116" s="9">
        <v>12364</v>
      </c>
      <c r="BR116" s="9">
        <v>12364</v>
      </c>
      <c r="BS116" s="9">
        <v>12364</v>
      </c>
      <c r="BT116" s="9">
        <v>12364</v>
      </c>
      <c r="BU116" s="9">
        <v>12364</v>
      </c>
      <c r="BV116" s="9">
        <v>12364</v>
      </c>
      <c r="BW116" s="9">
        <v>12364</v>
      </c>
      <c r="BX116" s="9">
        <v>12364</v>
      </c>
      <c r="BY116" s="9">
        <v>12364</v>
      </c>
      <c r="BZ116" s="9">
        <v>12364</v>
      </c>
      <c r="CA116" s="9">
        <v>12364</v>
      </c>
      <c r="CB116" s="31">
        <v>12364</v>
      </c>
      <c r="CC116" s="9">
        <v>12685</v>
      </c>
      <c r="CD116" s="9">
        <v>12685</v>
      </c>
      <c r="CE116" s="9">
        <v>12685</v>
      </c>
      <c r="CF116" s="9">
        <v>8879</v>
      </c>
      <c r="CG116" s="9">
        <v>4439</v>
      </c>
      <c r="CH116" s="9">
        <v>4439</v>
      </c>
      <c r="CI116" s="9">
        <v>4439</v>
      </c>
      <c r="CJ116" s="9">
        <v>4439</v>
      </c>
      <c r="CK116" s="9">
        <v>4439</v>
      </c>
      <c r="CL116" s="9">
        <v>4439</v>
      </c>
      <c r="CM116" s="9">
        <v>12685</v>
      </c>
      <c r="CN116" s="9">
        <v>12685</v>
      </c>
      <c r="CO116" s="31">
        <v>12685</v>
      </c>
      <c r="CP116" s="9">
        <v>8750</v>
      </c>
      <c r="CQ116" s="9">
        <v>8750</v>
      </c>
      <c r="CR116" s="9">
        <v>8750</v>
      </c>
      <c r="CS116" s="9">
        <v>8750</v>
      </c>
      <c r="CT116" s="9">
        <v>8750</v>
      </c>
      <c r="CU116" s="9">
        <v>13550</v>
      </c>
      <c r="CV116" s="9">
        <v>13550</v>
      </c>
      <c r="CW116" s="9">
        <v>13550</v>
      </c>
      <c r="CX116" s="9">
        <v>13550</v>
      </c>
      <c r="CY116" s="9">
        <v>13550</v>
      </c>
      <c r="CZ116" s="9">
        <v>13550</v>
      </c>
      <c r="DA116" s="9">
        <v>13550</v>
      </c>
      <c r="DB116" s="31">
        <v>13550</v>
      </c>
      <c r="DC116" s="9">
        <v>0</v>
      </c>
      <c r="DD116" s="9">
        <v>0</v>
      </c>
      <c r="DE116" s="9">
        <v>0</v>
      </c>
      <c r="DF116" s="9">
        <v>0</v>
      </c>
      <c r="DG116" s="9">
        <v>0</v>
      </c>
      <c r="DH116" s="9">
        <v>0</v>
      </c>
      <c r="DI116" s="9">
        <v>0</v>
      </c>
      <c r="DJ116" s="9">
        <v>0</v>
      </c>
      <c r="DK116" s="9">
        <v>0</v>
      </c>
      <c r="DL116" s="9">
        <v>0</v>
      </c>
      <c r="DM116" s="9">
        <v>0</v>
      </c>
      <c r="DN116" s="9">
        <v>0</v>
      </c>
      <c r="DO116" s="31">
        <v>0</v>
      </c>
      <c r="DP116" s="9">
        <v>0</v>
      </c>
      <c r="DQ116" s="9">
        <v>0</v>
      </c>
      <c r="DR116" s="9">
        <v>0</v>
      </c>
      <c r="DS116" s="9">
        <v>0</v>
      </c>
      <c r="DT116" s="9">
        <v>0</v>
      </c>
      <c r="DU116" s="9">
        <v>0</v>
      </c>
      <c r="DV116" s="9">
        <v>0</v>
      </c>
      <c r="DW116" s="9">
        <v>0</v>
      </c>
      <c r="DX116" s="9">
        <v>0</v>
      </c>
      <c r="DY116" s="9">
        <v>0</v>
      </c>
      <c r="DZ116" s="9">
        <v>0</v>
      </c>
      <c r="EA116" s="9">
        <v>0</v>
      </c>
      <c r="EB116" s="31">
        <v>0</v>
      </c>
      <c r="EC116" s="9">
        <v>0</v>
      </c>
      <c r="ED116" s="9">
        <v>0</v>
      </c>
      <c r="EE116" s="9">
        <v>0</v>
      </c>
      <c r="EF116" s="9">
        <v>0</v>
      </c>
      <c r="EG116" s="9">
        <v>6773</v>
      </c>
      <c r="EH116" s="9">
        <v>6773</v>
      </c>
      <c r="EI116" s="9">
        <v>6773</v>
      </c>
      <c r="EJ116" s="9">
        <v>6773</v>
      </c>
      <c r="EK116" s="9">
        <v>6773</v>
      </c>
      <c r="EL116" s="9">
        <v>8343</v>
      </c>
      <c r="EM116" s="9">
        <v>8343</v>
      </c>
      <c r="EN116" s="9">
        <v>8343</v>
      </c>
      <c r="EO116" s="31">
        <v>8343</v>
      </c>
      <c r="EP116" s="9">
        <v>3960</v>
      </c>
      <c r="EQ116" s="9">
        <v>3960</v>
      </c>
      <c r="ER116" s="9">
        <v>3960</v>
      </c>
      <c r="ES116" s="9">
        <v>3960</v>
      </c>
      <c r="ET116" s="9">
        <v>3960</v>
      </c>
      <c r="EU116" s="9">
        <v>3960</v>
      </c>
      <c r="EV116" s="9">
        <v>3960</v>
      </c>
      <c r="EW116" s="9">
        <v>3960</v>
      </c>
      <c r="EX116" s="9">
        <v>3960</v>
      </c>
      <c r="EY116" s="9">
        <v>11799960</v>
      </c>
      <c r="EZ116" s="9">
        <v>21799960</v>
      </c>
      <c r="FA116" s="9">
        <v>21799960</v>
      </c>
      <c r="FB116" s="31">
        <v>21799960</v>
      </c>
      <c r="FC116" s="9">
        <v>10</v>
      </c>
      <c r="FD116" s="9">
        <v>10</v>
      </c>
      <c r="FE116" s="9">
        <v>10</v>
      </c>
      <c r="FF116" s="9">
        <v>10</v>
      </c>
      <c r="FG116" s="9">
        <v>10</v>
      </c>
      <c r="FH116" s="9">
        <v>10</v>
      </c>
      <c r="FI116" s="9">
        <v>10</v>
      </c>
      <c r="FJ116" s="9">
        <v>10</v>
      </c>
      <c r="FK116" s="9">
        <v>10</v>
      </c>
      <c r="FL116" s="9">
        <v>10</v>
      </c>
      <c r="FM116" s="9">
        <v>10</v>
      </c>
      <c r="FN116" s="9">
        <v>10</v>
      </c>
      <c r="FO116" s="31">
        <v>10</v>
      </c>
    </row>
    <row r="117" spans="2:171" x14ac:dyDescent="0.3">
      <c r="B117" s="11" t="s">
        <v>126</v>
      </c>
      <c r="C117" s="13">
        <f t="shared" ref="C117:AH117" si="24">SUM(C99:C116)</f>
        <v>4451662</v>
      </c>
      <c r="D117" s="13">
        <f t="shared" si="24"/>
        <v>4451662</v>
      </c>
      <c r="E117" s="13">
        <f t="shared" si="24"/>
        <v>16220442</v>
      </c>
      <c r="F117" s="13">
        <f t="shared" si="24"/>
        <v>16220442</v>
      </c>
      <c r="G117" s="13">
        <f t="shared" si="24"/>
        <v>16584442</v>
      </c>
      <c r="H117" s="13">
        <f t="shared" si="24"/>
        <v>30504408</v>
      </c>
      <c r="I117" s="13">
        <f t="shared" si="24"/>
        <v>30504408</v>
      </c>
      <c r="J117" s="13">
        <f t="shared" si="24"/>
        <v>30504408</v>
      </c>
      <c r="K117" s="13">
        <f t="shared" si="24"/>
        <v>35006408</v>
      </c>
      <c r="L117" s="13">
        <f t="shared" si="24"/>
        <v>45596118</v>
      </c>
      <c r="M117" s="13">
        <f t="shared" si="24"/>
        <v>47189768</v>
      </c>
      <c r="N117" s="13">
        <f t="shared" si="24"/>
        <v>53978329</v>
      </c>
      <c r="O117" s="13">
        <f t="shared" si="24"/>
        <v>53978329</v>
      </c>
      <c r="P117" s="13">
        <f t="shared" si="24"/>
        <v>11921185</v>
      </c>
      <c r="Q117" s="13">
        <f t="shared" si="24"/>
        <v>15753350</v>
      </c>
      <c r="R117" s="13">
        <f t="shared" si="24"/>
        <v>17070292</v>
      </c>
      <c r="S117" s="13">
        <f t="shared" si="24"/>
        <v>20144987</v>
      </c>
      <c r="T117" s="13">
        <f t="shared" si="24"/>
        <v>21777287</v>
      </c>
      <c r="U117" s="13">
        <f t="shared" si="24"/>
        <v>22017373</v>
      </c>
      <c r="V117" s="13">
        <f t="shared" si="24"/>
        <v>26470373</v>
      </c>
      <c r="W117" s="13">
        <f t="shared" si="24"/>
        <v>26485465</v>
      </c>
      <c r="X117" s="13">
        <f t="shared" si="24"/>
        <v>27026368</v>
      </c>
      <c r="Y117" s="13">
        <f t="shared" si="24"/>
        <v>33053748</v>
      </c>
      <c r="Z117" s="13">
        <f t="shared" si="24"/>
        <v>36042521</v>
      </c>
      <c r="AA117" s="13">
        <f t="shared" si="24"/>
        <v>45069331</v>
      </c>
      <c r="AB117" s="13">
        <f t="shared" si="24"/>
        <v>45069331</v>
      </c>
      <c r="AC117" s="13">
        <f t="shared" si="24"/>
        <v>6440512</v>
      </c>
      <c r="AD117" s="13">
        <f t="shared" si="24"/>
        <v>6460046</v>
      </c>
      <c r="AE117" s="13">
        <f t="shared" si="24"/>
        <v>6530879</v>
      </c>
      <c r="AF117" s="13">
        <f t="shared" si="24"/>
        <v>7101246</v>
      </c>
      <c r="AG117" s="13">
        <f t="shared" si="24"/>
        <v>16008166</v>
      </c>
      <c r="AH117" s="13">
        <f t="shared" si="24"/>
        <v>16008166</v>
      </c>
      <c r="AI117" s="13">
        <f t="shared" ref="AI117:BN117" si="25">SUM(AI99:AI116)</f>
        <v>16078819</v>
      </c>
      <c r="AJ117" s="13">
        <f t="shared" si="25"/>
        <v>19914072</v>
      </c>
      <c r="AK117" s="13">
        <f t="shared" si="25"/>
        <v>21182666</v>
      </c>
      <c r="AL117" s="13">
        <f t="shared" si="25"/>
        <v>22940087</v>
      </c>
      <c r="AM117" s="13">
        <f t="shared" si="25"/>
        <v>24193572</v>
      </c>
      <c r="AN117" s="13">
        <f t="shared" si="25"/>
        <v>27162957</v>
      </c>
      <c r="AO117" s="13">
        <f t="shared" si="25"/>
        <v>27162957</v>
      </c>
      <c r="AP117" s="13">
        <f t="shared" si="25"/>
        <v>5615714</v>
      </c>
      <c r="AQ117" s="13">
        <f t="shared" si="25"/>
        <v>5615714</v>
      </c>
      <c r="AR117" s="13">
        <f t="shared" si="25"/>
        <v>5615714</v>
      </c>
      <c r="AS117" s="13">
        <f t="shared" si="25"/>
        <v>12232871</v>
      </c>
      <c r="AT117" s="13">
        <f t="shared" si="25"/>
        <v>12232871</v>
      </c>
      <c r="AU117" s="13">
        <f t="shared" si="25"/>
        <v>12913891</v>
      </c>
      <c r="AV117" s="13">
        <f t="shared" si="25"/>
        <v>12913891</v>
      </c>
      <c r="AW117" s="13">
        <f t="shared" si="25"/>
        <v>16203165</v>
      </c>
      <c r="AX117" s="13">
        <f t="shared" si="25"/>
        <v>18570772</v>
      </c>
      <c r="AY117" s="13">
        <f t="shared" si="25"/>
        <v>20847432</v>
      </c>
      <c r="AZ117" s="13">
        <f t="shared" si="25"/>
        <v>20847432</v>
      </c>
      <c r="BA117" s="13">
        <f t="shared" si="25"/>
        <v>34612073</v>
      </c>
      <c r="BB117" s="13">
        <f t="shared" si="25"/>
        <v>34612073</v>
      </c>
      <c r="BC117" s="13">
        <f t="shared" si="25"/>
        <v>7963057</v>
      </c>
      <c r="BD117" s="13">
        <f t="shared" si="25"/>
        <v>7963057</v>
      </c>
      <c r="BE117" s="13">
        <f t="shared" si="25"/>
        <v>9044789</v>
      </c>
      <c r="BF117" s="13">
        <f t="shared" si="25"/>
        <v>9044789</v>
      </c>
      <c r="BG117" s="13">
        <f t="shared" si="25"/>
        <v>9447697</v>
      </c>
      <c r="BH117" s="13">
        <f t="shared" si="25"/>
        <v>9447697</v>
      </c>
      <c r="BI117" s="13">
        <f t="shared" si="25"/>
        <v>12070535</v>
      </c>
      <c r="BJ117" s="13">
        <f t="shared" si="25"/>
        <v>12070535</v>
      </c>
      <c r="BK117" s="13">
        <f t="shared" si="25"/>
        <v>10988803</v>
      </c>
      <c r="BL117" s="13">
        <f t="shared" si="25"/>
        <v>10988803</v>
      </c>
      <c r="BM117" s="13">
        <f t="shared" si="25"/>
        <v>11446898</v>
      </c>
      <c r="BN117" s="13">
        <f t="shared" si="25"/>
        <v>14642343</v>
      </c>
      <c r="BO117" s="13">
        <f t="shared" ref="BO117:CT117" si="26">SUM(BO99:BO116)</f>
        <v>14642343</v>
      </c>
      <c r="BP117" s="13">
        <f t="shared" si="26"/>
        <v>6134894</v>
      </c>
      <c r="BQ117" s="13">
        <f t="shared" si="26"/>
        <v>6134894</v>
      </c>
      <c r="BR117" s="13">
        <f t="shared" si="26"/>
        <v>6134894</v>
      </c>
      <c r="BS117" s="13">
        <f t="shared" si="26"/>
        <v>6134894</v>
      </c>
      <c r="BT117" s="13">
        <f t="shared" si="26"/>
        <v>8377087</v>
      </c>
      <c r="BU117" s="13">
        <f t="shared" si="26"/>
        <v>33145601</v>
      </c>
      <c r="BV117" s="13">
        <f t="shared" si="26"/>
        <v>33229831</v>
      </c>
      <c r="BW117" s="13">
        <f t="shared" si="26"/>
        <v>37166261</v>
      </c>
      <c r="BX117" s="13">
        <f t="shared" si="26"/>
        <v>38385043</v>
      </c>
      <c r="BY117" s="13">
        <f t="shared" si="26"/>
        <v>38385043</v>
      </c>
      <c r="BZ117" s="13">
        <f t="shared" si="26"/>
        <v>39118686</v>
      </c>
      <c r="CA117" s="13">
        <f t="shared" si="26"/>
        <v>44469249</v>
      </c>
      <c r="CB117" s="13">
        <f t="shared" si="26"/>
        <v>44469249</v>
      </c>
      <c r="CC117" s="13">
        <f t="shared" si="26"/>
        <v>8896359</v>
      </c>
      <c r="CD117" s="13">
        <f t="shared" si="26"/>
        <v>8896359</v>
      </c>
      <c r="CE117" s="13">
        <f t="shared" si="26"/>
        <v>8896359</v>
      </c>
      <c r="CF117" s="13">
        <f t="shared" si="26"/>
        <v>8121026</v>
      </c>
      <c r="CG117" s="13">
        <f t="shared" si="26"/>
        <v>6922766</v>
      </c>
      <c r="CH117" s="13">
        <f t="shared" si="26"/>
        <v>9159248</v>
      </c>
      <c r="CI117" s="13">
        <f t="shared" si="26"/>
        <v>9730532</v>
      </c>
      <c r="CJ117" s="13">
        <f t="shared" si="26"/>
        <v>9730532</v>
      </c>
      <c r="CK117" s="13">
        <f t="shared" si="26"/>
        <v>19477322</v>
      </c>
      <c r="CL117" s="13">
        <f t="shared" si="26"/>
        <v>22034104</v>
      </c>
      <c r="CM117" s="13">
        <f t="shared" si="26"/>
        <v>27831479</v>
      </c>
      <c r="CN117" s="13">
        <f t="shared" si="26"/>
        <v>29872960</v>
      </c>
      <c r="CO117" s="13">
        <f t="shared" si="26"/>
        <v>29872960</v>
      </c>
      <c r="CP117" s="13">
        <f t="shared" si="26"/>
        <v>4227090</v>
      </c>
      <c r="CQ117" s="13">
        <f t="shared" si="26"/>
        <v>4227090</v>
      </c>
      <c r="CR117" s="13">
        <f t="shared" si="26"/>
        <v>4227090</v>
      </c>
      <c r="CS117" s="13">
        <f t="shared" si="26"/>
        <v>4991320</v>
      </c>
      <c r="CT117" s="13">
        <f t="shared" si="26"/>
        <v>19462393</v>
      </c>
      <c r="CU117" s="13">
        <f t="shared" ref="CU117:DZ117" si="27">SUM(CU99:CU116)</f>
        <v>19462393</v>
      </c>
      <c r="CV117" s="13">
        <f t="shared" si="27"/>
        <v>19479354</v>
      </c>
      <c r="CW117" s="13">
        <f t="shared" si="27"/>
        <v>20926069</v>
      </c>
      <c r="CX117" s="13">
        <f t="shared" si="27"/>
        <v>20990830</v>
      </c>
      <c r="CY117" s="13">
        <f t="shared" si="27"/>
        <v>26248289</v>
      </c>
      <c r="CZ117" s="13">
        <f t="shared" si="27"/>
        <v>32498139</v>
      </c>
      <c r="DA117" s="13">
        <f t="shared" si="27"/>
        <v>36530130</v>
      </c>
      <c r="DB117" s="13">
        <f t="shared" si="27"/>
        <v>36530130</v>
      </c>
      <c r="DC117" s="13">
        <f t="shared" si="27"/>
        <v>3710812</v>
      </c>
      <c r="DD117" s="13">
        <f t="shared" si="27"/>
        <v>3710812</v>
      </c>
      <c r="DE117" s="13">
        <f t="shared" si="27"/>
        <v>5614566</v>
      </c>
      <c r="DF117" s="13">
        <f t="shared" si="27"/>
        <v>8129081</v>
      </c>
      <c r="DG117" s="13">
        <f t="shared" si="27"/>
        <v>17494020</v>
      </c>
      <c r="DH117" s="13">
        <f t="shared" si="27"/>
        <v>17564020</v>
      </c>
      <c r="DI117" s="13">
        <f t="shared" si="27"/>
        <v>17564020</v>
      </c>
      <c r="DJ117" s="13">
        <f t="shared" si="27"/>
        <v>17564020</v>
      </c>
      <c r="DK117" s="13">
        <f t="shared" si="27"/>
        <v>30447785</v>
      </c>
      <c r="DL117" s="13">
        <f t="shared" si="27"/>
        <v>80413380</v>
      </c>
      <c r="DM117" s="13">
        <f t="shared" si="27"/>
        <v>172255447</v>
      </c>
      <c r="DN117" s="13">
        <f t="shared" si="27"/>
        <v>193444526</v>
      </c>
      <c r="DO117" s="13">
        <f t="shared" si="27"/>
        <v>193444526</v>
      </c>
      <c r="DP117" s="13">
        <f t="shared" si="27"/>
        <v>30702526</v>
      </c>
      <c r="DQ117" s="13">
        <f t="shared" si="27"/>
        <v>34680772</v>
      </c>
      <c r="DR117" s="13">
        <f t="shared" si="27"/>
        <v>34680772</v>
      </c>
      <c r="DS117" s="13">
        <f t="shared" si="27"/>
        <v>34680772</v>
      </c>
      <c r="DT117" s="13">
        <f t="shared" si="27"/>
        <v>34680772</v>
      </c>
      <c r="DU117" s="13">
        <f t="shared" si="27"/>
        <v>34680772</v>
      </c>
      <c r="DV117" s="13">
        <f t="shared" si="27"/>
        <v>34680772</v>
      </c>
      <c r="DW117" s="13">
        <f t="shared" si="27"/>
        <v>34680772</v>
      </c>
      <c r="DX117" s="13">
        <f t="shared" si="27"/>
        <v>34680772</v>
      </c>
      <c r="DY117" s="13">
        <f t="shared" si="27"/>
        <v>34680772</v>
      </c>
      <c r="DZ117" s="13">
        <f t="shared" si="27"/>
        <v>34680772</v>
      </c>
      <c r="EA117" s="13">
        <f t="shared" ref="EA117:FF117" si="28">SUM(EA99:EA116)</f>
        <v>34462894</v>
      </c>
      <c r="EB117" s="13">
        <f t="shared" si="28"/>
        <v>34462894</v>
      </c>
      <c r="EC117" s="13">
        <f t="shared" si="28"/>
        <v>30674754</v>
      </c>
      <c r="ED117" s="13">
        <f t="shared" si="28"/>
        <v>30674754</v>
      </c>
      <c r="EE117" s="13">
        <f t="shared" si="28"/>
        <v>30674754</v>
      </c>
      <c r="EF117" s="13">
        <f t="shared" si="28"/>
        <v>30674754</v>
      </c>
      <c r="EG117" s="13">
        <f t="shared" si="28"/>
        <v>30869466</v>
      </c>
      <c r="EH117" s="13">
        <f t="shared" si="28"/>
        <v>33920664</v>
      </c>
      <c r="EI117" s="13">
        <f t="shared" si="28"/>
        <v>33920664</v>
      </c>
      <c r="EJ117" s="13">
        <f t="shared" si="28"/>
        <v>35753300</v>
      </c>
      <c r="EK117" s="13">
        <f t="shared" si="28"/>
        <v>35753300</v>
      </c>
      <c r="EL117" s="13">
        <f t="shared" si="28"/>
        <v>35753300</v>
      </c>
      <c r="EM117" s="13">
        <f t="shared" si="28"/>
        <v>18060164</v>
      </c>
      <c r="EN117" s="13">
        <f t="shared" si="28"/>
        <v>19217626</v>
      </c>
      <c r="EO117" s="13">
        <f t="shared" si="28"/>
        <v>19217626</v>
      </c>
      <c r="EP117" s="13">
        <f t="shared" si="28"/>
        <v>4543724</v>
      </c>
      <c r="EQ117" s="13">
        <f t="shared" si="28"/>
        <v>4543724</v>
      </c>
      <c r="ER117" s="13">
        <f t="shared" si="28"/>
        <v>4543724</v>
      </c>
      <c r="ES117" s="13">
        <f t="shared" si="28"/>
        <v>4543724</v>
      </c>
      <c r="ET117" s="13">
        <f t="shared" si="28"/>
        <v>4543724</v>
      </c>
      <c r="EU117" s="13">
        <f t="shared" si="28"/>
        <v>4543724</v>
      </c>
      <c r="EV117" s="13">
        <f t="shared" si="28"/>
        <v>4543724</v>
      </c>
      <c r="EW117" s="13">
        <f t="shared" si="28"/>
        <v>4543724</v>
      </c>
      <c r="EX117" s="13">
        <f t="shared" si="28"/>
        <v>4543724</v>
      </c>
      <c r="EY117" s="13">
        <f t="shared" si="28"/>
        <v>16339724</v>
      </c>
      <c r="EZ117" s="13">
        <f t="shared" si="28"/>
        <v>26339724</v>
      </c>
      <c r="FA117" s="13">
        <f t="shared" si="28"/>
        <v>37330628</v>
      </c>
      <c r="FB117" s="13">
        <f t="shared" si="28"/>
        <v>37330628</v>
      </c>
      <c r="FC117" s="13">
        <f t="shared" si="28"/>
        <v>4182864</v>
      </c>
      <c r="FD117" s="13">
        <f t="shared" si="28"/>
        <v>4182864</v>
      </c>
      <c r="FE117" s="13">
        <f t="shared" si="28"/>
        <v>4182864</v>
      </c>
      <c r="FF117" s="13">
        <f t="shared" si="28"/>
        <v>4182864</v>
      </c>
      <c r="FG117" s="13">
        <f t="shared" ref="FG117:GL117" si="29">SUM(FG99:FG116)</f>
        <v>4182864</v>
      </c>
      <c r="FH117" s="13">
        <f t="shared" si="29"/>
        <v>4182864</v>
      </c>
      <c r="FI117" s="13">
        <f t="shared" si="29"/>
        <v>4182864</v>
      </c>
      <c r="FJ117" s="13">
        <f t="shared" si="29"/>
        <v>4182864</v>
      </c>
      <c r="FK117" s="13">
        <f t="shared" si="29"/>
        <v>4182864</v>
      </c>
      <c r="FL117" s="13">
        <f t="shared" si="29"/>
        <v>4182864</v>
      </c>
      <c r="FM117" s="13">
        <f t="shared" si="29"/>
        <v>4182864</v>
      </c>
      <c r="FN117" s="13">
        <f t="shared" si="29"/>
        <v>4182864</v>
      </c>
      <c r="FO117" s="13">
        <f t="shared" si="29"/>
        <v>4182864</v>
      </c>
    </row>
    <row r="118" spans="2:171" x14ac:dyDescent="0.3">
      <c r="B118" s="5" t="s">
        <v>127</v>
      </c>
    </row>
    <row r="119" spans="2:171" x14ac:dyDescent="0.3">
      <c r="C119" s="49" t="s">
        <v>90</v>
      </c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49" t="s">
        <v>91</v>
      </c>
      <c r="Q119" s="50"/>
      <c r="R119" s="50"/>
      <c r="S119" s="50"/>
      <c r="T119" s="50"/>
      <c r="U119" s="50"/>
      <c r="V119" s="50"/>
      <c r="W119" s="50"/>
      <c r="X119" s="50"/>
      <c r="Y119" s="50"/>
      <c r="Z119" s="50"/>
      <c r="AA119" s="50"/>
      <c r="AB119" s="50"/>
      <c r="AC119" s="49" t="s">
        <v>92</v>
      </c>
      <c r="AD119" s="50"/>
      <c r="AE119" s="50"/>
      <c r="AF119" s="50"/>
      <c r="AG119" s="50"/>
      <c r="AH119" s="50"/>
      <c r="AI119" s="50"/>
      <c r="AJ119" s="50"/>
      <c r="AK119" s="50"/>
      <c r="AL119" s="50"/>
      <c r="AM119" s="50"/>
      <c r="AN119" s="50"/>
      <c r="AO119" s="50"/>
      <c r="AP119" s="49" t="s">
        <v>93</v>
      </c>
      <c r="AQ119" s="50"/>
      <c r="AR119" s="50"/>
      <c r="AS119" s="50"/>
      <c r="AT119" s="50"/>
      <c r="AU119" s="50"/>
      <c r="AV119" s="50"/>
      <c r="AW119" s="50"/>
      <c r="AX119" s="50"/>
      <c r="AY119" s="50"/>
      <c r="AZ119" s="50"/>
      <c r="BA119" s="50"/>
      <c r="BB119" s="50"/>
      <c r="BC119" s="49" t="s">
        <v>94</v>
      </c>
      <c r="BD119" s="50"/>
      <c r="BE119" s="50"/>
      <c r="BF119" s="50"/>
      <c r="BG119" s="50"/>
      <c r="BH119" s="50"/>
      <c r="BI119" s="50"/>
      <c r="BJ119" s="50"/>
      <c r="BK119" s="50"/>
      <c r="BL119" s="50"/>
      <c r="BM119" s="50"/>
      <c r="BN119" s="50"/>
      <c r="BO119" s="50"/>
      <c r="BP119" s="49" t="s">
        <v>95</v>
      </c>
      <c r="BQ119" s="50"/>
      <c r="BR119" s="50"/>
      <c r="BS119" s="50"/>
      <c r="BT119" s="50"/>
      <c r="BU119" s="50"/>
      <c r="BV119" s="50"/>
      <c r="BW119" s="50"/>
      <c r="BX119" s="50"/>
      <c r="BY119" s="50"/>
      <c r="BZ119" s="50"/>
      <c r="CA119" s="50"/>
      <c r="CB119" s="50"/>
      <c r="CC119" s="49" t="s">
        <v>96</v>
      </c>
      <c r="CD119" s="50"/>
      <c r="CE119" s="50"/>
      <c r="CF119" s="50"/>
      <c r="CG119" s="50"/>
      <c r="CH119" s="50"/>
      <c r="CI119" s="50"/>
      <c r="CJ119" s="50"/>
      <c r="CK119" s="50"/>
      <c r="CL119" s="50"/>
      <c r="CM119" s="50"/>
      <c r="CN119" s="50"/>
      <c r="CO119" s="50"/>
      <c r="CP119" s="49" t="s">
        <v>97</v>
      </c>
      <c r="CQ119" s="50"/>
      <c r="CR119" s="50"/>
      <c r="CS119" s="50"/>
      <c r="CT119" s="50"/>
      <c r="CU119" s="50"/>
      <c r="CV119" s="50"/>
      <c r="CW119" s="50"/>
      <c r="CX119" s="50"/>
      <c r="CY119" s="50"/>
      <c r="CZ119" s="50"/>
      <c r="DA119" s="50"/>
      <c r="DB119" s="50"/>
      <c r="DC119" s="49" t="s">
        <v>98</v>
      </c>
      <c r="DD119" s="50"/>
      <c r="DE119" s="50"/>
      <c r="DF119" s="50"/>
      <c r="DG119" s="50"/>
      <c r="DH119" s="50"/>
      <c r="DI119" s="50"/>
      <c r="DJ119" s="50"/>
      <c r="DK119" s="50"/>
      <c r="DL119" s="50"/>
      <c r="DM119" s="50"/>
      <c r="DN119" s="50"/>
      <c r="DO119" s="50"/>
      <c r="DP119" s="49" t="s">
        <v>99</v>
      </c>
      <c r="DQ119" s="50"/>
      <c r="DR119" s="50"/>
      <c r="DS119" s="50"/>
      <c r="DT119" s="50"/>
      <c r="DU119" s="50"/>
      <c r="DV119" s="50"/>
      <c r="DW119" s="50"/>
      <c r="DX119" s="50"/>
      <c r="DY119" s="50"/>
      <c r="DZ119" s="50"/>
      <c r="EA119" s="50"/>
      <c r="EB119" s="50"/>
      <c r="EC119" s="49" t="s">
        <v>100</v>
      </c>
      <c r="ED119" s="50"/>
      <c r="EE119" s="50"/>
      <c r="EF119" s="50"/>
      <c r="EG119" s="50"/>
      <c r="EH119" s="50"/>
      <c r="EI119" s="50"/>
      <c r="EJ119" s="50"/>
      <c r="EK119" s="50"/>
      <c r="EL119" s="50"/>
      <c r="EM119" s="50"/>
      <c r="EN119" s="50"/>
      <c r="EO119" s="50"/>
      <c r="EP119" s="49" t="s">
        <v>101</v>
      </c>
      <c r="EQ119" s="50"/>
      <c r="ER119" s="50"/>
      <c r="ES119" s="50"/>
      <c r="ET119" s="50"/>
      <c r="EU119" s="50"/>
      <c r="EV119" s="50"/>
      <c r="EW119" s="50"/>
      <c r="EX119" s="50"/>
      <c r="EY119" s="50"/>
      <c r="EZ119" s="50"/>
      <c r="FA119" s="50"/>
      <c r="FB119" s="50"/>
      <c r="FC119" s="49" t="s">
        <v>102</v>
      </c>
      <c r="FD119" s="50"/>
      <c r="FE119" s="50"/>
      <c r="FF119" s="50"/>
      <c r="FG119" s="50"/>
      <c r="FH119" s="50"/>
      <c r="FI119" s="50"/>
      <c r="FJ119" s="50"/>
      <c r="FK119" s="50"/>
      <c r="FL119" s="50"/>
      <c r="FM119" s="50"/>
      <c r="FN119" s="50"/>
      <c r="FO119" s="50"/>
    </row>
    <row r="120" spans="2:171" x14ac:dyDescent="0.3">
      <c r="B120" s="19" t="s">
        <v>103</v>
      </c>
      <c r="C120" s="30" t="s">
        <v>67</v>
      </c>
      <c r="D120" s="30" t="s">
        <v>68</v>
      </c>
      <c r="E120" s="30" t="s">
        <v>69</v>
      </c>
      <c r="F120" s="30" t="s">
        <v>70</v>
      </c>
      <c r="G120" s="30" t="s">
        <v>71</v>
      </c>
      <c r="H120" s="30" t="s">
        <v>72</v>
      </c>
      <c r="I120" s="30" t="s">
        <v>73</v>
      </c>
      <c r="J120" s="30" t="s">
        <v>74</v>
      </c>
      <c r="K120" s="30" t="s">
        <v>75</v>
      </c>
      <c r="L120" s="30" t="s">
        <v>76</v>
      </c>
      <c r="M120" s="30" t="s">
        <v>77</v>
      </c>
      <c r="N120" s="30" t="s">
        <v>78</v>
      </c>
      <c r="O120" s="30" t="s">
        <v>104</v>
      </c>
      <c r="P120" s="30" t="s">
        <v>67</v>
      </c>
      <c r="Q120" s="30" t="s">
        <v>68</v>
      </c>
      <c r="R120" s="30" t="s">
        <v>69</v>
      </c>
      <c r="S120" s="30" t="s">
        <v>70</v>
      </c>
      <c r="T120" s="30" t="s">
        <v>71</v>
      </c>
      <c r="U120" s="30" t="s">
        <v>72</v>
      </c>
      <c r="V120" s="30" t="s">
        <v>73</v>
      </c>
      <c r="W120" s="30" t="s">
        <v>74</v>
      </c>
      <c r="X120" s="30" t="s">
        <v>75</v>
      </c>
      <c r="Y120" s="30" t="s">
        <v>76</v>
      </c>
      <c r="Z120" s="30" t="s">
        <v>77</v>
      </c>
      <c r="AA120" s="30" t="s">
        <v>78</v>
      </c>
      <c r="AB120" s="30" t="s">
        <v>105</v>
      </c>
      <c r="AC120" s="30" t="s">
        <v>67</v>
      </c>
      <c r="AD120" s="30" t="s">
        <v>68</v>
      </c>
      <c r="AE120" s="30" t="s">
        <v>69</v>
      </c>
      <c r="AF120" s="30" t="s">
        <v>70</v>
      </c>
      <c r="AG120" s="30" t="s">
        <v>71</v>
      </c>
      <c r="AH120" s="30" t="s">
        <v>72</v>
      </c>
      <c r="AI120" s="30" t="s">
        <v>73</v>
      </c>
      <c r="AJ120" s="30" t="s">
        <v>74</v>
      </c>
      <c r="AK120" s="30" t="s">
        <v>75</v>
      </c>
      <c r="AL120" s="30" t="s">
        <v>76</v>
      </c>
      <c r="AM120" s="30" t="s">
        <v>77</v>
      </c>
      <c r="AN120" s="30" t="s">
        <v>78</v>
      </c>
      <c r="AO120" s="30" t="s">
        <v>106</v>
      </c>
      <c r="AP120" s="30" t="s">
        <v>67</v>
      </c>
      <c r="AQ120" s="30" t="s">
        <v>68</v>
      </c>
      <c r="AR120" s="30" t="s">
        <v>69</v>
      </c>
      <c r="AS120" s="30" t="s">
        <v>70</v>
      </c>
      <c r="AT120" s="30" t="s">
        <v>71</v>
      </c>
      <c r="AU120" s="30" t="s">
        <v>72</v>
      </c>
      <c r="AV120" s="30" t="s">
        <v>73</v>
      </c>
      <c r="AW120" s="30" t="s">
        <v>74</v>
      </c>
      <c r="AX120" s="30" t="s">
        <v>75</v>
      </c>
      <c r="AY120" s="30" t="s">
        <v>76</v>
      </c>
      <c r="AZ120" s="30" t="s">
        <v>77</v>
      </c>
      <c r="BA120" s="30" t="s">
        <v>78</v>
      </c>
      <c r="BB120" s="30" t="s">
        <v>107</v>
      </c>
      <c r="BC120" s="30" t="s">
        <v>67</v>
      </c>
      <c r="BD120" s="30" t="s">
        <v>68</v>
      </c>
      <c r="BE120" s="30" t="s">
        <v>69</v>
      </c>
      <c r="BF120" s="30" t="s">
        <v>70</v>
      </c>
      <c r="BG120" s="30" t="s">
        <v>71</v>
      </c>
      <c r="BH120" s="30" t="s">
        <v>72</v>
      </c>
      <c r="BI120" s="30" t="s">
        <v>73</v>
      </c>
      <c r="BJ120" s="30" t="s">
        <v>74</v>
      </c>
      <c r="BK120" s="30" t="s">
        <v>75</v>
      </c>
      <c r="BL120" s="30" t="s">
        <v>76</v>
      </c>
      <c r="BM120" s="30" t="s">
        <v>77</v>
      </c>
      <c r="BN120" s="30" t="s">
        <v>78</v>
      </c>
      <c r="BO120" s="30" t="s">
        <v>108</v>
      </c>
      <c r="BP120" s="30" t="s">
        <v>67</v>
      </c>
      <c r="BQ120" s="30" t="s">
        <v>68</v>
      </c>
      <c r="BR120" s="30" t="s">
        <v>69</v>
      </c>
      <c r="BS120" s="30" t="s">
        <v>70</v>
      </c>
      <c r="BT120" s="30" t="s">
        <v>71</v>
      </c>
      <c r="BU120" s="30" t="s">
        <v>72</v>
      </c>
      <c r="BV120" s="30" t="s">
        <v>73</v>
      </c>
      <c r="BW120" s="30" t="s">
        <v>74</v>
      </c>
      <c r="BX120" s="30" t="s">
        <v>75</v>
      </c>
      <c r="BY120" s="30" t="s">
        <v>76</v>
      </c>
      <c r="BZ120" s="30" t="s">
        <v>77</v>
      </c>
      <c r="CA120" s="30" t="s">
        <v>78</v>
      </c>
      <c r="CB120" s="30" t="s">
        <v>109</v>
      </c>
      <c r="CC120" s="30" t="s">
        <v>67</v>
      </c>
      <c r="CD120" s="30" t="s">
        <v>68</v>
      </c>
      <c r="CE120" s="30" t="s">
        <v>69</v>
      </c>
      <c r="CF120" s="30" t="s">
        <v>70</v>
      </c>
      <c r="CG120" s="30" t="s">
        <v>71</v>
      </c>
      <c r="CH120" s="30" t="s">
        <v>72</v>
      </c>
      <c r="CI120" s="30" t="s">
        <v>73</v>
      </c>
      <c r="CJ120" s="30" t="s">
        <v>74</v>
      </c>
      <c r="CK120" s="30" t="s">
        <v>75</v>
      </c>
      <c r="CL120" s="30" t="s">
        <v>76</v>
      </c>
      <c r="CM120" s="30" t="s">
        <v>77</v>
      </c>
      <c r="CN120" s="30" t="s">
        <v>78</v>
      </c>
      <c r="CO120" s="30" t="s">
        <v>110</v>
      </c>
      <c r="CP120" s="30" t="s">
        <v>67</v>
      </c>
      <c r="CQ120" s="30" t="s">
        <v>68</v>
      </c>
      <c r="CR120" s="30" t="s">
        <v>69</v>
      </c>
      <c r="CS120" s="30" t="s">
        <v>70</v>
      </c>
      <c r="CT120" s="30" t="s">
        <v>71</v>
      </c>
      <c r="CU120" s="30" t="s">
        <v>72</v>
      </c>
      <c r="CV120" s="30" t="s">
        <v>73</v>
      </c>
      <c r="CW120" s="30" t="s">
        <v>74</v>
      </c>
      <c r="CX120" s="30" t="s">
        <v>75</v>
      </c>
      <c r="CY120" s="30" t="s">
        <v>76</v>
      </c>
      <c r="CZ120" s="30" t="s">
        <v>77</v>
      </c>
      <c r="DA120" s="30" t="s">
        <v>78</v>
      </c>
      <c r="DB120" s="30" t="s">
        <v>111</v>
      </c>
      <c r="DC120" s="30" t="s">
        <v>67</v>
      </c>
      <c r="DD120" s="30" t="s">
        <v>68</v>
      </c>
      <c r="DE120" s="30" t="s">
        <v>69</v>
      </c>
      <c r="DF120" s="30" t="s">
        <v>70</v>
      </c>
      <c r="DG120" s="30" t="s">
        <v>71</v>
      </c>
      <c r="DH120" s="30" t="s">
        <v>72</v>
      </c>
      <c r="DI120" s="30" t="s">
        <v>73</v>
      </c>
      <c r="DJ120" s="30" t="s">
        <v>74</v>
      </c>
      <c r="DK120" s="30" t="s">
        <v>75</v>
      </c>
      <c r="DL120" s="30" t="s">
        <v>76</v>
      </c>
      <c r="DM120" s="30" t="s">
        <v>77</v>
      </c>
      <c r="DN120" s="30" t="s">
        <v>78</v>
      </c>
      <c r="DO120" s="30" t="s">
        <v>112</v>
      </c>
      <c r="DP120" s="30" t="s">
        <v>67</v>
      </c>
      <c r="DQ120" s="30" t="s">
        <v>68</v>
      </c>
      <c r="DR120" s="30" t="s">
        <v>69</v>
      </c>
      <c r="DS120" s="30" t="s">
        <v>70</v>
      </c>
      <c r="DT120" s="30" t="s">
        <v>71</v>
      </c>
      <c r="DU120" s="30" t="s">
        <v>72</v>
      </c>
      <c r="DV120" s="30" t="s">
        <v>73</v>
      </c>
      <c r="DW120" s="30" t="s">
        <v>74</v>
      </c>
      <c r="DX120" s="30" t="s">
        <v>75</v>
      </c>
      <c r="DY120" s="30" t="s">
        <v>76</v>
      </c>
      <c r="DZ120" s="30" t="s">
        <v>77</v>
      </c>
      <c r="EA120" s="30" t="s">
        <v>78</v>
      </c>
      <c r="EB120" s="30" t="s">
        <v>113</v>
      </c>
      <c r="EC120" s="30" t="s">
        <v>67</v>
      </c>
      <c r="ED120" s="30" t="s">
        <v>68</v>
      </c>
      <c r="EE120" s="30" t="s">
        <v>69</v>
      </c>
      <c r="EF120" s="30" t="s">
        <v>70</v>
      </c>
      <c r="EG120" s="30" t="s">
        <v>71</v>
      </c>
      <c r="EH120" s="30" t="s">
        <v>72</v>
      </c>
      <c r="EI120" s="30" t="s">
        <v>73</v>
      </c>
      <c r="EJ120" s="30" t="s">
        <v>74</v>
      </c>
      <c r="EK120" s="30" t="s">
        <v>75</v>
      </c>
      <c r="EL120" s="30" t="s">
        <v>76</v>
      </c>
      <c r="EM120" s="30" t="s">
        <v>77</v>
      </c>
      <c r="EN120" s="30" t="s">
        <v>78</v>
      </c>
      <c r="EO120" s="30" t="s">
        <v>114</v>
      </c>
      <c r="EP120" s="30" t="s">
        <v>67</v>
      </c>
      <c r="EQ120" s="30" t="s">
        <v>68</v>
      </c>
      <c r="ER120" s="30" t="s">
        <v>69</v>
      </c>
      <c r="ES120" s="30" t="s">
        <v>70</v>
      </c>
      <c r="ET120" s="30" t="s">
        <v>71</v>
      </c>
      <c r="EU120" s="30" t="s">
        <v>72</v>
      </c>
      <c r="EV120" s="30" t="s">
        <v>73</v>
      </c>
      <c r="EW120" s="30" t="s">
        <v>74</v>
      </c>
      <c r="EX120" s="30" t="s">
        <v>75</v>
      </c>
      <c r="EY120" s="30" t="s">
        <v>76</v>
      </c>
      <c r="EZ120" s="30" t="s">
        <v>77</v>
      </c>
      <c r="FA120" s="30" t="s">
        <v>78</v>
      </c>
      <c r="FB120" s="30" t="s">
        <v>115</v>
      </c>
      <c r="FC120" s="30" t="s">
        <v>67</v>
      </c>
      <c r="FD120" s="30" t="s">
        <v>68</v>
      </c>
      <c r="FE120" s="30" t="s">
        <v>69</v>
      </c>
      <c r="FF120" s="30" t="s">
        <v>70</v>
      </c>
      <c r="FG120" s="30" t="s">
        <v>71</v>
      </c>
      <c r="FH120" s="30" t="s">
        <v>72</v>
      </c>
      <c r="FI120" s="30" t="s">
        <v>73</v>
      </c>
      <c r="FJ120" s="30" t="s">
        <v>74</v>
      </c>
      <c r="FK120" s="30" t="s">
        <v>75</v>
      </c>
      <c r="FL120" s="30" t="s">
        <v>76</v>
      </c>
      <c r="FM120" s="30" t="s">
        <v>77</v>
      </c>
      <c r="FN120" s="30" t="s">
        <v>78</v>
      </c>
      <c r="FO120" s="30" t="s">
        <v>116</v>
      </c>
    </row>
    <row r="121" spans="2:171" x14ac:dyDescent="0.3">
      <c r="B121" s="7" t="s">
        <v>46</v>
      </c>
      <c r="C121" s="9">
        <v>422169</v>
      </c>
      <c r="D121" s="9">
        <v>444108</v>
      </c>
      <c r="E121" s="9">
        <v>445340</v>
      </c>
      <c r="F121" s="9">
        <v>477775</v>
      </c>
      <c r="G121" s="9">
        <v>633638</v>
      </c>
      <c r="H121" s="9">
        <v>724368</v>
      </c>
      <c r="I121" s="9">
        <v>983424</v>
      </c>
      <c r="J121" s="9">
        <v>1586974</v>
      </c>
      <c r="K121" s="9">
        <v>2667913</v>
      </c>
      <c r="L121" s="9">
        <v>2751384</v>
      </c>
      <c r="M121" s="9">
        <v>2998974</v>
      </c>
      <c r="N121" s="9">
        <v>4738261</v>
      </c>
      <c r="O121" s="31">
        <v>4738261</v>
      </c>
      <c r="P121" s="9">
        <v>10936</v>
      </c>
      <c r="Q121" s="9">
        <v>426215</v>
      </c>
      <c r="R121" s="9">
        <v>550374</v>
      </c>
      <c r="S121" s="9">
        <v>821173</v>
      </c>
      <c r="T121" s="9">
        <v>902935</v>
      </c>
      <c r="U121" s="9">
        <v>1267993</v>
      </c>
      <c r="V121" s="9">
        <v>1375955</v>
      </c>
      <c r="W121" s="9">
        <v>1538815</v>
      </c>
      <c r="X121" s="9">
        <v>1815009</v>
      </c>
      <c r="Y121" s="9">
        <v>2010930</v>
      </c>
      <c r="Z121" s="9">
        <v>2168163</v>
      </c>
      <c r="AA121" s="9">
        <v>4686893</v>
      </c>
      <c r="AB121" s="31">
        <v>4686893</v>
      </c>
      <c r="AC121" s="9">
        <v>5551</v>
      </c>
      <c r="AD121" s="9">
        <v>296365</v>
      </c>
      <c r="AE121" s="9">
        <v>466403</v>
      </c>
      <c r="AF121" s="9">
        <v>613199</v>
      </c>
      <c r="AG121" s="9">
        <v>850801</v>
      </c>
      <c r="AH121" s="9">
        <v>1172253</v>
      </c>
      <c r="AI121" s="9">
        <v>1182017</v>
      </c>
      <c r="AJ121" s="9">
        <v>1326611</v>
      </c>
      <c r="AK121" s="9">
        <v>1381089</v>
      </c>
      <c r="AL121" s="9">
        <v>1490358</v>
      </c>
      <c r="AM121" s="9">
        <v>1663235</v>
      </c>
      <c r="AN121" s="9">
        <v>3778957</v>
      </c>
      <c r="AO121" s="31">
        <v>3778957</v>
      </c>
      <c r="AP121" s="9">
        <v>94</v>
      </c>
      <c r="AQ121" s="9">
        <v>572634</v>
      </c>
      <c r="AR121" s="9">
        <v>658919</v>
      </c>
      <c r="AS121" s="9">
        <v>776809</v>
      </c>
      <c r="AT121" s="9">
        <v>894008</v>
      </c>
      <c r="AU121" s="9">
        <v>1018981</v>
      </c>
      <c r="AV121" s="9">
        <v>1172020</v>
      </c>
      <c r="AW121" s="9">
        <v>1332726</v>
      </c>
      <c r="AX121" s="9">
        <v>1434776</v>
      </c>
      <c r="AY121" s="9">
        <v>2045574</v>
      </c>
      <c r="AZ121" s="9">
        <v>2455835</v>
      </c>
      <c r="BA121" s="9">
        <v>4324940</v>
      </c>
      <c r="BB121" s="31">
        <v>4324940</v>
      </c>
      <c r="BC121" s="9">
        <v>630</v>
      </c>
      <c r="BD121" s="9">
        <v>73428</v>
      </c>
      <c r="BE121" s="9">
        <v>787757</v>
      </c>
      <c r="BF121" s="9">
        <v>828417</v>
      </c>
      <c r="BG121" s="9">
        <v>1069915</v>
      </c>
      <c r="BH121" s="9">
        <v>1248977</v>
      </c>
      <c r="BI121" s="9">
        <v>1437263</v>
      </c>
      <c r="BJ121" s="9">
        <v>1593427</v>
      </c>
      <c r="BK121" s="9">
        <v>1774398</v>
      </c>
      <c r="BL121" s="9">
        <v>1926977</v>
      </c>
      <c r="BM121" s="9">
        <v>2152079</v>
      </c>
      <c r="BN121" s="9">
        <v>3964693</v>
      </c>
      <c r="BO121" s="31">
        <v>3964693</v>
      </c>
      <c r="BP121" s="9">
        <v>48408</v>
      </c>
      <c r="BQ121" s="9">
        <v>108457</v>
      </c>
      <c r="BR121" s="9">
        <v>918488</v>
      </c>
      <c r="BS121" s="9">
        <v>1269969</v>
      </c>
      <c r="BT121" s="9">
        <v>1366541</v>
      </c>
      <c r="BU121" s="9">
        <v>1563165</v>
      </c>
      <c r="BV121" s="9">
        <v>1640616</v>
      </c>
      <c r="BW121" s="9">
        <v>1792592</v>
      </c>
      <c r="BX121" s="9">
        <v>1842670</v>
      </c>
      <c r="BY121" s="9">
        <v>1905518</v>
      </c>
      <c r="BZ121" s="9">
        <v>2465408</v>
      </c>
      <c r="CA121" s="9">
        <v>3455898</v>
      </c>
      <c r="CB121" s="31">
        <v>3455898</v>
      </c>
      <c r="CC121" s="9">
        <v>1964</v>
      </c>
      <c r="CD121" s="9">
        <v>840413</v>
      </c>
      <c r="CE121" s="9">
        <v>845579</v>
      </c>
      <c r="CF121" s="9">
        <v>984284</v>
      </c>
      <c r="CG121" s="9">
        <v>1453495</v>
      </c>
      <c r="CH121" s="9">
        <v>1503250</v>
      </c>
      <c r="CI121" s="9">
        <v>1508547</v>
      </c>
      <c r="CJ121" s="9">
        <v>1522993</v>
      </c>
      <c r="CK121" s="9">
        <v>1628616</v>
      </c>
      <c r="CL121" s="9">
        <v>1686965</v>
      </c>
      <c r="CM121" s="9">
        <v>1761390</v>
      </c>
      <c r="CN121" s="9">
        <v>2841252</v>
      </c>
      <c r="CO121" s="31">
        <v>2841252</v>
      </c>
      <c r="CP121" s="9">
        <v>26183</v>
      </c>
      <c r="CQ121" s="9">
        <v>376776</v>
      </c>
      <c r="CR121" s="9">
        <v>378279</v>
      </c>
      <c r="CS121" s="9">
        <v>446136</v>
      </c>
      <c r="CT121" s="9">
        <v>453034</v>
      </c>
      <c r="CU121" s="9">
        <v>1329874</v>
      </c>
      <c r="CV121" s="9">
        <v>1345317</v>
      </c>
      <c r="CW121" s="9">
        <v>1387391</v>
      </c>
      <c r="CX121" s="9">
        <v>1462746</v>
      </c>
      <c r="CY121" s="9">
        <v>1495877</v>
      </c>
      <c r="CZ121" s="9">
        <v>1511001</v>
      </c>
      <c r="DA121" s="9">
        <v>2707796</v>
      </c>
      <c r="DB121" s="31">
        <v>2707796</v>
      </c>
      <c r="DC121" s="9">
        <v>68886</v>
      </c>
      <c r="DD121" s="9">
        <v>69186</v>
      </c>
      <c r="DE121" s="9">
        <v>207582</v>
      </c>
      <c r="DF121" s="9">
        <v>359767</v>
      </c>
      <c r="DG121" s="9">
        <v>366917</v>
      </c>
      <c r="DH121" s="9">
        <v>388085</v>
      </c>
      <c r="DI121" s="9">
        <v>395549</v>
      </c>
      <c r="DJ121" s="9">
        <v>1813710</v>
      </c>
      <c r="DK121" s="9">
        <v>1901113</v>
      </c>
      <c r="DL121" s="9">
        <v>1998202</v>
      </c>
      <c r="DM121" s="9">
        <v>2514049</v>
      </c>
      <c r="DN121" s="9">
        <v>3505429</v>
      </c>
      <c r="DO121" s="31">
        <v>3505429</v>
      </c>
      <c r="DP121" s="9">
        <v>1250846</v>
      </c>
      <c r="DQ121" s="9">
        <v>1392713</v>
      </c>
      <c r="DR121" s="9">
        <v>1433256</v>
      </c>
      <c r="DS121" s="9">
        <v>1483029</v>
      </c>
      <c r="DT121" s="9">
        <v>1517815</v>
      </c>
      <c r="DU121" s="9">
        <v>1680447</v>
      </c>
      <c r="DV121" s="9">
        <v>1709872</v>
      </c>
      <c r="DW121" s="9">
        <v>1904712</v>
      </c>
      <c r="DX121" s="9">
        <v>1943485</v>
      </c>
      <c r="DY121" s="9">
        <v>2116599</v>
      </c>
      <c r="DZ121" s="9">
        <v>2749373</v>
      </c>
      <c r="EA121" s="9">
        <v>3241192</v>
      </c>
      <c r="EB121" s="31">
        <v>3241192</v>
      </c>
      <c r="EC121" s="9">
        <v>1473303</v>
      </c>
      <c r="ED121" s="9">
        <v>1473303</v>
      </c>
      <c r="EE121" s="9">
        <v>1611277</v>
      </c>
      <c r="EF121" s="9">
        <v>1631762</v>
      </c>
      <c r="EG121" s="9">
        <v>1747004</v>
      </c>
      <c r="EH121" s="9">
        <v>1751284</v>
      </c>
      <c r="EI121" s="9">
        <v>1863427</v>
      </c>
      <c r="EJ121" s="9">
        <v>2013570</v>
      </c>
      <c r="EK121" s="9">
        <v>2045198</v>
      </c>
      <c r="EL121" s="9">
        <v>2070666</v>
      </c>
      <c r="EM121" s="9">
        <v>2651552</v>
      </c>
      <c r="EN121" s="9">
        <v>3071041</v>
      </c>
      <c r="EO121" s="31">
        <v>3071041</v>
      </c>
      <c r="EP121" s="9">
        <v>0</v>
      </c>
      <c r="EQ121" s="9">
        <v>757870</v>
      </c>
      <c r="ER121" s="9">
        <v>826766</v>
      </c>
      <c r="ES121" s="9">
        <v>839136</v>
      </c>
      <c r="ET121" s="9">
        <v>878206</v>
      </c>
      <c r="EU121" s="9">
        <v>887434</v>
      </c>
      <c r="EV121" s="9">
        <v>948168</v>
      </c>
      <c r="EW121" s="9">
        <v>2168256</v>
      </c>
      <c r="EX121" s="9">
        <v>2230134</v>
      </c>
      <c r="EY121" s="9">
        <v>2896737</v>
      </c>
      <c r="EZ121" s="9">
        <v>3126309</v>
      </c>
      <c r="FA121" s="9">
        <v>4077223</v>
      </c>
      <c r="FB121" s="31">
        <v>4077223</v>
      </c>
      <c r="FC121" s="9">
        <v>1719166</v>
      </c>
      <c r="FD121" s="9">
        <v>1719166</v>
      </c>
      <c r="FE121" s="9">
        <v>1866021</v>
      </c>
      <c r="FF121" s="9">
        <v>1873924</v>
      </c>
      <c r="FG121" s="9">
        <v>1910136</v>
      </c>
      <c r="FH121" s="9">
        <v>1978750</v>
      </c>
      <c r="FI121" s="9">
        <v>1989460</v>
      </c>
      <c r="FJ121" s="9">
        <v>1989460</v>
      </c>
      <c r="FK121" s="9">
        <v>1989460</v>
      </c>
      <c r="FL121" s="9">
        <v>1989460</v>
      </c>
      <c r="FM121" s="9">
        <v>1989460</v>
      </c>
      <c r="FN121" s="9">
        <v>1989460</v>
      </c>
      <c r="FO121" s="31">
        <v>1989460</v>
      </c>
    </row>
    <row r="122" spans="2:171" x14ac:dyDescent="0.3">
      <c r="B122" s="7" t="s">
        <v>47</v>
      </c>
      <c r="C122" s="9">
        <v>0</v>
      </c>
      <c r="D122" s="9">
        <v>0</v>
      </c>
      <c r="E122" s="9">
        <v>0</v>
      </c>
      <c r="F122" s="9">
        <v>571</v>
      </c>
      <c r="G122" s="9">
        <v>4502</v>
      </c>
      <c r="H122" s="9">
        <v>4502</v>
      </c>
      <c r="I122" s="9">
        <v>4502</v>
      </c>
      <c r="J122" s="9">
        <v>4502</v>
      </c>
      <c r="K122" s="9">
        <v>6613</v>
      </c>
      <c r="L122" s="9">
        <v>15132</v>
      </c>
      <c r="M122" s="9">
        <v>18057</v>
      </c>
      <c r="N122" s="9">
        <v>54509</v>
      </c>
      <c r="O122" s="31">
        <v>54509</v>
      </c>
      <c r="P122" s="9">
        <v>1148</v>
      </c>
      <c r="Q122" s="9">
        <v>1663</v>
      </c>
      <c r="R122" s="9">
        <v>1959</v>
      </c>
      <c r="S122" s="9">
        <v>4974</v>
      </c>
      <c r="T122" s="9">
        <v>8107</v>
      </c>
      <c r="U122" s="9">
        <v>11843</v>
      </c>
      <c r="V122" s="9">
        <v>14144</v>
      </c>
      <c r="W122" s="9">
        <v>14605</v>
      </c>
      <c r="X122" s="9">
        <v>16558</v>
      </c>
      <c r="Y122" s="9">
        <v>20587</v>
      </c>
      <c r="Z122" s="9">
        <v>23715</v>
      </c>
      <c r="AA122" s="9">
        <v>116084</v>
      </c>
      <c r="AB122" s="31">
        <v>116084</v>
      </c>
      <c r="AC122" s="9">
        <v>0</v>
      </c>
      <c r="AD122" s="9">
        <v>265</v>
      </c>
      <c r="AE122" s="9">
        <v>822</v>
      </c>
      <c r="AF122" s="9">
        <v>4719</v>
      </c>
      <c r="AG122" s="9">
        <v>15084</v>
      </c>
      <c r="AH122" s="9">
        <v>18752</v>
      </c>
      <c r="AI122" s="9">
        <v>21882</v>
      </c>
      <c r="AJ122" s="9">
        <v>24062</v>
      </c>
      <c r="AK122" s="9">
        <v>25174</v>
      </c>
      <c r="AL122" s="9">
        <v>25979</v>
      </c>
      <c r="AM122" s="9">
        <v>40465</v>
      </c>
      <c r="AN122" s="9">
        <v>58288</v>
      </c>
      <c r="AO122" s="31">
        <v>58288</v>
      </c>
      <c r="AP122" s="9">
        <v>0</v>
      </c>
      <c r="AQ122" s="9">
        <v>0</v>
      </c>
      <c r="AR122" s="9">
        <v>267</v>
      </c>
      <c r="AS122" s="9">
        <v>267</v>
      </c>
      <c r="AT122" s="9">
        <v>1671</v>
      </c>
      <c r="AU122" s="9">
        <v>12278</v>
      </c>
      <c r="AV122" s="9">
        <v>20121</v>
      </c>
      <c r="AW122" s="9">
        <v>34013</v>
      </c>
      <c r="AX122" s="9">
        <v>36915</v>
      </c>
      <c r="AY122" s="9">
        <v>40477</v>
      </c>
      <c r="AZ122" s="9">
        <v>44486</v>
      </c>
      <c r="BA122" s="9">
        <v>78850</v>
      </c>
      <c r="BB122" s="31">
        <v>78850</v>
      </c>
      <c r="BC122" s="9">
        <v>604</v>
      </c>
      <c r="BD122" s="9">
        <v>730</v>
      </c>
      <c r="BE122" s="9">
        <v>809</v>
      </c>
      <c r="BF122" s="9">
        <v>2541</v>
      </c>
      <c r="BG122" s="9">
        <v>23084</v>
      </c>
      <c r="BH122" s="9">
        <v>31438</v>
      </c>
      <c r="BI122" s="9">
        <v>37623</v>
      </c>
      <c r="BJ122" s="9">
        <v>39114</v>
      </c>
      <c r="BK122" s="9">
        <v>39594</v>
      </c>
      <c r="BL122" s="9">
        <v>41149</v>
      </c>
      <c r="BM122" s="9">
        <v>78765</v>
      </c>
      <c r="BN122" s="9">
        <v>89836</v>
      </c>
      <c r="BO122" s="31">
        <v>89836</v>
      </c>
      <c r="BP122" s="9">
        <v>6682</v>
      </c>
      <c r="BQ122" s="9">
        <v>6682</v>
      </c>
      <c r="BR122" s="9">
        <v>6682</v>
      </c>
      <c r="BS122" s="9">
        <v>6682</v>
      </c>
      <c r="BT122" s="9">
        <v>6682</v>
      </c>
      <c r="BU122" s="9">
        <v>10321</v>
      </c>
      <c r="BV122" s="9">
        <v>20806</v>
      </c>
      <c r="BW122" s="9">
        <v>30440</v>
      </c>
      <c r="BX122" s="9">
        <v>35775</v>
      </c>
      <c r="BY122" s="9">
        <v>48263</v>
      </c>
      <c r="BZ122" s="9">
        <v>59498</v>
      </c>
      <c r="CA122" s="9">
        <v>141241</v>
      </c>
      <c r="CB122" s="31">
        <v>141241</v>
      </c>
      <c r="CC122" s="9">
        <v>1583</v>
      </c>
      <c r="CD122" s="9">
        <v>1872</v>
      </c>
      <c r="CE122" s="9">
        <v>2138</v>
      </c>
      <c r="CF122" s="9">
        <v>2421</v>
      </c>
      <c r="CG122" s="9">
        <v>4331</v>
      </c>
      <c r="CH122" s="9">
        <v>11456</v>
      </c>
      <c r="CI122" s="9">
        <v>11938</v>
      </c>
      <c r="CJ122" s="9">
        <v>14278</v>
      </c>
      <c r="CK122" s="9">
        <v>14278</v>
      </c>
      <c r="CL122" s="9">
        <v>26963</v>
      </c>
      <c r="CM122" s="9">
        <v>34062</v>
      </c>
      <c r="CN122" s="9">
        <v>135737</v>
      </c>
      <c r="CO122" s="31">
        <v>135737</v>
      </c>
      <c r="CP122" s="9">
        <v>0</v>
      </c>
      <c r="CQ122" s="9">
        <v>1597</v>
      </c>
      <c r="CR122" s="9">
        <v>4453</v>
      </c>
      <c r="CS122" s="9">
        <v>17905</v>
      </c>
      <c r="CT122" s="9">
        <v>21835</v>
      </c>
      <c r="CU122" s="9">
        <v>29163</v>
      </c>
      <c r="CV122" s="9">
        <v>31462</v>
      </c>
      <c r="CW122" s="9">
        <v>38083</v>
      </c>
      <c r="CX122" s="9">
        <v>43795</v>
      </c>
      <c r="CY122" s="9">
        <v>47640</v>
      </c>
      <c r="CZ122" s="9">
        <v>53369</v>
      </c>
      <c r="DA122" s="9">
        <v>74077</v>
      </c>
      <c r="DB122" s="31">
        <v>74077</v>
      </c>
      <c r="DC122" s="9">
        <v>0</v>
      </c>
      <c r="DD122" s="9">
        <v>0</v>
      </c>
      <c r="DE122" s="9">
        <v>0</v>
      </c>
      <c r="DF122" s="9">
        <v>59</v>
      </c>
      <c r="DG122" s="9">
        <v>1565</v>
      </c>
      <c r="DH122" s="9">
        <v>2140</v>
      </c>
      <c r="DI122" s="9">
        <v>4991</v>
      </c>
      <c r="DJ122" s="9">
        <v>5415</v>
      </c>
      <c r="DK122" s="9">
        <v>7518</v>
      </c>
      <c r="DL122" s="9">
        <v>16518</v>
      </c>
      <c r="DM122" s="9">
        <v>26888</v>
      </c>
      <c r="DN122" s="9">
        <v>33214</v>
      </c>
      <c r="DO122" s="31">
        <v>33214</v>
      </c>
      <c r="DP122" s="9">
        <v>0</v>
      </c>
      <c r="DQ122" s="9">
        <v>0</v>
      </c>
      <c r="DR122" s="9">
        <v>0</v>
      </c>
      <c r="DS122" s="9">
        <v>0</v>
      </c>
      <c r="DT122" s="9">
        <v>0</v>
      </c>
      <c r="DU122" s="9">
        <v>0</v>
      </c>
      <c r="DV122" s="9">
        <v>0</v>
      </c>
      <c r="DW122" s="9">
        <v>0</v>
      </c>
      <c r="DX122" s="9">
        <v>0</v>
      </c>
      <c r="DY122" s="9">
        <v>0</v>
      </c>
      <c r="DZ122" s="9">
        <v>0</v>
      </c>
      <c r="EA122" s="9">
        <v>0</v>
      </c>
      <c r="EB122" s="31">
        <v>0</v>
      </c>
      <c r="EC122" s="9">
        <v>0</v>
      </c>
      <c r="ED122" s="9">
        <v>0</v>
      </c>
      <c r="EE122" s="9">
        <v>0</v>
      </c>
      <c r="EF122" s="9">
        <v>0</v>
      </c>
      <c r="EG122" s="9">
        <v>0</v>
      </c>
      <c r="EH122" s="9">
        <v>0</v>
      </c>
      <c r="EI122" s="9">
        <v>0</v>
      </c>
      <c r="EJ122" s="9">
        <v>0</v>
      </c>
      <c r="EK122" s="9">
        <v>0</v>
      </c>
      <c r="EL122" s="9">
        <v>56899</v>
      </c>
      <c r="EM122" s="9">
        <v>103913</v>
      </c>
      <c r="EN122" s="9">
        <v>240208</v>
      </c>
      <c r="EO122" s="31">
        <v>240208</v>
      </c>
      <c r="EP122" s="9">
        <v>0</v>
      </c>
      <c r="EQ122" s="9">
        <v>0</v>
      </c>
      <c r="ER122" s="9">
        <v>144</v>
      </c>
      <c r="ES122" s="9">
        <v>144</v>
      </c>
      <c r="ET122" s="9">
        <v>144</v>
      </c>
      <c r="EU122" s="9">
        <v>144</v>
      </c>
      <c r="EV122" s="9">
        <v>144</v>
      </c>
      <c r="EW122" s="9">
        <v>144</v>
      </c>
      <c r="EX122" s="9">
        <v>144</v>
      </c>
      <c r="EY122" s="9">
        <v>6463</v>
      </c>
      <c r="EZ122" s="9">
        <v>6723</v>
      </c>
      <c r="FA122" s="9">
        <v>6723</v>
      </c>
      <c r="FB122" s="31">
        <v>6723</v>
      </c>
      <c r="FC122" s="9">
        <v>0</v>
      </c>
      <c r="FD122" s="9">
        <v>0</v>
      </c>
      <c r="FE122" s="9">
        <v>0</v>
      </c>
      <c r="FF122" s="9">
        <v>0</v>
      </c>
      <c r="FG122" s="9">
        <v>0</v>
      </c>
      <c r="FH122" s="9">
        <v>0</v>
      </c>
      <c r="FI122" s="9">
        <v>0</v>
      </c>
      <c r="FJ122" s="9">
        <v>0</v>
      </c>
      <c r="FK122" s="9">
        <v>0</v>
      </c>
      <c r="FL122" s="9">
        <v>0</v>
      </c>
      <c r="FM122" s="9">
        <v>0</v>
      </c>
      <c r="FN122" s="9">
        <v>0</v>
      </c>
      <c r="FO122" s="31">
        <v>0</v>
      </c>
    </row>
    <row r="123" spans="2:171" x14ac:dyDescent="0.3">
      <c r="B123" s="7" t="s">
        <v>48</v>
      </c>
      <c r="C123" s="9">
        <v>0</v>
      </c>
      <c r="D123" s="9">
        <v>0</v>
      </c>
      <c r="E123" s="9">
        <v>526</v>
      </c>
      <c r="F123" s="9">
        <v>526</v>
      </c>
      <c r="G123" s="9">
        <v>960</v>
      </c>
      <c r="H123" s="9">
        <v>6065</v>
      </c>
      <c r="I123" s="9">
        <v>6540</v>
      </c>
      <c r="J123" s="9">
        <v>6540</v>
      </c>
      <c r="K123" s="9">
        <v>6540</v>
      </c>
      <c r="L123" s="9">
        <v>10719</v>
      </c>
      <c r="M123" s="9">
        <v>5236378</v>
      </c>
      <c r="N123" s="9">
        <v>5253611</v>
      </c>
      <c r="O123" s="31">
        <v>5253611</v>
      </c>
      <c r="P123" s="9">
        <v>0</v>
      </c>
      <c r="Q123" s="9">
        <v>0</v>
      </c>
      <c r="R123" s="9">
        <v>0</v>
      </c>
      <c r="S123" s="9">
        <v>218</v>
      </c>
      <c r="T123" s="9">
        <v>437</v>
      </c>
      <c r="U123" s="9">
        <v>1439</v>
      </c>
      <c r="V123" s="9">
        <v>1925</v>
      </c>
      <c r="W123" s="9">
        <v>1925</v>
      </c>
      <c r="X123" s="9">
        <v>1925</v>
      </c>
      <c r="Y123" s="9">
        <v>2613</v>
      </c>
      <c r="Z123" s="9">
        <v>2613</v>
      </c>
      <c r="AA123" s="9">
        <v>3795107</v>
      </c>
      <c r="AB123" s="31">
        <v>3795107</v>
      </c>
      <c r="AC123" s="9">
        <v>0</v>
      </c>
      <c r="AD123" s="9">
        <v>0</v>
      </c>
      <c r="AE123" s="9">
        <v>0</v>
      </c>
      <c r="AF123" s="9">
        <v>3987</v>
      </c>
      <c r="AG123" s="9">
        <v>4351</v>
      </c>
      <c r="AH123" s="9">
        <v>5624</v>
      </c>
      <c r="AI123" s="9">
        <v>5624</v>
      </c>
      <c r="AJ123" s="9">
        <v>6100</v>
      </c>
      <c r="AK123" s="9">
        <v>7405</v>
      </c>
      <c r="AL123" s="9">
        <v>7405</v>
      </c>
      <c r="AM123" s="9">
        <v>179014</v>
      </c>
      <c r="AN123" s="9">
        <v>203225</v>
      </c>
      <c r="AO123" s="31">
        <v>203225</v>
      </c>
      <c r="AP123" s="9">
        <v>70</v>
      </c>
      <c r="AQ123" s="9">
        <v>70</v>
      </c>
      <c r="AR123" s="9">
        <v>731</v>
      </c>
      <c r="AS123" s="9">
        <v>1200</v>
      </c>
      <c r="AT123" s="9">
        <v>1652</v>
      </c>
      <c r="AU123" s="9">
        <v>1652</v>
      </c>
      <c r="AV123" s="9">
        <v>1652</v>
      </c>
      <c r="AW123" s="9">
        <v>1652</v>
      </c>
      <c r="AX123" s="9">
        <v>2442</v>
      </c>
      <c r="AY123" s="9">
        <v>5023</v>
      </c>
      <c r="AZ123" s="9">
        <v>253844</v>
      </c>
      <c r="BA123" s="9">
        <v>384950</v>
      </c>
      <c r="BB123" s="31">
        <v>384950</v>
      </c>
      <c r="BC123" s="9">
        <v>0</v>
      </c>
      <c r="BD123" s="9">
        <v>0</v>
      </c>
      <c r="BE123" s="9">
        <v>1928</v>
      </c>
      <c r="BF123" s="9">
        <v>1928</v>
      </c>
      <c r="BG123" s="9">
        <v>3050</v>
      </c>
      <c r="BH123" s="9">
        <v>3226</v>
      </c>
      <c r="BI123" s="9">
        <v>4695</v>
      </c>
      <c r="BJ123" s="9">
        <v>5064</v>
      </c>
      <c r="BK123" s="9">
        <v>5873</v>
      </c>
      <c r="BL123" s="9">
        <v>9516</v>
      </c>
      <c r="BM123" s="9">
        <v>11174</v>
      </c>
      <c r="BN123" s="9">
        <v>14880</v>
      </c>
      <c r="BO123" s="31">
        <v>14880</v>
      </c>
      <c r="BP123" s="9">
        <v>0</v>
      </c>
      <c r="BQ123" s="9">
        <v>2081</v>
      </c>
      <c r="BR123" s="9">
        <v>2081</v>
      </c>
      <c r="BS123" s="9">
        <v>2081</v>
      </c>
      <c r="BT123" s="9">
        <v>4167</v>
      </c>
      <c r="BU123" s="9">
        <v>4167</v>
      </c>
      <c r="BV123" s="9">
        <v>5000</v>
      </c>
      <c r="BW123" s="9">
        <v>5000</v>
      </c>
      <c r="BX123" s="9">
        <v>6000</v>
      </c>
      <c r="BY123" s="9">
        <v>6000</v>
      </c>
      <c r="BZ123" s="9">
        <v>7070</v>
      </c>
      <c r="CA123" s="9">
        <v>160994</v>
      </c>
      <c r="CB123" s="31">
        <v>160994</v>
      </c>
      <c r="CC123" s="9">
        <v>0</v>
      </c>
      <c r="CD123" s="9">
        <v>0</v>
      </c>
      <c r="CE123" s="9">
        <v>0</v>
      </c>
      <c r="CF123" s="9">
        <v>0</v>
      </c>
      <c r="CG123" s="9">
        <v>452</v>
      </c>
      <c r="CH123" s="9">
        <v>452</v>
      </c>
      <c r="CI123" s="9">
        <v>1242</v>
      </c>
      <c r="CJ123" s="9">
        <v>1242</v>
      </c>
      <c r="CK123" s="9">
        <v>2133</v>
      </c>
      <c r="CL123" s="9">
        <v>2464</v>
      </c>
      <c r="CM123" s="9">
        <v>85596</v>
      </c>
      <c r="CN123" s="9">
        <v>94477</v>
      </c>
      <c r="CO123" s="31">
        <v>94477</v>
      </c>
      <c r="CP123" s="9">
        <v>0</v>
      </c>
      <c r="CQ123" s="9">
        <v>0</v>
      </c>
      <c r="CR123" s="9">
        <v>0</v>
      </c>
      <c r="CS123" s="9">
        <v>0</v>
      </c>
      <c r="CT123" s="9">
        <v>0</v>
      </c>
      <c r="CU123" s="9">
        <v>0</v>
      </c>
      <c r="CV123" s="9">
        <v>1263</v>
      </c>
      <c r="CW123" s="9">
        <v>1263</v>
      </c>
      <c r="CX123" s="9">
        <v>1263</v>
      </c>
      <c r="CY123" s="9">
        <v>1263</v>
      </c>
      <c r="CZ123" s="9">
        <v>3499</v>
      </c>
      <c r="DA123" s="9">
        <v>6240429</v>
      </c>
      <c r="DB123" s="31">
        <v>6240429</v>
      </c>
      <c r="DC123" s="9">
        <v>0</v>
      </c>
      <c r="DD123" s="9">
        <v>0</v>
      </c>
      <c r="DE123" s="9">
        <v>0</v>
      </c>
      <c r="DF123" s="9">
        <v>0</v>
      </c>
      <c r="DG123" s="9">
        <v>0</v>
      </c>
      <c r="DH123" s="9">
        <v>0</v>
      </c>
      <c r="DI123" s="9">
        <v>0</v>
      </c>
      <c r="DJ123" s="9">
        <v>0</v>
      </c>
      <c r="DK123" s="9">
        <v>0</v>
      </c>
      <c r="DL123" s="9">
        <v>0</v>
      </c>
      <c r="DM123" s="9">
        <v>0</v>
      </c>
      <c r="DN123" s="9">
        <v>9315642</v>
      </c>
      <c r="DO123" s="31">
        <v>9315642</v>
      </c>
      <c r="DP123" s="9">
        <v>0</v>
      </c>
      <c r="DQ123" s="9">
        <v>0</v>
      </c>
      <c r="DR123" s="9">
        <v>0</v>
      </c>
      <c r="DS123" s="9">
        <v>0</v>
      </c>
      <c r="DT123" s="9">
        <v>0</v>
      </c>
      <c r="DU123" s="9">
        <v>0</v>
      </c>
      <c r="DV123" s="9">
        <v>0</v>
      </c>
      <c r="DW123" s="9">
        <v>0</v>
      </c>
      <c r="DX123" s="9">
        <v>0</v>
      </c>
      <c r="DY123" s="9">
        <v>0</v>
      </c>
      <c r="DZ123" s="9">
        <v>0</v>
      </c>
      <c r="EA123" s="9">
        <v>0</v>
      </c>
      <c r="EB123" s="31">
        <v>0</v>
      </c>
      <c r="EC123" s="9">
        <v>0</v>
      </c>
      <c r="ED123" s="9">
        <v>0</v>
      </c>
      <c r="EE123" s="9">
        <v>0</v>
      </c>
      <c r="EF123" s="9">
        <v>0</v>
      </c>
      <c r="EG123" s="9">
        <v>0</v>
      </c>
      <c r="EH123" s="9">
        <v>0</v>
      </c>
      <c r="EI123" s="9">
        <v>0</v>
      </c>
      <c r="EJ123" s="9">
        <v>0</v>
      </c>
      <c r="EK123" s="9">
        <v>0</v>
      </c>
      <c r="EL123" s="9">
        <v>5390</v>
      </c>
      <c r="EM123" s="9">
        <v>5390</v>
      </c>
      <c r="EN123" s="9">
        <v>7431</v>
      </c>
      <c r="EO123" s="31">
        <v>7431</v>
      </c>
      <c r="EP123" s="9">
        <v>0</v>
      </c>
      <c r="EQ123" s="9">
        <v>0</v>
      </c>
      <c r="ER123" s="9">
        <v>0</v>
      </c>
      <c r="ES123" s="9">
        <v>0</v>
      </c>
      <c r="ET123" s="9">
        <v>0</v>
      </c>
      <c r="EU123" s="9">
        <v>0</v>
      </c>
      <c r="EV123" s="9">
        <v>2970</v>
      </c>
      <c r="EW123" s="9">
        <v>2970</v>
      </c>
      <c r="EX123" s="9">
        <v>2970</v>
      </c>
      <c r="EY123" s="9">
        <v>2970</v>
      </c>
      <c r="EZ123" s="9">
        <v>2970</v>
      </c>
      <c r="FA123" s="9">
        <v>2970</v>
      </c>
      <c r="FB123" s="31">
        <v>2970</v>
      </c>
      <c r="FC123" s="9">
        <v>0</v>
      </c>
      <c r="FD123" s="9">
        <v>0</v>
      </c>
      <c r="FE123" s="9">
        <v>0</v>
      </c>
      <c r="FF123" s="9">
        <v>0</v>
      </c>
      <c r="FG123" s="9">
        <v>0</v>
      </c>
      <c r="FH123" s="9">
        <v>0</v>
      </c>
      <c r="FI123" s="9">
        <v>0</v>
      </c>
      <c r="FJ123" s="9">
        <v>0</v>
      </c>
      <c r="FK123" s="9">
        <v>0</v>
      </c>
      <c r="FL123" s="9">
        <v>0</v>
      </c>
      <c r="FM123" s="9">
        <v>0</v>
      </c>
      <c r="FN123" s="9">
        <v>0</v>
      </c>
      <c r="FO123" s="31">
        <v>0</v>
      </c>
    </row>
    <row r="124" spans="2:171" x14ac:dyDescent="0.3">
      <c r="B124" s="7" t="s">
        <v>49</v>
      </c>
      <c r="C124" s="9">
        <v>0</v>
      </c>
      <c r="D124" s="9">
        <v>0</v>
      </c>
      <c r="E124" s="9">
        <v>0</v>
      </c>
      <c r="F124" s="9">
        <v>0</v>
      </c>
      <c r="G124" s="9">
        <v>0</v>
      </c>
      <c r="H124" s="9">
        <v>93</v>
      </c>
      <c r="I124" s="9">
        <v>93</v>
      </c>
      <c r="J124" s="9">
        <v>93</v>
      </c>
      <c r="K124" s="9">
        <v>5526</v>
      </c>
      <c r="L124" s="9">
        <v>5526</v>
      </c>
      <c r="M124" s="9">
        <v>9307</v>
      </c>
      <c r="N124" s="9">
        <v>1673293</v>
      </c>
      <c r="O124" s="31">
        <v>1673293</v>
      </c>
      <c r="P124" s="9">
        <v>0</v>
      </c>
      <c r="Q124" s="9">
        <v>524</v>
      </c>
      <c r="R124" s="9">
        <v>9957</v>
      </c>
      <c r="S124" s="9">
        <v>1537228</v>
      </c>
      <c r="T124" s="9">
        <v>2457537</v>
      </c>
      <c r="U124" s="9">
        <v>2466042</v>
      </c>
      <c r="V124" s="9">
        <v>2693197</v>
      </c>
      <c r="W124" s="9">
        <v>2693531</v>
      </c>
      <c r="X124" s="9">
        <v>4767375</v>
      </c>
      <c r="Y124" s="9">
        <v>4901491</v>
      </c>
      <c r="Z124" s="9">
        <v>9401451</v>
      </c>
      <c r="AA124" s="9">
        <v>11296558</v>
      </c>
      <c r="AB124" s="31">
        <v>11296558</v>
      </c>
      <c r="AC124" s="9">
        <v>0</v>
      </c>
      <c r="AD124" s="9">
        <v>0</v>
      </c>
      <c r="AE124" s="9">
        <v>0</v>
      </c>
      <c r="AF124" s="9">
        <v>16354</v>
      </c>
      <c r="AG124" s="9">
        <v>669658</v>
      </c>
      <c r="AH124" s="9">
        <v>958602</v>
      </c>
      <c r="AI124" s="9">
        <v>1674598</v>
      </c>
      <c r="AJ124" s="9">
        <v>3923128</v>
      </c>
      <c r="AK124" s="9">
        <v>4429619</v>
      </c>
      <c r="AL124" s="9">
        <v>8783332</v>
      </c>
      <c r="AM124" s="9">
        <v>8787832</v>
      </c>
      <c r="AN124" s="9">
        <v>8790874</v>
      </c>
      <c r="AO124" s="31">
        <v>8790874</v>
      </c>
      <c r="AP124" s="9">
        <v>0</v>
      </c>
      <c r="AQ124" s="9">
        <v>157</v>
      </c>
      <c r="AR124" s="9">
        <v>1245</v>
      </c>
      <c r="AS124" s="9">
        <v>1245</v>
      </c>
      <c r="AT124" s="9">
        <v>2750</v>
      </c>
      <c r="AU124" s="9">
        <v>383566</v>
      </c>
      <c r="AV124" s="9">
        <v>488092</v>
      </c>
      <c r="AW124" s="9">
        <v>493837</v>
      </c>
      <c r="AX124" s="9">
        <v>441530</v>
      </c>
      <c r="AY124" s="9">
        <v>456160</v>
      </c>
      <c r="AZ124" s="9">
        <v>456532</v>
      </c>
      <c r="BA124" s="9">
        <v>678235</v>
      </c>
      <c r="BB124" s="31">
        <v>678235</v>
      </c>
      <c r="BC124" s="9">
        <v>970</v>
      </c>
      <c r="BD124" s="9">
        <v>970</v>
      </c>
      <c r="BE124" s="9">
        <v>970</v>
      </c>
      <c r="BF124" s="9">
        <v>1757</v>
      </c>
      <c r="BG124" s="9">
        <v>2694</v>
      </c>
      <c r="BH124" s="9">
        <v>3683</v>
      </c>
      <c r="BI124" s="9">
        <v>3683</v>
      </c>
      <c r="BJ124" s="9">
        <v>4415</v>
      </c>
      <c r="BK124" s="9">
        <v>8487</v>
      </c>
      <c r="BL124" s="9">
        <v>10055</v>
      </c>
      <c r="BM124" s="9">
        <v>12344</v>
      </c>
      <c r="BN124" s="9">
        <v>12498</v>
      </c>
      <c r="BO124" s="31">
        <v>12498</v>
      </c>
      <c r="BP124" s="9">
        <v>0</v>
      </c>
      <c r="BQ124" s="9">
        <v>0</v>
      </c>
      <c r="BR124" s="9">
        <v>4308</v>
      </c>
      <c r="BS124" s="9">
        <v>10837</v>
      </c>
      <c r="BT124" s="9">
        <v>10837</v>
      </c>
      <c r="BU124" s="9">
        <v>13164</v>
      </c>
      <c r="BV124" s="9">
        <v>13164</v>
      </c>
      <c r="BW124" s="9">
        <v>13164</v>
      </c>
      <c r="BX124" s="9">
        <v>13164</v>
      </c>
      <c r="BY124" s="9">
        <v>13164</v>
      </c>
      <c r="BZ124" s="9">
        <v>13164</v>
      </c>
      <c r="CA124" s="9">
        <v>57278</v>
      </c>
      <c r="CB124" s="31">
        <v>57278</v>
      </c>
      <c r="CC124" s="9">
        <v>0</v>
      </c>
      <c r="CD124" s="9">
        <v>0</v>
      </c>
      <c r="CE124" s="9">
        <v>0</v>
      </c>
      <c r="CF124" s="9">
        <v>0</v>
      </c>
      <c r="CG124" s="9">
        <v>1547</v>
      </c>
      <c r="CH124" s="9">
        <v>2869</v>
      </c>
      <c r="CI124" s="9">
        <v>6412</v>
      </c>
      <c r="CJ124" s="9">
        <v>6901</v>
      </c>
      <c r="CK124" s="9">
        <v>7161</v>
      </c>
      <c r="CL124" s="9">
        <v>1973118</v>
      </c>
      <c r="CM124" s="9">
        <v>1973118</v>
      </c>
      <c r="CN124" s="9">
        <v>2119111</v>
      </c>
      <c r="CO124" s="31">
        <v>2119111</v>
      </c>
      <c r="CP124" s="9">
        <v>2885</v>
      </c>
      <c r="CQ124" s="9">
        <v>2885</v>
      </c>
      <c r="CR124" s="9">
        <v>2885</v>
      </c>
      <c r="CS124" s="9">
        <v>4426</v>
      </c>
      <c r="CT124" s="9">
        <v>4426</v>
      </c>
      <c r="CU124" s="9">
        <v>4755</v>
      </c>
      <c r="CV124" s="9">
        <v>10184</v>
      </c>
      <c r="CW124" s="9">
        <v>10184</v>
      </c>
      <c r="CX124" s="9">
        <v>11576</v>
      </c>
      <c r="CY124" s="9">
        <v>11576</v>
      </c>
      <c r="CZ124" s="9">
        <v>37314</v>
      </c>
      <c r="DA124" s="9">
        <v>76373</v>
      </c>
      <c r="DB124" s="31">
        <v>76373</v>
      </c>
      <c r="DC124" s="9">
        <v>0</v>
      </c>
      <c r="DD124" s="9">
        <v>0</v>
      </c>
      <c r="DE124" s="9">
        <v>0</v>
      </c>
      <c r="DF124" s="9">
        <v>0</v>
      </c>
      <c r="DG124" s="9">
        <v>0</v>
      </c>
      <c r="DH124" s="9">
        <v>0</v>
      </c>
      <c r="DI124" s="9">
        <v>0</v>
      </c>
      <c r="DJ124" s="9">
        <v>0</v>
      </c>
      <c r="DK124" s="9">
        <v>0</v>
      </c>
      <c r="DL124" s="9">
        <v>0</v>
      </c>
      <c r="DM124" s="9">
        <v>0</v>
      </c>
      <c r="DN124" s="9">
        <v>0</v>
      </c>
      <c r="DO124" s="31">
        <v>0</v>
      </c>
      <c r="DP124" s="9">
        <v>0</v>
      </c>
      <c r="DQ124" s="9">
        <v>0</v>
      </c>
      <c r="DR124" s="9">
        <v>0</v>
      </c>
      <c r="DS124" s="9">
        <v>0</v>
      </c>
      <c r="DT124" s="9">
        <v>0</v>
      </c>
      <c r="DU124" s="9">
        <v>0</v>
      </c>
      <c r="DV124" s="9">
        <v>0</v>
      </c>
      <c r="DW124" s="9">
        <v>0</v>
      </c>
      <c r="DX124" s="9">
        <v>0</v>
      </c>
      <c r="DY124" s="9">
        <v>0</v>
      </c>
      <c r="DZ124" s="9">
        <v>0</v>
      </c>
      <c r="EA124" s="9">
        <v>3978246</v>
      </c>
      <c r="EB124" s="31">
        <v>3978246</v>
      </c>
      <c r="EC124" s="9">
        <v>0</v>
      </c>
      <c r="ED124" s="9">
        <v>0</v>
      </c>
      <c r="EE124" s="9">
        <v>0</v>
      </c>
      <c r="EF124" s="9">
        <v>0</v>
      </c>
      <c r="EG124" s="9">
        <v>0</v>
      </c>
      <c r="EH124" s="9">
        <v>0</v>
      </c>
      <c r="EI124" s="9">
        <v>655</v>
      </c>
      <c r="EJ124" s="9">
        <v>1663</v>
      </c>
      <c r="EK124" s="9">
        <v>1663</v>
      </c>
      <c r="EL124" s="9">
        <v>1663</v>
      </c>
      <c r="EM124" s="9">
        <v>1663</v>
      </c>
      <c r="EN124" s="9">
        <v>3340</v>
      </c>
      <c r="EO124" s="31">
        <v>3340</v>
      </c>
      <c r="EP124" s="9">
        <v>0</v>
      </c>
      <c r="EQ124" s="9">
        <v>0</v>
      </c>
      <c r="ER124" s="9">
        <v>365</v>
      </c>
      <c r="ES124" s="9">
        <v>365</v>
      </c>
      <c r="ET124" s="9">
        <v>365</v>
      </c>
      <c r="EU124" s="9">
        <v>5357</v>
      </c>
      <c r="EV124" s="9">
        <v>5837</v>
      </c>
      <c r="EW124" s="9">
        <v>5837</v>
      </c>
      <c r="EX124" s="9">
        <v>5837</v>
      </c>
      <c r="EY124" s="9">
        <v>5837</v>
      </c>
      <c r="EZ124" s="9">
        <v>5837</v>
      </c>
      <c r="FA124" s="9">
        <v>5837</v>
      </c>
      <c r="FB124" s="31">
        <v>5837</v>
      </c>
      <c r="FC124" s="9">
        <v>0</v>
      </c>
      <c r="FD124" s="9">
        <v>0</v>
      </c>
      <c r="FE124" s="9">
        <v>0</v>
      </c>
      <c r="FF124" s="9">
        <v>0</v>
      </c>
      <c r="FG124" s="9">
        <v>0</v>
      </c>
      <c r="FH124" s="9">
        <v>0</v>
      </c>
      <c r="FI124" s="9">
        <v>0</v>
      </c>
      <c r="FJ124" s="9">
        <v>0</v>
      </c>
      <c r="FK124" s="9">
        <v>0</v>
      </c>
      <c r="FL124" s="9">
        <v>0</v>
      </c>
      <c r="FM124" s="9">
        <v>0</v>
      </c>
      <c r="FN124" s="9">
        <v>0</v>
      </c>
      <c r="FO124" s="31">
        <v>0</v>
      </c>
    </row>
    <row r="125" spans="2:171" x14ac:dyDescent="0.3">
      <c r="B125" s="7" t="s">
        <v>50</v>
      </c>
      <c r="C125" s="9">
        <v>0</v>
      </c>
      <c r="D125" s="9">
        <v>310</v>
      </c>
      <c r="E125" s="9">
        <v>2953</v>
      </c>
      <c r="F125" s="9">
        <v>3321</v>
      </c>
      <c r="G125" s="9">
        <v>3775</v>
      </c>
      <c r="H125" s="9">
        <v>4125</v>
      </c>
      <c r="I125" s="9">
        <v>4344</v>
      </c>
      <c r="J125" s="9">
        <v>4344</v>
      </c>
      <c r="K125" s="9">
        <v>4874</v>
      </c>
      <c r="L125" s="9">
        <v>5700</v>
      </c>
      <c r="M125" s="9">
        <v>6124</v>
      </c>
      <c r="N125" s="9">
        <v>6702</v>
      </c>
      <c r="O125" s="31">
        <v>6702</v>
      </c>
      <c r="P125" s="9">
        <v>0</v>
      </c>
      <c r="Q125" s="9">
        <v>0</v>
      </c>
      <c r="R125" s="9">
        <v>608</v>
      </c>
      <c r="S125" s="9">
        <v>1198</v>
      </c>
      <c r="T125" s="9">
        <v>1308</v>
      </c>
      <c r="U125" s="9">
        <v>1308</v>
      </c>
      <c r="V125" s="9">
        <v>1308</v>
      </c>
      <c r="W125" s="9">
        <v>2762</v>
      </c>
      <c r="X125" s="9">
        <v>2995</v>
      </c>
      <c r="Y125" s="9">
        <v>2995</v>
      </c>
      <c r="Z125" s="9">
        <v>4018</v>
      </c>
      <c r="AA125" s="9">
        <v>15849</v>
      </c>
      <c r="AB125" s="31">
        <v>15849</v>
      </c>
      <c r="AC125" s="9">
        <v>140</v>
      </c>
      <c r="AD125" s="9">
        <v>522</v>
      </c>
      <c r="AE125" s="9">
        <v>2083</v>
      </c>
      <c r="AF125" s="9">
        <v>5289</v>
      </c>
      <c r="AG125" s="9">
        <v>5289</v>
      </c>
      <c r="AH125" s="9">
        <v>5835</v>
      </c>
      <c r="AI125" s="9">
        <v>5967</v>
      </c>
      <c r="AJ125" s="9">
        <v>5967</v>
      </c>
      <c r="AK125" s="9">
        <v>7319</v>
      </c>
      <c r="AL125" s="9">
        <v>7319</v>
      </c>
      <c r="AM125" s="9">
        <v>8085</v>
      </c>
      <c r="AN125" s="9">
        <v>10034</v>
      </c>
      <c r="AO125" s="31">
        <v>10034</v>
      </c>
      <c r="AP125" s="9">
        <v>78</v>
      </c>
      <c r="AQ125" s="9">
        <v>78</v>
      </c>
      <c r="AR125" s="9">
        <v>213</v>
      </c>
      <c r="AS125" s="9">
        <v>2862</v>
      </c>
      <c r="AT125" s="9">
        <v>3360</v>
      </c>
      <c r="AU125" s="9">
        <v>3360</v>
      </c>
      <c r="AV125" s="9">
        <v>7105</v>
      </c>
      <c r="AW125" s="9">
        <v>7778</v>
      </c>
      <c r="AX125" s="9">
        <v>7778</v>
      </c>
      <c r="AY125" s="9">
        <v>10695</v>
      </c>
      <c r="AZ125" s="9">
        <v>10695</v>
      </c>
      <c r="BA125" s="9">
        <v>1140119</v>
      </c>
      <c r="BB125" s="31">
        <v>1140119</v>
      </c>
      <c r="BC125" s="9">
        <v>0</v>
      </c>
      <c r="BD125" s="9">
        <v>29489</v>
      </c>
      <c r="BE125" s="9">
        <v>33662</v>
      </c>
      <c r="BF125" s="9">
        <v>35162</v>
      </c>
      <c r="BG125" s="9">
        <v>35162</v>
      </c>
      <c r="BH125" s="9">
        <v>1083317</v>
      </c>
      <c r="BI125" s="9">
        <v>1083317</v>
      </c>
      <c r="BJ125" s="9">
        <v>1085769</v>
      </c>
      <c r="BK125" s="9">
        <v>1085769</v>
      </c>
      <c r="BL125" s="9">
        <v>1085769</v>
      </c>
      <c r="BM125" s="9">
        <v>1085769</v>
      </c>
      <c r="BN125" s="9">
        <v>1361546</v>
      </c>
      <c r="BO125" s="31">
        <v>1361546</v>
      </c>
      <c r="BP125" s="9">
        <v>0</v>
      </c>
      <c r="BQ125" s="9">
        <v>191</v>
      </c>
      <c r="BR125" s="9">
        <v>191</v>
      </c>
      <c r="BS125" s="9">
        <v>3234</v>
      </c>
      <c r="BT125" s="9">
        <v>3393</v>
      </c>
      <c r="BU125" s="9">
        <v>3393</v>
      </c>
      <c r="BV125" s="9">
        <v>3393</v>
      </c>
      <c r="BW125" s="9">
        <v>3393</v>
      </c>
      <c r="BX125" s="9">
        <v>4203</v>
      </c>
      <c r="BY125" s="9">
        <v>8343</v>
      </c>
      <c r="BZ125" s="9">
        <v>630752</v>
      </c>
      <c r="CA125" s="9">
        <v>3061500</v>
      </c>
      <c r="CB125" s="31">
        <v>3061500</v>
      </c>
      <c r="CC125" s="9">
        <v>0</v>
      </c>
      <c r="CD125" s="9">
        <v>0</v>
      </c>
      <c r="CE125" s="9">
        <v>19</v>
      </c>
      <c r="CF125" s="9">
        <v>38</v>
      </c>
      <c r="CG125" s="9">
        <v>38</v>
      </c>
      <c r="CH125" s="9">
        <v>38</v>
      </c>
      <c r="CI125" s="9">
        <v>38</v>
      </c>
      <c r="CJ125" s="9">
        <v>38</v>
      </c>
      <c r="CK125" s="9">
        <v>564</v>
      </c>
      <c r="CL125" s="9">
        <v>660</v>
      </c>
      <c r="CM125" s="9">
        <v>660</v>
      </c>
      <c r="CN125" s="9">
        <v>92656</v>
      </c>
      <c r="CO125" s="31">
        <v>92656</v>
      </c>
      <c r="CP125" s="9">
        <v>0</v>
      </c>
      <c r="CQ125" s="9">
        <v>0</v>
      </c>
      <c r="CR125" s="9">
        <v>0</v>
      </c>
      <c r="CS125" s="9">
        <v>0</v>
      </c>
      <c r="CT125" s="9">
        <v>0</v>
      </c>
      <c r="CU125" s="9">
        <v>0</v>
      </c>
      <c r="CV125" s="9">
        <v>0</v>
      </c>
      <c r="CW125" s="9">
        <v>0</v>
      </c>
      <c r="CX125" s="9">
        <v>0</v>
      </c>
      <c r="CY125" s="9">
        <v>0</v>
      </c>
      <c r="CZ125" s="9">
        <v>0</v>
      </c>
      <c r="DA125" s="9">
        <v>967</v>
      </c>
      <c r="DB125" s="31">
        <v>967</v>
      </c>
      <c r="DC125" s="9">
        <v>0</v>
      </c>
      <c r="DD125" s="9">
        <v>0</v>
      </c>
      <c r="DE125" s="9">
        <v>0</v>
      </c>
      <c r="DF125" s="9">
        <v>0</v>
      </c>
      <c r="DG125" s="9">
        <v>0</v>
      </c>
      <c r="DH125" s="9">
        <v>0</v>
      </c>
      <c r="DI125" s="9">
        <v>0</v>
      </c>
      <c r="DJ125" s="9">
        <v>0</v>
      </c>
      <c r="DK125" s="9">
        <v>0</v>
      </c>
      <c r="DL125" s="9">
        <v>0</v>
      </c>
      <c r="DM125" s="9">
        <v>0</v>
      </c>
      <c r="DN125" s="9">
        <v>5708036</v>
      </c>
      <c r="DO125" s="31">
        <v>5708036</v>
      </c>
      <c r="DP125" s="9">
        <v>0</v>
      </c>
      <c r="DQ125" s="9">
        <v>0</v>
      </c>
      <c r="DR125" s="9">
        <v>0</v>
      </c>
      <c r="DS125" s="9">
        <v>0</v>
      </c>
      <c r="DT125" s="9">
        <v>0</v>
      </c>
      <c r="DU125" s="9">
        <v>0</v>
      </c>
      <c r="DV125" s="9">
        <v>0</v>
      </c>
      <c r="DW125" s="9">
        <v>0</v>
      </c>
      <c r="DX125" s="9">
        <v>0</v>
      </c>
      <c r="DY125" s="9">
        <v>0</v>
      </c>
      <c r="DZ125" s="9">
        <v>0</v>
      </c>
      <c r="EA125" s="9">
        <v>0</v>
      </c>
      <c r="EB125" s="31">
        <v>0</v>
      </c>
      <c r="EC125" s="9">
        <v>0</v>
      </c>
      <c r="ED125" s="9">
        <v>0</v>
      </c>
      <c r="EE125" s="9">
        <v>0</v>
      </c>
      <c r="EF125" s="9">
        <v>0</v>
      </c>
      <c r="EG125" s="9">
        <v>0</v>
      </c>
      <c r="EH125" s="9">
        <v>0</v>
      </c>
      <c r="EI125" s="9">
        <v>0</v>
      </c>
      <c r="EJ125" s="9">
        <v>0</v>
      </c>
      <c r="EK125" s="9">
        <v>0</v>
      </c>
      <c r="EL125" s="9">
        <v>0</v>
      </c>
      <c r="EM125" s="9">
        <v>0</v>
      </c>
      <c r="EN125" s="9">
        <v>4665</v>
      </c>
      <c r="EO125" s="31">
        <v>4665</v>
      </c>
      <c r="EP125" s="9">
        <v>0</v>
      </c>
      <c r="EQ125" s="9">
        <v>0</v>
      </c>
      <c r="ER125" s="9">
        <v>0</v>
      </c>
      <c r="ES125" s="9">
        <v>0</v>
      </c>
      <c r="ET125" s="9">
        <v>0</v>
      </c>
      <c r="EU125" s="9">
        <v>601</v>
      </c>
      <c r="EV125" s="9">
        <v>601</v>
      </c>
      <c r="EW125" s="9">
        <v>601</v>
      </c>
      <c r="EX125" s="9">
        <v>601</v>
      </c>
      <c r="EY125" s="9">
        <v>601</v>
      </c>
      <c r="EZ125" s="9">
        <v>707</v>
      </c>
      <c r="FA125" s="9">
        <v>707</v>
      </c>
      <c r="FB125" s="31">
        <v>707</v>
      </c>
      <c r="FC125" s="9">
        <v>0</v>
      </c>
      <c r="FD125" s="9">
        <v>0</v>
      </c>
      <c r="FE125" s="9">
        <v>0</v>
      </c>
      <c r="FF125" s="9">
        <v>0</v>
      </c>
      <c r="FG125" s="9">
        <v>0</v>
      </c>
      <c r="FH125" s="9">
        <v>0</v>
      </c>
      <c r="FI125" s="9">
        <v>0</v>
      </c>
      <c r="FJ125" s="9">
        <v>0</v>
      </c>
      <c r="FK125" s="9">
        <v>0</v>
      </c>
      <c r="FL125" s="9">
        <v>0</v>
      </c>
      <c r="FM125" s="9">
        <v>0</v>
      </c>
      <c r="FN125" s="9">
        <v>0</v>
      </c>
      <c r="FO125" s="31">
        <v>0</v>
      </c>
    </row>
    <row r="126" spans="2:171" x14ac:dyDescent="0.3">
      <c r="B126" s="7" t="s">
        <v>51</v>
      </c>
      <c r="C126" s="9">
        <v>0</v>
      </c>
      <c r="D126" s="9">
        <v>1964</v>
      </c>
      <c r="E126" s="9">
        <v>2448</v>
      </c>
      <c r="F126" s="9">
        <v>5561</v>
      </c>
      <c r="G126" s="9">
        <v>5561</v>
      </c>
      <c r="H126" s="9">
        <v>5762</v>
      </c>
      <c r="I126" s="9">
        <v>5828</v>
      </c>
      <c r="J126" s="9">
        <v>5828</v>
      </c>
      <c r="K126" s="9">
        <v>5828</v>
      </c>
      <c r="L126" s="9">
        <v>7949</v>
      </c>
      <c r="M126" s="9">
        <v>7949</v>
      </c>
      <c r="N126" s="9">
        <v>8771</v>
      </c>
      <c r="O126" s="31">
        <v>8771</v>
      </c>
      <c r="P126" s="9">
        <v>0</v>
      </c>
      <c r="Q126" s="9">
        <v>767</v>
      </c>
      <c r="R126" s="9">
        <v>767</v>
      </c>
      <c r="S126" s="9">
        <v>908</v>
      </c>
      <c r="T126" s="9">
        <v>1105</v>
      </c>
      <c r="U126" s="9">
        <v>5658</v>
      </c>
      <c r="V126" s="9">
        <v>5658</v>
      </c>
      <c r="W126" s="9">
        <v>7576</v>
      </c>
      <c r="X126" s="9">
        <v>9435</v>
      </c>
      <c r="Y126" s="9">
        <v>9435</v>
      </c>
      <c r="Z126" s="9">
        <v>11776</v>
      </c>
      <c r="AA126" s="9">
        <v>13263</v>
      </c>
      <c r="AB126" s="31">
        <v>13263</v>
      </c>
      <c r="AC126" s="9">
        <v>0</v>
      </c>
      <c r="AD126" s="9">
        <v>189</v>
      </c>
      <c r="AE126" s="9">
        <v>2948</v>
      </c>
      <c r="AF126" s="9">
        <v>3470</v>
      </c>
      <c r="AG126" s="9">
        <v>6368</v>
      </c>
      <c r="AH126" s="9">
        <v>33189</v>
      </c>
      <c r="AI126" s="9">
        <v>73163</v>
      </c>
      <c r="AJ126" s="9">
        <v>119657</v>
      </c>
      <c r="AK126" s="9">
        <v>138376</v>
      </c>
      <c r="AL126" s="9">
        <v>152756</v>
      </c>
      <c r="AM126" s="9">
        <v>182611</v>
      </c>
      <c r="AN126" s="9">
        <v>354177</v>
      </c>
      <c r="AO126" s="31">
        <v>354177</v>
      </c>
      <c r="AP126" s="9">
        <v>0</v>
      </c>
      <c r="AQ126" s="9">
        <v>450</v>
      </c>
      <c r="AR126" s="9">
        <v>450</v>
      </c>
      <c r="AS126" s="9">
        <v>2665</v>
      </c>
      <c r="AT126" s="9">
        <v>4935</v>
      </c>
      <c r="AU126" s="9">
        <v>4935</v>
      </c>
      <c r="AV126" s="9">
        <v>4935</v>
      </c>
      <c r="AW126" s="9">
        <v>5444</v>
      </c>
      <c r="AX126" s="9">
        <v>9203</v>
      </c>
      <c r="AY126" s="9">
        <v>11757</v>
      </c>
      <c r="AZ126" s="9">
        <v>13011</v>
      </c>
      <c r="BA126" s="9">
        <v>1243294</v>
      </c>
      <c r="BB126" s="31">
        <v>1243294</v>
      </c>
      <c r="BC126" s="9">
        <v>0</v>
      </c>
      <c r="BD126" s="9">
        <v>1363</v>
      </c>
      <c r="BE126" s="9">
        <v>3434</v>
      </c>
      <c r="BF126" s="9">
        <v>3489</v>
      </c>
      <c r="BG126" s="9">
        <v>8764</v>
      </c>
      <c r="BH126" s="9">
        <v>9265</v>
      </c>
      <c r="BI126" s="9">
        <v>9795</v>
      </c>
      <c r="BJ126" s="9">
        <v>9795</v>
      </c>
      <c r="BK126" s="9">
        <v>9795</v>
      </c>
      <c r="BL126" s="9">
        <v>14569</v>
      </c>
      <c r="BM126" s="9">
        <v>15355</v>
      </c>
      <c r="BN126" s="9">
        <v>15578</v>
      </c>
      <c r="BO126" s="31">
        <v>15578</v>
      </c>
      <c r="BP126" s="9">
        <v>0</v>
      </c>
      <c r="BQ126" s="9">
        <v>0</v>
      </c>
      <c r="BR126" s="9">
        <v>0</v>
      </c>
      <c r="BS126" s="9">
        <v>0</v>
      </c>
      <c r="BT126" s="9">
        <v>639</v>
      </c>
      <c r="BU126" s="9">
        <v>3210</v>
      </c>
      <c r="BV126" s="9">
        <v>3210</v>
      </c>
      <c r="BW126" s="9">
        <v>7254</v>
      </c>
      <c r="BX126" s="9">
        <v>7965</v>
      </c>
      <c r="BY126" s="9">
        <v>11418</v>
      </c>
      <c r="BZ126" s="9">
        <v>11418</v>
      </c>
      <c r="CA126" s="9">
        <v>1231018</v>
      </c>
      <c r="CB126" s="31">
        <v>1231018</v>
      </c>
      <c r="CC126" s="9">
        <v>0</v>
      </c>
      <c r="CD126" s="9">
        <v>0</v>
      </c>
      <c r="CE126" s="9">
        <v>0</v>
      </c>
      <c r="CF126" s="9">
        <v>0</v>
      </c>
      <c r="CG126" s="9">
        <v>0</v>
      </c>
      <c r="CH126" s="9">
        <v>0</v>
      </c>
      <c r="CI126" s="9">
        <v>0</v>
      </c>
      <c r="CJ126" s="9">
        <v>0</v>
      </c>
      <c r="CK126" s="9">
        <v>0</v>
      </c>
      <c r="CL126" s="9">
        <v>0</v>
      </c>
      <c r="CM126" s="9">
        <v>4359</v>
      </c>
      <c r="CN126" s="9">
        <v>13661</v>
      </c>
      <c r="CO126" s="31">
        <v>13661</v>
      </c>
      <c r="CP126" s="9">
        <v>0</v>
      </c>
      <c r="CQ126" s="9">
        <v>0</v>
      </c>
      <c r="CR126" s="9">
        <v>1109</v>
      </c>
      <c r="CS126" s="9">
        <v>1109</v>
      </c>
      <c r="CT126" s="9">
        <v>1109</v>
      </c>
      <c r="CU126" s="9">
        <v>3164</v>
      </c>
      <c r="CV126" s="9">
        <v>3709</v>
      </c>
      <c r="CW126" s="9">
        <v>4709</v>
      </c>
      <c r="CX126" s="9">
        <v>4709</v>
      </c>
      <c r="CY126" s="9">
        <v>4709</v>
      </c>
      <c r="CZ126" s="9">
        <v>5491</v>
      </c>
      <c r="DA126" s="9">
        <v>7698</v>
      </c>
      <c r="DB126" s="31">
        <v>7698</v>
      </c>
      <c r="DC126" s="9">
        <v>0</v>
      </c>
      <c r="DD126" s="9">
        <v>0</v>
      </c>
      <c r="DE126" s="9">
        <v>0</v>
      </c>
      <c r="DF126" s="9">
        <v>0</v>
      </c>
      <c r="DG126" s="9">
        <v>0</v>
      </c>
      <c r="DH126" s="9">
        <v>0</v>
      </c>
      <c r="DI126" s="9">
        <v>0</v>
      </c>
      <c r="DJ126" s="9">
        <v>0</v>
      </c>
      <c r="DK126" s="9">
        <v>0</v>
      </c>
      <c r="DL126" s="9">
        <v>0</v>
      </c>
      <c r="DM126" s="9">
        <v>0</v>
      </c>
      <c r="DN126" s="9">
        <v>8320478</v>
      </c>
      <c r="DO126" s="31">
        <v>8320478</v>
      </c>
      <c r="DP126" s="9">
        <v>0</v>
      </c>
      <c r="DQ126" s="9">
        <v>0</v>
      </c>
      <c r="DR126" s="9">
        <v>0</v>
      </c>
      <c r="DS126" s="9">
        <v>0</v>
      </c>
      <c r="DT126" s="9">
        <v>0</v>
      </c>
      <c r="DU126" s="9">
        <v>0</v>
      </c>
      <c r="DV126" s="9">
        <v>0</v>
      </c>
      <c r="DW126" s="9">
        <v>0</v>
      </c>
      <c r="DX126" s="9">
        <v>0</v>
      </c>
      <c r="DY126" s="9">
        <v>0</v>
      </c>
      <c r="DZ126" s="9">
        <v>0</v>
      </c>
      <c r="EA126" s="9">
        <v>328520</v>
      </c>
      <c r="EB126" s="31">
        <v>328520</v>
      </c>
      <c r="EC126" s="9">
        <v>0</v>
      </c>
      <c r="ED126" s="9">
        <v>0</v>
      </c>
      <c r="EE126" s="9">
        <v>0</v>
      </c>
      <c r="EF126" s="9">
        <v>0</v>
      </c>
      <c r="EG126" s="9">
        <v>0</v>
      </c>
      <c r="EH126" s="9">
        <v>0</v>
      </c>
      <c r="EI126" s="9">
        <v>5262</v>
      </c>
      <c r="EJ126" s="9">
        <v>5262</v>
      </c>
      <c r="EK126" s="9">
        <v>5917</v>
      </c>
      <c r="EL126" s="9">
        <v>5917</v>
      </c>
      <c r="EM126" s="9">
        <v>6099</v>
      </c>
      <c r="EN126" s="9">
        <v>6646</v>
      </c>
      <c r="EO126" s="31">
        <v>6646</v>
      </c>
      <c r="EP126" s="9">
        <v>0</v>
      </c>
      <c r="EQ126" s="9">
        <v>0</v>
      </c>
      <c r="ER126" s="9">
        <v>0</v>
      </c>
      <c r="ES126" s="9">
        <v>5114</v>
      </c>
      <c r="ET126" s="9">
        <v>5114</v>
      </c>
      <c r="EU126" s="9">
        <v>5114</v>
      </c>
      <c r="EV126" s="9">
        <v>5114</v>
      </c>
      <c r="EW126" s="9">
        <v>6540</v>
      </c>
      <c r="EX126" s="9">
        <v>6540</v>
      </c>
      <c r="EY126" s="9">
        <v>6540</v>
      </c>
      <c r="EZ126" s="9">
        <v>6540</v>
      </c>
      <c r="FA126" s="9">
        <v>6540</v>
      </c>
      <c r="FB126" s="31">
        <v>6540</v>
      </c>
      <c r="FC126" s="9">
        <v>0</v>
      </c>
      <c r="FD126" s="9">
        <v>0</v>
      </c>
      <c r="FE126" s="9">
        <v>0</v>
      </c>
      <c r="FF126" s="9">
        <v>0</v>
      </c>
      <c r="FG126" s="9">
        <v>0</v>
      </c>
      <c r="FH126" s="9">
        <v>0</v>
      </c>
      <c r="FI126" s="9">
        <v>0</v>
      </c>
      <c r="FJ126" s="9">
        <v>0</v>
      </c>
      <c r="FK126" s="9">
        <v>0</v>
      </c>
      <c r="FL126" s="9">
        <v>0</v>
      </c>
      <c r="FM126" s="9">
        <v>0</v>
      </c>
      <c r="FN126" s="9">
        <v>0</v>
      </c>
      <c r="FO126" s="31">
        <v>0</v>
      </c>
    </row>
    <row r="127" spans="2:171" x14ac:dyDescent="0.3">
      <c r="B127" s="7" t="s">
        <v>52</v>
      </c>
      <c r="C127" s="9">
        <v>233</v>
      </c>
      <c r="D127" s="9">
        <v>1111</v>
      </c>
      <c r="E127" s="9">
        <v>1552</v>
      </c>
      <c r="F127" s="9">
        <v>3434</v>
      </c>
      <c r="G127" s="9">
        <v>3447</v>
      </c>
      <c r="H127" s="9">
        <v>6992</v>
      </c>
      <c r="I127" s="9">
        <v>9230</v>
      </c>
      <c r="J127" s="9">
        <v>11001</v>
      </c>
      <c r="K127" s="9">
        <v>13009</v>
      </c>
      <c r="L127" s="9">
        <v>14081</v>
      </c>
      <c r="M127" s="9">
        <v>15305</v>
      </c>
      <c r="N127" s="9">
        <v>19034</v>
      </c>
      <c r="O127" s="31">
        <v>19034</v>
      </c>
      <c r="P127" s="9">
        <v>305</v>
      </c>
      <c r="Q127" s="9">
        <v>1672</v>
      </c>
      <c r="R127" s="9">
        <v>2186</v>
      </c>
      <c r="S127" s="9">
        <v>2981</v>
      </c>
      <c r="T127" s="9">
        <v>3493</v>
      </c>
      <c r="U127" s="9">
        <v>8094</v>
      </c>
      <c r="V127" s="9">
        <v>10134</v>
      </c>
      <c r="W127" s="9">
        <v>1328308</v>
      </c>
      <c r="X127" s="9">
        <v>1345405</v>
      </c>
      <c r="Y127" s="9">
        <v>1357604</v>
      </c>
      <c r="Z127" s="9">
        <v>1358573</v>
      </c>
      <c r="AA127" s="9">
        <v>1364872</v>
      </c>
      <c r="AB127" s="31">
        <v>1364872</v>
      </c>
      <c r="AC127" s="9">
        <v>0</v>
      </c>
      <c r="AD127" s="9">
        <v>679</v>
      </c>
      <c r="AE127" s="9">
        <v>67792</v>
      </c>
      <c r="AF127" s="9">
        <v>69109</v>
      </c>
      <c r="AG127" s="9">
        <v>69109</v>
      </c>
      <c r="AH127" s="9">
        <v>74795</v>
      </c>
      <c r="AI127" s="9">
        <v>74903</v>
      </c>
      <c r="AJ127" s="9">
        <v>76070</v>
      </c>
      <c r="AK127" s="9">
        <v>76070</v>
      </c>
      <c r="AL127" s="9">
        <v>76070</v>
      </c>
      <c r="AM127" s="9">
        <v>869332</v>
      </c>
      <c r="AN127" s="9">
        <v>2264790</v>
      </c>
      <c r="AO127" s="31">
        <v>2264790</v>
      </c>
      <c r="AP127" s="9">
        <v>0</v>
      </c>
      <c r="AQ127" s="9">
        <v>4334</v>
      </c>
      <c r="AR127" s="9">
        <v>4334</v>
      </c>
      <c r="AS127" s="9">
        <v>4334</v>
      </c>
      <c r="AT127" s="9">
        <v>835439</v>
      </c>
      <c r="AU127" s="9">
        <v>839647</v>
      </c>
      <c r="AV127" s="9">
        <v>849130</v>
      </c>
      <c r="AW127" s="9">
        <v>1131051</v>
      </c>
      <c r="AX127" s="9">
        <v>1121218</v>
      </c>
      <c r="AY127" s="9">
        <v>1121509</v>
      </c>
      <c r="AZ127" s="9">
        <v>1122336</v>
      </c>
      <c r="BA127" s="9">
        <v>2115946</v>
      </c>
      <c r="BB127" s="31">
        <v>2115946</v>
      </c>
      <c r="BC127" s="9">
        <v>0</v>
      </c>
      <c r="BD127" s="9">
        <v>844</v>
      </c>
      <c r="BE127" s="9">
        <v>844</v>
      </c>
      <c r="BF127" s="9">
        <v>1502</v>
      </c>
      <c r="BG127" s="9">
        <v>1647</v>
      </c>
      <c r="BH127" s="9">
        <v>1647</v>
      </c>
      <c r="BI127" s="9">
        <v>5114</v>
      </c>
      <c r="BJ127" s="9">
        <v>6634</v>
      </c>
      <c r="BK127" s="9">
        <v>7741</v>
      </c>
      <c r="BL127" s="9">
        <v>8216</v>
      </c>
      <c r="BM127" s="9">
        <v>8216</v>
      </c>
      <c r="BN127" s="9">
        <v>82384</v>
      </c>
      <c r="BO127" s="31">
        <v>82384</v>
      </c>
      <c r="BP127" s="9">
        <v>0</v>
      </c>
      <c r="BQ127" s="9">
        <v>0</v>
      </c>
      <c r="BR127" s="9">
        <v>0</v>
      </c>
      <c r="BS127" s="9">
        <v>0</v>
      </c>
      <c r="BT127" s="9">
        <v>0</v>
      </c>
      <c r="BU127" s="9">
        <v>6405</v>
      </c>
      <c r="BV127" s="9">
        <v>6876</v>
      </c>
      <c r="BW127" s="9">
        <v>6876</v>
      </c>
      <c r="BX127" s="9">
        <v>6876</v>
      </c>
      <c r="BY127" s="9">
        <v>6876</v>
      </c>
      <c r="BZ127" s="9">
        <v>6876</v>
      </c>
      <c r="CA127" s="9">
        <v>11767</v>
      </c>
      <c r="CB127" s="31">
        <v>11767</v>
      </c>
      <c r="CC127" s="9">
        <v>0</v>
      </c>
      <c r="CD127" s="9">
        <v>0</v>
      </c>
      <c r="CE127" s="9">
        <v>0</v>
      </c>
      <c r="CF127" s="9">
        <v>0</v>
      </c>
      <c r="CG127" s="9">
        <v>0</v>
      </c>
      <c r="CH127" s="9">
        <v>0</v>
      </c>
      <c r="CI127" s="9">
        <v>0</v>
      </c>
      <c r="CJ127" s="9">
        <v>0</v>
      </c>
      <c r="CK127" s="9">
        <v>0</v>
      </c>
      <c r="CL127" s="9">
        <v>0</v>
      </c>
      <c r="CM127" s="9">
        <v>2911</v>
      </c>
      <c r="CN127" s="9">
        <v>1135388</v>
      </c>
      <c r="CO127" s="31">
        <v>1135388</v>
      </c>
      <c r="CP127" s="9">
        <v>0</v>
      </c>
      <c r="CQ127" s="9">
        <v>0</v>
      </c>
      <c r="CR127" s="9">
        <v>0</v>
      </c>
      <c r="CS127" s="9">
        <v>0</v>
      </c>
      <c r="CT127" s="9">
        <v>0</v>
      </c>
      <c r="CU127" s="9">
        <v>736</v>
      </c>
      <c r="CV127" s="9">
        <v>736</v>
      </c>
      <c r="CW127" s="9">
        <v>1630685</v>
      </c>
      <c r="CX127" s="9">
        <v>1635209</v>
      </c>
      <c r="CY127" s="9">
        <v>1635209</v>
      </c>
      <c r="CZ127" s="9">
        <v>1635209</v>
      </c>
      <c r="DA127" s="9">
        <v>1662728</v>
      </c>
      <c r="DB127" s="31">
        <v>1662728</v>
      </c>
      <c r="DC127" s="9">
        <v>0</v>
      </c>
      <c r="DD127" s="9">
        <v>0</v>
      </c>
      <c r="DE127" s="9">
        <v>0</v>
      </c>
      <c r="DF127" s="9">
        <v>0</v>
      </c>
      <c r="DG127" s="9">
        <v>0</v>
      </c>
      <c r="DH127" s="9">
        <v>0</v>
      </c>
      <c r="DI127" s="9">
        <v>0</v>
      </c>
      <c r="DJ127" s="9">
        <v>0</v>
      </c>
      <c r="DK127" s="9">
        <v>0</v>
      </c>
      <c r="DL127" s="9">
        <v>0</v>
      </c>
      <c r="DM127" s="9">
        <v>0</v>
      </c>
      <c r="DN127" s="9">
        <v>25569663</v>
      </c>
      <c r="DO127" s="31">
        <v>25569663</v>
      </c>
      <c r="DP127" s="9">
        <v>0</v>
      </c>
      <c r="DQ127" s="9">
        <v>0</v>
      </c>
      <c r="DR127" s="9">
        <v>0</v>
      </c>
      <c r="DS127" s="9">
        <v>0</v>
      </c>
      <c r="DT127" s="9">
        <v>0</v>
      </c>
      <c r="DU127" s="9">
        <v>0</v>
      </c>
      <c r="DV127" s="9">
        <v>0</v>
      </c>
      <c r="DW127" s="9">
        <v>0</v>
      </c>
      <c r="DX127" s="9">
        <v>0</v>
      </c>
      <c r="DY127" s="9">
        <v>0</v>
      </c>
      <c r="DZ127" s="9">
        <v>0</v>
      </c>
      <c r="EA127" s="9">
        <v>0</v>
      </c>
      <c r="EB127" s="31">
        <v>0</v>
      </c>
      <c r="EC127" s="9">
        <v>0</v>
      </c>
      <c r="ED127" s="9">
        <v>0</v>
      </c>
      <c r="EE127" s="9">
        <v>0</v>
      </c>
      <c r="EF127" s="9">
        <v>0</v>
      </c>
      <c r="EG127" s="9">
        <v>0</v>
      </c>
      <c r="EH127" s="9">
        <v>0</v>
      </c>
      <c r="EI127" s="9">
        <v>6055707</v>
      </c>
      <c r="EJ127" s="9">
        <v>6055707</v>
      </c>
      <c r="EK127" s="9">
        <v>6062238</v>
      </c>
      <c r="EL127" s="9">
        <v>6062238</v>
      </c>
      <c r="EM127" s="9">
        <v>6065142</v>
      </c>
      <c r="EN127" s="9">
        <v>6065343</v>
      </c>
      <c r="EO127" s="31">
        <v>6065343</v>
      </c>
      <c r="EP127" s="9">
        <v>0</v>
      </c>
      <c r="EQ127" s="9">
        <v>0</v>
      </c>
      <c r="ER127" s="9">
        <v>0</v>
      </c>
      <c r="ES127" s="9">
        <v>0</v>
      </c>
      <c r="ET127" s="9">
        <v>0</v>
      </c>
      <c r="EU127" s="9">
        <v>0</v>
      </c>
      <c r="EV127" s="9">
        <v>0</v>
      </c>
      <c r="EW127" s="9">
        <v>4873</v>
      </c>
      <c r="EX127" s="9">
        <v>4873</v>
      </c>
      <c r="EY127" s="9">
        <v>4873</v>
      </c>
      <c r="EZ127" s="9">
        <v>5880</v>
      </c>
      <c r="FA127" s="9">
        <v>6023</v>
      </c>
      <c r="FB127" s="31">
        <v>6023</v>
      </c>
      <c r="FC127" s="9">
        <v>0</v>
      </c>
      <c r="FD127" s="9">
        <v>0</v>
      </c>
      <c r="FE127" s="9">
        <v>0</v>
      </c>
      <c r="FF127" s="9">
        <v>0</v>
      </c>
      <c r="FG127" s="9">
        <v>0</v>
      </c>
      <c r="FH127" s="9">
        <v>0</v>
      </c>
      <c r="FI127" s="9">
        <v>0</v>
      </c>
      <c r="FJ127" s="9">
        <v>0</v>
      </c>
      <c r="FK127" s="9">
        <v>0</v>
      </c>
      <c r="FL127" s="9">
        <v>0</v>
      </c>
      <c r="FM127" s="9">
        <v>0</v>
      </c>
      <c r="FN127" s="9">
        <v>0</v>
      </c>
      <c r="FO127" s="31">
        <v>0</v>
      </c>
    </row>
    <row r="128" spans="2:171" x14ac:dyDescent="0.3">
      <c r="B128" s="7" t="s">
        <v>53</v>
      </c>
      <c r="C128" s="9">
        <v>0</v>
      </c>
      <c r="D128" s="9">
        <v>675</v>
      </c>
      <c r="E128" s="9">
        <v>798</v>
      </c>
      <c r="F128" s="9">
        <v>1539</v>
      </c>
      <c r="G128" s="9">
        <v>7039</v>
      </c>
      <c r="H128" s="9">
        <v>9198</v>
      </c>
      <c r="I128" s="9">
        <v>9218</v>
      </c>
      <c r="J128" s="9">
        <v>11053</v>
      </c>
      <c r="K128" s="9">
        <v>17104</v>
      </c>
      <c r="L128" s="9">
        <v>21385</v>
      </c>
      <c r="M128" s="9">
        <v>756371</v>
      </c>
      <c r="N128" s="9">
        <v>771330</v>
      </c>
      <c r="O128" s="31">
        <v>771330</v>
      </c>
      <c r="P128" s="9">
        <v>0</v>
      </c>
      <c r="Q128" s="9">
        <v>4264</v>
      </c>
      <c r="R128" s="9">
        <v>6034</v>
      </c>
      <c r="S128" s="9">
        <v>12921</v>
      </c>
      <c r="T128" s="9">
        <v>16235</v>
      </c>
      <c r="U128" s="9">
        <v>16331</v>
      </c>
      <c r="V128" s="9">
        <v>18612</v>
      </c>
      <c r="W128" s="9">
        <v>378859</v>
      </c>
      <c r="X128" s="9">
        <v>382193</v>
      </c>
      <c r="Y128" s="9">
        <v>384199</v>
      </c>
      <c r="Z128" s="9">
        <v>391612</v>
      </c>
      <c r="AA128" s="9">
        <v>997624</v>
      </c>
      <c r="AB128" s="31">
        <v>997624</v>
      </c>
      <c r="AC128" s="9">
        <v>0</v>
      </c>
      <c r="AD128" s="9">
        <v>4987</v>
      </c>
      <c r="AE128" s="9">
        <v>5820</v>
      </c>
      <c r="AF128" s="9">
        <v>7537</v>
      </c>
      <c r="AG128" s="9">
        <v>24317</v>
      </c>
      <c r="AH128" s="9">
        <v>29880</v>
      </c>
      <c r="AI128" s="9">
        <v>31661</v>
      </c>
      <c r="AJ128" s="9">
        <v>31661</v>
      </c>
      <c r="AK128" s="9">
        <v>32062</v>
      </c>
      <c r="AL128" s="9">
        <v>32062</v>
      </c>
      <c r="AM128" s="9">
        <v>32062</v>
      </c>
      <c r="AN128" s="9">
        <v>2284441</v>
      </c>
      <c r="AO128" s="31">
        <v>2284441</v>
      </c>
      <c r="AP128" s="9">
        <v>0</v>
      </c>
      <c r="AQ128" s="9">
        <v>2301</v>
      </c>
      <c r="AR128" s="9">
        <v>8503</v>
      </c>
      <c r="AS128" s="9">
        <v>11085</v>
      </c>
      <c r="AT128" s="9">
        <v>13926</v>
      </c>
      <c r="AU128" s="9">
        <v>27890</v>
      </c>
      <c r="AV128" s="9">
        <v>31249</v>
      </c>
      <c r="AW128" s="9">
        <v>33233</v>
      </c>
      <c r="AX128" s="9">
        <v>36737</v>
      </c>
      <c r="AY128" s="9">
        <v>51192</v>
      </c>
      <c r="AZ128" s="9">
        <v>54040</v>
      </c>
      <c r="BA128" s="9">
        <v>55043</v>
      </c>
      <c r="BB128" s="31">
        <v>55043</v>
      </c>
      <c r="BC128" s="9">
        <v>0</v>
      </c>
      <c r="BD128" s="9">
        <v>582</v>
      </c>
      <c r="BE128" s="9">
        <v>12937</v>
      </c>
      <c r="BF128" s="9">
        <v>16535</v>
      </c>
      <c r="BG128" s="9">
        <v>18131</v>
      </c>
      <c r="BH128" s="9">
        <v>20684</v>
      </c>
      <c r="BI128" s="9">
        <v>21865</v>
      </c>
      <c r="BJ128" s="9">
        <v>22619</v>
      </c>
      <c r="BK128" s="9">
        <v>23278</v>
      </c>
      <c r="BL128" s="9">
        <v>23318</v>
      </c>
      <c r="BM128" s="9">
        <v>23505</v>
      </c>
      <c r="BN128" s="9">
        <v>1082924</v>
      </c>
      <c r="BO128" s="31">
        <v>1082924</v>
      </c>
      <c r="BP128" s="9">
        <v>1525</v>
      </c>
      <c r="BQ128" s="9">
        <v>3074</v>
      </c>
      <c r="BR128" s="9">
        <v>7435</v>
      </c>
      <c r="BS128" s="9">
        <v>16005</v>
      </c>
      <c r="BT128" s="9">
        <v>16534</v>
      </c>
      <c r="BU128" s="9">
        <v>17813</v>
      </c>
      <c r="BV128" s="9">
        <v>19219</v>
      </c>
      <c r="BW128" s="9">
        <v>19645</v>
      </c>
      <c r="BX128" s="9">
        <v>19966</v>
      </c>
      <c r="BY128" s="9">
        <v>20181</v>
      </c>
      <c r="BZ128" s="9">
        <v>320661</v>
      </c>
      <c r="CA128" s="9">
        <v>746161</v>
      </c>
      <c r="CB128" s="31">
        <v>746161</v>
      </c>
      <c r="CC128" s="9">
        <v>2166</v>
      </c>
      <c r="CD128" s="9">
        <v>3965</v>
      </c>
      <c r="CE128" s="9">
        <v>6499</v>
      </c>
      <c r="CF128" s="9">
        <v>10415</v>
      </c>
      <c r="CG128" s="9">
        <v>13056</v>
      </c>
      <c r="CH128" s="9">
        <v>13335</v>
      </c>
      <c r="CI128" s="9">
        <v>13056</v>
      </c>
      <c r="CJ128" s="9">
        <v>13486</v>
      </c>
      <c r="CK128" s="9">
        <v>14566</v>
      </c>
      <c r="CL128" s="9">
        <v>14417</v>
      </c>
      <c r="CM128" s="9">
        <v>14417</v>
      </c>
      <c r="CN128" s="9">
        <v>3414957</v>
      </c>
      <c r="CO128" s="31">
        <v>3414957</v>
      </c>
      <c r="CP128" s="9">
        <v>0</v>
      </c>
      <c r="CQ128" s="9">
        <v>0</v>
      </c>
      <c r="CR128" s="9">
        <v>356</v>
      </c>
      <c r="CS128" s="9">
        <v>356</v>
      </c>
      <c r="CT128" s="9">
        <v>356</v>
      </c>
      <c r="CU128" s="9">
        <v>1252</v>
      </c>
      <c r="CV128" s="9">
        <v>2012</v>
      </c>
      <c r="CW128" s="9">
        <v>2012</v>
      </c>
      <c r="CX128" s="9">
        <v>10731</v>
      </c>
      <c r="CY128" s="9">
        <v>10805</v>
      </c>
      <c r="CZ128" s="9">
        <v>11093</v>
      </c>
      <c r="DA128" s="9">
        <v>1985450</v>
      </c>
      <c r="DB128" s="31">
        <v>1985450</v>
      </c>
      <c r="DC128" s="9">
        <v>0</v>
      </c>
      <c r="DD128" s="9">
        <v>0</v>
      </c>
      <c r="DE128" s="9">
        <v>0</v>
      </c>
      <c r="DF128" s="9">
        <v>0</v>
      </c>
      <c r="DG128" s="9">
        <v>0</v>
      </c>
      <c r="DH128" s="9">
        <v>0</v>
      </c>
      <c r="DI128" s="9">
        <v>0</v>
      </c>
      <c r="DJ128" s="9">
        <v>0</v>
      </c>
      <c r="DK128" s="9">
        <v>0</v>
      </c>
      <c r="DL128" s="9">
        <v>0</v>
      </c>
      <c r="DM128" s="9">
        <v>0</v>
      </c>
      <c r="DN128" s="9">
        <v>16845167</v>
      </c>
      <c r="DO128" s="31">
        <v>16845167</v>
      </c>
      <c r="DP128" s="9">
        <v>0</v>
      </c>
      <c r="DQ128" s="9">
        <v>0</v>
      </c>
      <c r="DR128" s="9">
        <v>0</v>
      </c>
      <c r="DS128" s="9">
        <v>0</v>
      </c>
      <c r="DT128" s="9">
        <v>0</v>
      </c>
      <c r="DU128" s="9">
        <v>0</v>
      </c>
      <c r="DV128" s="9">
        <v>0</v>
      </c>
      <c r="DW128" s="9">
        <v>0</v>
      </c>
      <c r="DX128" s="9">
        <v>0</v>
      </c>
      <c r="DY128" s="9">
        <v>0</v>
      </c>
      <c r="DZ128" s="9">
        <v>0</v>
      </c>
      <c r="EA128" s="9">
        <v>3984477</v>
      </c>
      <c r="EB128" s="31">
        <v>3984477</v>
      </c>
      <c r="EC128" s="9">
        <v>0</v>
      </c>
      <c r="ED128" s="9">
        <v>0</v>
      </c>
      <c r="EE128" s="9">
        <v>0</v>
      </c>
      <c r="EF128" s="9">
        <v>0</v>
      </c>
      <c r="EG128" s="9">
        <v>0</v>
      </c>
      <c r="EH128" s="9">
        <v>0</v>
      </c>
      <c r="EI128" s="9">
        <v>0</v>
      </c>
      <c r="EJ128" s="9">
        <v>15805</v>
      </c>
      <c r="EK128" s="9">
        <v>16757</v>
      </c>
      <c r="EL128" s="9">
        <v>18403</v>
      </c>
      <c r="EM128" s="9">
        <v>20037</v>
      </c>
      <c r="EN128" s="9">
        <v>21833</v>
      </c>
      <c r="EO128" s="31">
        <v>21833</v>
      </c>
      <c r="EP128" s="9">
        <v>0</v>
      </c>
      <c r="EQ128" s="9">
        <v>0</v>
      </c>
      <c r="ER128" s="9">
        <v>2894</v>
      </c>
      <c r="ES128" s="9">
        <v>2894</v>
      </c>
      <c r="ET128" s="9">
        <v>2894</v>
      </c>
      <c r="EU128" s="9">
        <v>6167</v>
      </c>
      <c r="EV128" s="9">
        <v>6167</v>
      </c>
      <c r="EW128" s="9">
        <v>6167</v>
      </c>
      <c r="EX128" s="9">
        <v>7132</v>
      </c>
      <c r="EY128" s="9">
        <v>7132</v>
      </c>
      <c r="EZ128" s="9">
        <v>7132</v>
      </c>
      <c r="FA128" s="9">
        <v>10998036</v>
      </c>
      <c r="FB128" s="31">
        <v>10998036</v>
      </c>
      <c r="FC128" s="9">
        <v>0</v>
      </c>
      <c r="FD128" s="9">
        <v>0</v>
      </c>
      <c r="FE128" s="9">
        <v>0</v>
      </c>
      <c r="FF128" s="9">
        <v>0</v>
      </c>
      <c r="FG128" s="9">
        <v>0</v>
      </c>
      <c r="FH128" s="9">
        <v>0</v>
      </c>
      <c r="FI128" s="9">
        <v>0</v>
      </c>
      <c r="FJ128" s="9">
        <v>0</v>
      </c>
      <c r="FK128" s="9">
        <v>0</v>
      </c>
      <c r="FL128" s="9">
        <v>0</v>
      </c>
      <c r="FM128" s="9">
        <v>0</v>
      </c>
      <c r="FN128" s="9">
        <v>0</v>
      </c>
      <c r="FO128" s="31">
        <v>0</v>
      </c>
    </row>
    <row r="129" spans="2:171" x14ac:dyDescent="0.3">
      <c r="B129" s="7" t="s">
        <v>54</v>
      </c>
      <c r="C129" s="9">
        <v>0</v>
      </c>
      <c r="D129" s="9">
        <v>178</v>
      </c>
      <c r="E129" s="9">
        <v>866</v>
      </c>
      <c r="F129" s="9">
        <v>6627</v>
      </c>
      <c r="G129" s="9">
        <v>12440</v>
      </c>
      <c r="H129" s="9">
        <v>13908</v>
      </c>
      <c r="I129" s="9">
        <v>19119</v>
      </c>
      <c r="J129" s="9">
        <v>23550</v>
      </c>
      <c r="K129" s="9">
        <v>30001</v>
      </c>
      <c r="L129" s="9">
        <v>656294</v>
      </c>
      <c r="M129" s="9">
        <v>32680306</v>
      </c>
      <c r="N129" s="9">
        <v>36977956</v>
      </c>
      <c r="O129" s="31">
        <v>36977956</v>
      </c>
      <c r="P129" s="9">
        <v>137125</v>
      </c>
      <c r="Q129" s="9">
        <v>137125</v>
      </c>
      <c r="R129" s="9">
        <v>143759</v>
      </c>
      <c r="S129" s="9">
        <v>143965</v>
      </c>
      <c r="T129" s="9">
        <v>155522</v>
      </c>
      <c r="U129" s="9">
        <v>4113214</v>
      </c>
      <c r="V129" s="9">
        <v>4153975</v>
      </c>
      <c r="W129" s="9">
        <v>4162883</v>
      </c>
      <c r="X129" s="9">
        <v>4171915</v>
      </c>
      <c r="Y129" s="9">
        <v>4213441</v>
      </c>
      <c r="Z129" s="9">
        <v>4281192</v>
      </c>
      <c r="AA129" s="9">
        <v>13975237</v>
      </c>
      <c r="AB129" s="31">
        <v>13975237</v>
      </c>
      <c r="AC129" s="9">
        <v>0</v>
      </c>
      <c r="AD129" s="9">
        <v>0</v>
      </c>
      <c r="AE129" s="9">
        <v>514</v>
      </c>
      <c r="AF129" s="9">
        <v>514</v>
      </c>
      <c r="AG129" s="9">
        <v>1522</v>
      </c>
      <c r="AH129" s="9">
        <v>4506</v>
      </c>
      <c r="AI129" s="9">
        <v>48007</v>
      </c>
      <c r="AJ129" s="9">
        <v>61919</v>
      </c>
      <c r="AK129" s="9">
        <v>62724</v>
      </c>
      <c r="AL129" s="9">
        <v>64427</v>
      </c>
      <c r="AM129" s="9">
        <v>91634</v>
      </c>
      <c r="AN129" s="9">
        <v>1859307</v>
      </c>
      <c r="AO129" s="31">
        <v>1859307</v>
      </c>
      <c r="AP129" s="9">
        <v>0</v>
      </c>
      <c r="AQ129" s="9">
        <v>0</v>
      </c>
      <c r="AR129" s="9">
        <v>0</v>
      </c>
      <c r="AS129" s="9">
        <v>409386</v>
      </c>
      <c r="AT129" s="9">
        <v>409386</v>
      </c>
      <c r="AU129" s="9">
        <v>466224</v>
      </c>
      <c r="AV129" s="9">
        <v>485075</v>
      </c>
      <c r="AW129" s="9">
        <v>500115</v>
      </c>
      <c r="AX129" s="9">
        <v>519396</v>
      </c>
      <c r="AY129" s="9">
        <v>522832</v>
      </c>
      <c r="AZ129" s="9">
        <v>546264</v>
      </c>
      <c r="BA129" s="9">
        <v>16909543</v>
      </c>
      <c r="BB129" s="31">
        <v>16909543</v>
      </c>
      <c r="BC129" s="9">
        <v>0</v>
      </c>
      <c r="BD129" s="9">
        <v>0</v>
      </c>
      <c r="BE129" s="9">
        <v>0</v>
      </c>
      <c r="BF129" s="9">
        <v>2258</v>
      </c>
      <c r="BG129" s="9">
        <v>18485</v>
      </c>
      <c r="BH129" s="9">
        <v>2337404</v>
      </c>
      <c r="BI129" s="9">
        <v>2337404</v>
      </c>
      <c r="BJ129" s="9">
        <v>2337404</v>
      </c>
      <c r="BK129" s="9">
        <v>2337794</v>
      </c>
      <c r="BL129" s="9">
        <v>2345535</v>
      </c>
      <c r="BM129" s="9">
        <v>2359919</v>
      </c>
      <c r="BN129" s="9">
        <v>3609490</v>
      </c>
      <c r="BO129" s="31">
        <v>3609490</v>
      </c>
      <c r="BP129" s="9">
        <v>0</v>
      </c>
      <c r="BQ129" s="9">
        <v>0</v>
      </c>
      <c r="BR129" s="9">
        <v>300</v>
      </c>
      <c r="BS129" s="9">
        <v>300</v>
      </c>
      <c r="BT129" s="9">
        <v>7031</v>
      </c>
      <c r="BU129" s="9">
        <v>11266</v>
      </c>
      <c r="BV129" s="9">
        <v>19572</v>
      </c>
      <c r="BW129" s="9">
        <v>22894</v>
      </c>
      <c r="BX129" s="9">
        <v>16586760</v>
      </c>
      <c r="BY129" s="9">
        <v>21273562</v>
      </c>
      <c r="BZ129" s="9">
        <v>24502232</v>
      </c>
      <c r="CA129" s="9">
        <v>24975646</v>
      </c>
      <c r="CB129" s="31">
        <v>24975646</v>
      </c>
      <c r="CC129" s="9">
        <v>0</v>
      </c>
      <c r="CD129" s="9">
        <v>3254</v>
      </c>
      <c r="CE129" s="9">
        <v>5061</v>
      </c>
      <c r="CF129" s="9">
        <v>11385</v>
      </c>
      <c r="CG129" s="9">
        <v>11385</v>
      </c>
      <c r="CH129" s="9">
        <v>11385</v>
      </c>
      <c r="CI129" s="9">
        <v>11385</v>
      </c>
      <c r="CJ129" s="9">
        <v>11385</v>
      </c>
      <c r="CK129" s="9">
        <v>18572</v>
      </c>
      <c r="CL129" s="9">
        <v>18572</v>
      </c>
      <c r="CM129" s="9">
        <v>4347706</v>
      </c>
      <c r="CN129" s="9">
        <v>10992916</v>
      </c>
      <c r="CO129" s="31">
        <v>10992916</v>
      </c>
      <c r="CP129" s="9">
        <v>0</v>
      </c>
      <c r="CQ129" s="9">
        <v>0</v>
      </c>
      <c r="CR129" s="9">
        <v>0</v>
      </c>
      <c r="CS129" s="9">
        <v>0</v>
      </c>
      <c r="CT129" s="9">
        <v>0</v>
      </c>
      <c r="CU129" s="9">
        <v>818965</v>
      </c>
      <c r="CV129" s="9">
        <v>7013781</v>
      </c>
      <c r="CW129" s="9">
        <v>7014593</v>
      </c>
      <c r="CX129" s="9">
        <v>9738500</v>
      </c>
      <c r="CY129" s="9">
        <v>9773466</v>
      </c>
      <c r="CZ129" s="9">
        <v>7054819</v>
      </c>
      <c r="DA129" s="9">
        <v>11508333</v>
      </c>
      <c r="DB129" s="31">
        <v>11508333</v>
      </c>
      <c r="DC129" s="9">
        <v>0</v>
      </c>
      <c r="DD129" s="9">
        <v>0</v>
      </c>
      <c r="DE129" s="9">
        <v>0</v>
      </c>
      <c r="DF129" s="9">
        <v>0</v>
      </c>
      <c r="DG129" s="9">
        <v>0</v>
      </c>
      <c r="DH129" s="9">
        <v>0</v>
      </c>
      <c r="DI129" s="9">
        <v>4807904</v>
      </c>
      <c r="DJ129" s="9">
        <v>4807904</v>
      </c>
      <c r="DK129" s="9">
        <v>6951849</v>
      </c>
      <c r="DL129" s="9">
        <v>6951849</v>
      </c>
      <c r="DM129" s="9">
        <v>6951849</v>
      </c>
      <c r="DN129" s="9">
        <v>77654384</v>
      </c>
      <c r="DO129" s="31">
        <v>77654384</v>
      </c>
      <c r="DP129" s="9">
        <v>0</v>
      </c>
      <c r="DQ129" s="9">
        <v>0</v>
      </c>
      <c r="DR129" s="9">
        <v>0</v>
      </c>
      <c r="DS129" s="9">
        <v>0</v>
      </c>
      <c r="DT129" s="9">
        <v>0</v>
      </c>
      <c r="DU129" s="9">
        <v>0</v>
      </c>
      <c r="DV129" s="9">
        <v>0</v>
      </c>
      <c r="DW129" s="9">
        <v>0</v>
      </c>
      <c r="DX129" s="9">
        <v>0</v>
      </c>
      <c r="DY129" s="9">
        <v>0</v>
      </c>
      <c r="DZ129" s="9">
        <v>0</v>
      </c>
      <c r="EA129" s="9">
        <v>9403060</v>
      </c>
      <c r="EB129" s="31">
        <v>9403060</v>
      </c>
      <c r="EC129" s="9">
        <v>0</v>
      </c>
      <c r="ED129" s="9">
        <v>0</v>
      </c>
      <c r="EE129" s="9">
        <v>0</v>
      </c>
      <c r="EF129" s="9">
        <v>0</v>
      </c>
      <c r="EG129" s="9">
        <v>0</v>
      </c>
      <c r="EH129" s="9">
        <v>0</v>
      </c>
      <c r="EI129" s="9">
        <v>624</v>
      </c>
      <c r="EJ129" s="9">
        <v>2528</v>
      </c>
      <c r="EK129" s="9">
        <v>2528</v>
      </c>
      <c r="EL129" s="9">
        <v>12983</v>
      </c>
      <c r="EM129" s="9">
        <v>33299</v>
      </c>
      <c r="EN129" s="9">
        <v>44534</v>
      </c>
      <c r="EO129" s="31">
        <v>44534</v>
      </c>
      <c r="EP129" s="9">
        <v>0</v>
      </c>
      <c r="EQ129" s="9">
        <v>0</v>
      </c>
      <c r="ER129" s="9">
        <v>0</v>
      </c>
      <c r="ES129" s="9">
        <v>0</v>
      </c>
      <c r="ET129" s="9">
        <v>10567</v>
      </c>
      <c r="EU129" s="9">
        <v>13756</v>
      </c>
      <c r="EV129" s="9">
        <v>16250</v>
      </c>
      <c r="EW129" s="9">
        <v>16250</v>
      </c>
      <c r="EX129" s="9">
        <v>16250</v>
      </c>
      <c r="EY129" s="9">
        <v>16893</v>
      </c>
      <c r="EZ129" s="9">
        <v>17819</v>
      </c>
      <c r="FA129" s="9">
        <v>17819</v>
      </c>
      <c r="FB129" s="31">
        <v>17819</v>
      </c>
      <c r="FC129" s="9">
        <v>0</v>
      </c>
      <c r="FD129" s="9">
        <v>0</v>
      </c>
      <c r="FE129" s="9">
        <v>0</v>
      </c>
      <c r="FF129" s="9">
        <v>0</v>
      </c>
      <c r="FG129" s="9">
        <v>0</v>
      </c>
      <c r="FH129" s="9">
        <v>0</v>
      </c>
      <c r="FI129" s="9">
        <v>0</v>
      </c>
      <c r="FJ129" s="9">
        <v>0</v>
      </c>
      <c r="FK129" s="9">
        <v>0</v>
      </c>
      <c r="FL129" s="9">
        <v>0</v>
      </c>
      <c r="FM129" s="9">
        <v>0</v>
      </c>
      <c r="FN129" s="9">
        <v>0</v>
      </c>
      <c r="FO129" s="31">
        <v>0</v>
      </c>
    </row>
    <row r="130" spans="2:171" x14ac:dyDescent="0.3">
      <c r="B130" s="7" t="s">
        <v>55</v>
      </c>
      <c r="C130" s="9">
        <v>0</v>
      </c>
      <c r="D130" s="9">
        <v>0</v>
      </c>
      <c r="E130" s="9">
        <v>0</v>
      </c>
      <c r="F130" s="9">
        <v>112</v>
      </c>
      <c r="G130" s="9">
        <v>906</v>
      </c>
      <c r="H130" s="9">
        <v>4130</v>
      </c>
      <c r="I130" s="9">
        <v>4311</v>
      </c>
      <c r="J130" s="9">
        <v>4764</v>
      </c>
      <c r="K130" s="9">
        <v>5601</v>
      </c>
      <c r="L130" s="9">
        <v>8477</v>
      </c>
      <c r="M130" s="9">
        <v>106637</v>
      </c>
      <c r="N130" s="9">
        <v>4100993</v>
      </c>
      <c r="O130" s="31">
        <v>4100993</v>
      </c>
      <c r="P130" s="9">
        <v>0</v>
      </c>
      <c r="Q130" s="9">
        <v>553</v>
      </c>
      <c r="R130" s="9">
        <v>1369</v>
      </c>
      <c r="S130" s="9">
        <v>253682</v>
      </c>
      <c r="T130" s="9">
        <v>253797</v>
      </c>
      <c r="U130" s="9">
        <v>254500</v>
      </c>
      <c r="V130" s="9">
        <v>256337</v>
      </c>
      <c r="W130" s="9">
        <v>257070</v>
      </c>
      <c r="X130" s="9">
        <v>257476</v>
      </c>
      <c r="Y130" s="9">
        <v>257476</v>
      </c>
      <c r="Z130" s="9">
        <v>260492</v>
      </c>
      <c r="AA130" s="9">
        <v>3275639</v>
      </c>
      <c r="AB130" s="31">
        <v>3275639</v>
      </c>
      <c r="AC130" s="9">
        <v>0</v>
      </c>
      <c r="AD130" s="9">
        <v>416</v>
      </c>
      <c r="AE130" s="9">
        <v>416</v>
      </c>
      <c r="AF130" s="9">
        <v>416</v>
      </c>
      <c r="AG130" s="9">
        <v>416</v>
      </c>
      <c r="AH130" s="9">
        <v>746</v>
      </c>
      <c r="AI130" s="9">
        <v>2204</v>
      </c>
      <c r="AJ130" s="9">
        <v>2736</v>
      </c>
      <c r="AK130" s="9">
        <v>3434166</v>
      </c>
      <c r="AL130" s="9">
        <v>3434702</v>
      </c>
      <c r="AM130" s="9">
        <v>3506096</v>
      </c>
      <c r="AN130" s="9">
        <v>4434070</v>
      </c>
      <c r="AO130" s="31">
        <v>4434070</v>
      </c>
      <c r="AP130" s="9">
        <v>0</v>
      </c>
      <c r="AQ130" s="9">
        <v>314</v>
      </c>
      <c r="AR130" s="9">
        <v>1500</v>
      </c>
      <c r="AS130" s="9">
        <v>1500</v>
      </c>
      <c r="AT130" s="9">
        <v>1604</v>
      </c>
      <c r="AU130" s="9">
        <v>3282</v>
      </c>
      <c r="AV130" s="9">
        <v>7705</v>
      </c>
      <c r="AW130" s="9">
        <v>8386</v>
      </c>
      <c r="AX130" s="9">
        <v>9063</v>
      </c>
      <c r="AY130" s="9">
        <v>9647</v>
      </c>
      <c r="AZ130" s="9">
        <v>10129</v>
      </c>
      <c r="BA130" s="9">
        <v>26602</v>
      </c>
      <c r="BB130" s="31">
        <v>26602</v>
      </c>
      <c r="BC130" s="9">
        <v>0</v>
      </c>
      <c r="BD130" s="9">
        <v>348</v>
      </c>
      <c r="BE130" s="9">
        <v>1122</v>
      </c>
      <c r="BF130" s="9">
        <v>2396</v>
      </c>
      <c r="BG130" s="9">
        <v>2643</v>
      </c>
      <c r="BH130" s="9">
        <v>3337</v>
      </c>
      <c r="BI130" s="9">
        <v>3337</v>
      </c>
      <c r="BJ130" s="9">
        <v>3337</v>
      </c>
      <c r="BK130" s="9">
        <v>3558</v>
      </c>
      <c r="BL130" s="9">
        <v>5505</v>
      </c>
      <c r="BM130" s="9">
        <v>5505</v>
      </c>
      <c r="BN130" s="9">
        <v>14456</v>
      </c>
      <c r="BO130" s="31">
        <v>14456</v>
      </c>
      <c r="BP130" s="9">
        <v>0</v>
      </c>
      <c r="BQ130" s="9">
        <v>0</v>
      </c>
      <c r="BR130" s="9">
        <v>5127</v>
      </c>
      <c r="BS130" s="9">
        <v>6422</v>
      </c>
      <c r="BT130" s="9">
        <v>8793</v>
      </c>
      <c r="BU130" s="9">
        <v>9386</v>
      </c>
      <c r="BV130" s="9">
        <v>10936</v>
      </c>
      <c r="BW130" s="9">
        <v>10936</v>
      </c>
      <c r="BX130" s="9">
        <v>12032</v>
      </c>
      <c r="BY130" s="9">
        <v>12271</v>
      </c>
      <c r="BZ130" s="9">
        <v>12528</v>
      </c>
      <c r="CA130" s="9">
        <v>925596</v>
      </c>
      <c r="CB130" s="31">
        <v>925596</v>
      </c>
      <c r="CC130" s="9">
        <v>0</v>
      </c>
      <c r="CD130" s="9">
        <v>2729</v>
      </c>
      <c r="CE130" s="9">
        <v>2729</v>
      </c>
      <c r="CF130" s="9">
        <v>2729</v>
      </c>
      <c r="CG130" s="9">
        <v>2729</v>
      </c>
      <c r="CH130" s="9">
        <v>2729</v>
      </c>
      <c r="CI130" s="9">
        <v>420223</v>
      </c>
      <c r="CJ130" s="9">
        <v>1157320</v>
      </c>
      <c r="CK130" s="9">
        <v>1157320</v>
      </c>
      <c r="CL130" s="9">
        <v>1157397</v>
      </c>
      <c r="CM130" s="9">
        <v>1158760</v>
      </c>
      <c r="CN130" s="9">
        <v>3202644</v>
      </c>
      <c r="CO130" s="31">
        <v>3202644</v>
      </c>
      <c r="CP130" s="9">
        <v>0</v>
      </c>
      <c r="CQ130" s="9">
        <v>0</v>
      </c>
      <c r="CR130" s="9">
        <v>177</v>
      </c>
      <c r="CS130" s="9">
        <v>177</v>
      </c>
      <c r="CT130" s="9">
        <v>177</v>
      </c>
      <c r="CU130" s="9">
        <v>2577</v>
      </c>
      <c r="CV130" s="9">
        <v>2577</v>
      </c>
      <c r="CW130" s="9">
        <v>2577</v>
      </c>
      <c r="CX130" s="9">
        <v>2577</v>
      </c>
      <c r="CY130" s="9">
        <v>2577</v>
      </c>
      <c r="CZ130" s="9">
        <v>5108062</v>
      </c>
      <c r="DA130" s="9">
        <v>5116478</v>
      </c>
      <c r="DB130" s="31">
        <v>5116478</v>
      </c>
      <c r="DC130" s="9">
        <v>0</v>
      </c>
      <c r="DD130" s="9">
        <v>0</v>
      </c>
      <c r="DE130" s="9">
        <v>0</v>
      </c>
      <c r="DF130" s="9">
        <v>0</v>
      </c>
      <c r="DG130" s="9">
        <v>0</v>
      </c>
      <c r="DH130" s="9">
        <v>0</v>
      </c>
      <c r="DI130" s="9">
        <v>1089715</v>
      </c>
      <c r="DJ130" s="9">
        <v>1089715</v>
      </c>
      <c r="DK130" s="9">
        <v>1089715</v>
      </c>
      <c r="DL130" s="9">
        <v>1089715</v>
      </c>
      <c r="DM130" s="9">
        <v>1089715</v>
      </c>
      <c r="DN130" s="9">
        <v>7794548</v>
      </c>
      <c r="DO130" s="31">
        <v>7794548</v>
      </c>
      <c r="DP130" s="9">
        <v>0</v>
      </c>
      <c r="DQ130" s="9">
        <v>0</v>
      </c>
      <c r="DR130" s="9">
        <v>0</v>
      </c>
      <c r="DS130" s="9">
        <v>0</v>
      </c>
      <c r="DT130" s="9">
        <v>0</v>
      </c>
      <c r="DU130" s="9">
        <v>0</v>
      </c>
      <c r="DV130" s="9">
        <v>0</v>
      </c>
      <c r="DW130" s="9">
        <v>0</v>
      </c>
      <c r="DX130" s="9">
        <v>0</v>
      </c>
      <c r="DY130" s="9">
        <v>0</v>
      </c>
      <c r="DZ130" s="9">
        <v>0</v>
      </c>
      <c r="EA130" s="9">
        <v>0</v>
      </c>
      <c r="EB130" s="31">
        <v>0</v>
      </c>
      <c r="EC130" s="9">
        <v>0</v>
      </c>
      <c r="ED130" s="9">
        <v>0</v>
      </c>
      <c r="EE130" s="9">
        <v>0</v>
      </c>
      <c r="EF130" s="9">
        <v>0</v>
      </c>
      <c r="EG130" s="9">
        <v>0</v>
      </c>
      <c r="EH130" s="9">
        <v>850</v>
      </c>
      <c r="EI130" s="9">
        <v>1385</v>
      </c>
      <c r="EJ130" s="9">
        <v>9219</v>
      </c>
      <c r="EK130" s="9">
        <v>9839</v>
      </c>
      <c r="EL130" s="9">
        <v>9839</v>
      </c>
      <c r="EM130" s="9">
        <v>12205</v>
      </c>
      <c r="EN130" s="9">
        <v>300441</v>
      </c>
      <c r="EO130" s="31">
        <v>300441</v>
      </c>
      <c r="EP130" s="9">
        <v>0</v>
      </c>
      <c r="EQ130" s="9">
        <v>0</v>
      </c>
      <c r="ER130" s="9">
        <v>0</v>
      </c>
      <c r="ES130" s="9">
        <v>0</v>
      </c>
      <c r="ET130" s="9">
        <v>0</v>
      </c>
      <c r="EU130" s="9">
        <v>3136</v>
      </c>
      <c r="EV130" s="9">
        <v>6447</v>
      </c>
      <c r="EW130" s="9">
        <v>7416</v>
      </c>
      <c r="EX130" s="9">
        <v>7416</v>
      </c>
      <c r="EY130" s="9">
        <v>7416</v>
      </c>
      <c r="EZ130" s="9">
        <v>7416</v>
      </c>
      <c r="FA130" s="9">
        <v>7416</v>
      </c>
      <c r="FB130" s="31">
        <v>7416</v>
      </c>
      <c r="FC130" s="9">
        <v>0</v>
      </c>
      <c r="FD130" s="9">
        <v>0</v>
      </c>
      <c r="FE130" s="9">
        <v>0</v>
      </c>
      <c r="FF130" s="9">
        <v>0</v>
      </c>
      <c r="FG130" s="9">
        <v>0</v>
      </c>
      <c r="FH130" s="9">
        <v>0</v>
      </c>
      <c r="FI130" s="9">
        <v>0</v>
      </c>
      <c r="FJ130" s="9">
        <v>0</v>
      </c>
      <c r="FK130" s="9">
        <v>0</v>
      </c>
      <c r="FL130" s="9">
        <v>0</v>
      </c>
      <c r="FM130" s="9">
        <v>0</v>
      </c>
      <c r="FN130" s="9">
        <v>0</v>
      </c>
      <c r="FO130" s="31">
        <v>0</v>
      </c>
    </row>
    <row r="131" spans="2:171" x14ac:dyDescent="0.3">
      <c r="B131" s="7" t="s">
        <v>56</v>
      </c>
      <c r="C131" s="9">
        <v>0</v>
      </c>
      <c r="D131" s="9">
        <v>0</v>
      </c>
      <c r="E131" s="9">
        <v>895</v>
      </c>
      <c r="F131" s="9">
        <v>2067</v>
      </c>
      <c r="G131" s="9">
        <v>2208</v>
      </c>
      <c r="H131" s="9">
        <v>2208</v>
      </c>
      <c r="I131" s="9">
        <v>4187</v>
      </c>
      <c r="J131" s="9">
        <v>7442</v>
      </c>
      <c r="K131" s="9">
        <v>7706</v>
      </c>
      <c r="L131" s="9">
        <v>9010</v>
      </c>
      <c r="M131" s="9">
        <v>9010</v>
      </c>
      <c r="N131" s="9">
        <v>21988</v>
      </c>
      <c r="O131" s="31">
        <v>21988</v>
      </c>
      <c r="P131" s="9">
        <v>0</v>
      </c>
      <c r="Q131" s="9">
        <v>0</v>
      </c>
      <c r="R131" s="9">
        <v>0</v>
      </c>
      <c r="S131" s="9">
        <v>1238</v>
      </c>
      <c r="T131" s="9">
        <v>1763</v>
      </c>
      <c r="U131" s="9">
        <v>3863</v>
      </c>
      <c r="V131" s="9">
        <v>6660</v>
      </c>
      <c r="W131" s="9">
        <v>6909</v>
      </c>
      <c r="X131" s="9">
        <v>7990</v>
      </c>
      <c r="Y131" s="9">
        <v>11887</v>
      </c>
      <c r="Z131" s="9">
        <v>17543</v>
      </c>
      <c r="AA131" s="9">
        <v>24420</v>
      </c>
      <c r="AB131" s="31">
        <v>24420</v>
      </c>
      <c r="AC131" s="9">
        <v>0</v>
      </c>
      <c r="AD131" s="9">
        <v>0</v>
      </c>
      <c r="AE131" s="9">
        <v>153</v>
      </c>
      <c r="AF131" s="9">
        <v>4556</v>
      </c>
      <c r="AG131" s="9">
        <v>4589</v>
      </c>
      <c r="AH131" s="9">
        <v>4589</v>
      </c>
      <c r="AI131" s="9">
        <v>7314</v>
      </c>
      <c r="AJ131" s="9">
        <v>12967</v>
      </c>
      <c r="AK131" s="9">
        <v>13300</v>
      </c>
      <c r="AL131" s="9">
        <v>13842</v>
      </c>
      <c r="AM131" s="9">
        <v>18140</v>
      </c>
      <c r="AN131" s="9">
        <v>156604</v>
      </c>
      <c r="AO131" s="31">
        <v>156604</v>
      </c>
      <c r="AP131" s="9">
        <v>0</v>
      </c>
      <c r="AQ131" s="9">
        <v>0</v>
      </c>
      <c r="AR131" s="9">
        <v>0</v>
      </c>
      <c r="AS131" s="9">
        <v>0</v>
      </c>
      <c r="AT131" s="9">
        <v>0</v>
      </c>
      <c r="AU131" s="9">
        <v>4058</v>
      </c>
      <c r="AV131" s="9">
        <v>4870</v>
      </c>
      <c r="AW131" s="9">
        <v>9275</v>
      </c>
      <c r="AX131" s="9">
        <v>13902</v>
      </c>
      <c r="AY131" s="9">
        <v>21091</v>
      </c>
      <c r="AZ131" s="9">
        <v>21091</v>
      </c>
      <c r="BA131" s="9">
        <v>412510</v>
      </c>
      <c r="BB131" s="31">
        <v>412510</v>
      </c>
      <c r="BC131" s="9">
        <v>0</v>
      </c>
      <c r="BD131" s="9">
        <v>0</v>
      </c>
      <c r="BE131" s="9">
        <v>2970</v>
      </c>
      <c r="BF131" s="9">
        <v>4800</v>
      </c>
      <c r="BG131" s="9">
        <v>4920</v>
      </c>
      <c r="BH131" s="9">
        <v>8957</v>
      </c>
      <c r="BI131" s="9">
        <v>13643</v>
      </c>
      <c r="BJ131" s="9">
        <v>15937</v>
      </c>
      <c r="BK131" s="9">
        <v>24680</v>
      </c>
      <c r="BL131" s="9">
        <v>26654</v>
      </c>
      <c r="BM131" s="9">
        <v>27119</v>
      </c>
      <c r="BN131" s="9">
        <v>1068549</v>
      </c>
      <c r="BO131" s="31">
        <v>1068549</v>
      </c>
      <c r="BP131" s="9">
        <v>146</v>
      </c>
      <c r="BQ131" s="9">
        <v>6474</v>
      </c>
      <c r="BR131" s="9">
        <v>7454</v>
      </c>
      <c r="BS131" s="9">
        <v>12104</v>
      </c>
      <c r="BT131" s="9">
        <v>12619</v>
      </c>
      <c r="BU131" s="9">
        <v>13470</v>
      </c>
      <c r="BV131" s="9">
        <v>19489</v>
      </c>
      <c r="BW131" s="9">
        <v>20119</v>
      </c>
      <c r="BX131" s="9">
        <v>20180</v>
      </c>
      <c r="BY131" s="9">
        <v>20180</v>
      </c>
      <c r="BZ131" s="9">
        <v>20180</v>
      </c>
      <c r="CA131" s="9">
        <v>100054</v>
      </c>
      <c r="CB131" s="31">
        <v>100054</v>
      </c>
      <c r="CC131" s="9">
        <v>0</v>
      </c>
      <c r="CD131" s="9">
        <v>0</v>
      </c>
      <c r="CE131" s="9">
        <v>19</v>
      </c>
      <c r="CF131" s="9">
        <v>19</v>
      </c>
      <c r="CG131" s="9">
        <v>2449</v>
      </c>
      <c r="CH131" s="9">
        <v>2449</v>
      </c>
      <c r="CI131" s="9">
        <v>2449</v>
      </c>
      <c r="CJ131" s="9">
        <v>2449</v>
      </c>
      <c r="CK131" s="9">
        <v>2449</v>
      </c>
      <c r="CL131" s="9">
        <v>2449</v>
      </c>
      <c r="CM131" s="9">
        <v>2873</v>
      </c>
      <c r="CN131" s="9">
        <v>435365</v>
      </c>
      <c r="CO131" s="31">
        <v>435365</v>
      </c>
      <c r="CP131" s="9">
        <v>0</v>
      </c>
      <c r="CQ131" s="9">
        <v>0</v>
      </c>
      <c r="CR131" s="9">
        <v>0</v>
      </c>
      <c r="CS131" s="9">
        <v>0</v>
      </c>
      <c r="CT131" s="9">
        <v>133883</v>
      </c>
      <c r="CU131" s="9">
        <v>133883</v>
      </c>
      <c r="CV131" s="9">
        <v>134715</v>
      </c>
      <c r="CW131" s="9">
        <v>139143</v>
      </c>
      <c r="CX131" s="9">
        <v>141927</v>
      </c>
      <c r="CY131" s="9">
        <v>159413</v>
      </c>
      <c r="CZ131" s="9">
        <v>239550</v>
      </c>
      <c r="DA131" s="9">
        <v>239812</v>
      </c>
      <c r="DB131" s="31">
        <v>239812</v>
      </c>
      <c r="DC131" s="9">
        <v>0</v>
      </c>
      <c r="DD131" s="9">
        <v>0</v>
      </c>
      <c r="DE131" s="9">
        <v>0</v>
      </c>
      <c r="DF131" s="9">
        <v>0</v>
      </c>
      <c r="DG131" s="9">
        <v>0</v>
      </c>
      <c r="DH131" s="9">
        <v>0</v>
      </c>
      <c r="DI131" s="9">
        <v>0</v>
      </c>
      <c r="DJ131" s="9">
        <v>0</v>
      </c>
      <c r="DK131" s="9">
        <v>0</v>
      </c>
      <c r="DL131" s="9">
        <v>0</v>
      </c>
      <c r="DM131" s="9">
        <v>0</v>
      </c>
      <c r="DN131" s="9">
        <v>8349454</v>
      </c>
      <c r="DO131" s="31">
        <v>8349454</v>
      </c>
      <c r="DP131" s="9">
        <v>0</v>
      </c>
      <c r="DQ131" s="9">
        <v>0</v>
      </c>
      <c r="DR131" s="9">
        <v>0</v>
      </c>
      <c r="DS131" s="9">
        <v>0</v>
      </c>
      <c r="DT131" s="9">
        <v>0</v>
      </c>
      <c r="DU131" s="9">
        <v>0</v>
      </c>
      <c r="DV131" s="9">
        <v>0</v>
      </c>
      <c r="DW131" s="9">
        <v>0</v>
      </c>
      <c r="DX131" s="9">
        <v>0</v>
      </c>
      <c r="DY131" s="9">
        <v>0</v>
      </c>
      <c r="DZ131" s="9">
        <v>0</v>
      </c>
      <c r="EA131" s="9">
        <v>0</v>
      </c>
      <c r="EB131" s="31">
        <v>0</v>
      </c>
      <c r="EC131" s="9">
        <v>0</v>
      </c>
      <c r="ED131" s="9">
        <v>0</v>
      </c>
      <c r="EE131" s="9">
        <v>0</v>
      </c>
      <c r="EF131" s="9">
        <v>0</v>
      </c>
      <c r="EG131" s="9">
        <v>0</v>
      </c>
      <c r="EH131" s="9">
        <v>1346</v>
      </c>
      <c r="EI131" s="9">
        <v>3274</v>
      </c>
      <c r="EJ131" s="9">
        <v>3274</v>
      </c>
      <c r="EK131" s="9">
        <v>3274</v>
      </c>
      <c r="EL131" s="9">
        <v>5074</v>
      </c>
      <c r="EM131" s="9">
        <v>6833</v>
      </c>
      <c r="EN131" s="9">
        <v>6833</v>
      </c>
      <c r="EO131" s="31">
        <v>6833</v>
      </c>
      <c r="EP131" s="9">
        <v>0</v>
      </c>
      <c r="EQ131" s="9">
        <v>0</v>
      </c>
      <c r="ER131" s="9">
        <v>214</v>
      </c>
      <c r="ES131" s="9">
        <v>214</v>
      </c>
      <c r="ET131" s="9">
        <v>214</v>
      </c>
      <c r="EU131" s="9">
        <v>2902</v>
      </c>
      <c r="EV131" s="9">
        <v>2902</v>
      </c>
      <c r="EW131" s="9">
        <v>2902</v>
      </c>
      <c r="EX131" s="9">
        <v>2902</v>
      </c>
      <c r="EY131" s="9">
        <v>2902</v>
      </c>
      <c r="EZ131" s="9">
        <v>2902</v>
      </c>
      <c r="FA131" s="9">
        <v>2902</v>
      </c>
      <c r="FB131" s="31">
        <v>2902</v>
      </c>
      <c r="FC131" s="9">
        <v>0</v>
      </c>
      <c r="FD131" s="9">
        <v>0</v>
      </c>
      <c r="FE131" s="9">
        <v>0</v>
      </c>
      <c r="FF131" s="9">
        <v>0</v>
      </c>
      <c r="FG131" s="9">
        <v>0</v>
      </c>
      <c r="FH131" s="9">
        <v>0</v>
      </c>
      <c r="FI131" s="9">
        <v>0</v>
      </c>
      <c r="FJ131" s="9">
        <v>0</v>
      </c>
      <c r="FK131" s="9">
        <v>0</v>
      </c>
      <c r="FL131" s="9">
        <v>0</v>
      </c>
      <c r="FM131" s="9">
        <v>0</v>
      </c>
      <c r="FN131" s="9">
        <v>0</v>
      </c>
      <c r="FO131" s="31">
        <v>0</v>
      </c>
    </row>
    <row r="132" spans="2:171" x14ac:dyDescent="0.3">
      <c r="B132" s="7" t="s">
        <v>57</v>
      </c>
      <c r="C132" s="9">
        <v>0</v>
      </c>
      <c r="D132" s="9">
        <v>0</v>
      </c>
      <c r="E132" s="9">
        <v>0</v>
      </c>
      <c r="F132" s="9">
        <v>0</v>
      </c>
      <c r="G132" s="9">
        <v>0</v>
      </c>
      <c r="H132" s="9">
        <v>0</v>
      </c>
      <c r="I132" s="9">
        <v>0</v>
      </c>
      <c r="J132" s="9">
        <v>0</v>
      </c>
      <c r="K132" s="9">
        <v>0</v>
      </c>
      <c r="L132" s="9">
        <v>0</v>
      </c>
      <c r="M132" s="9">
        <v>0</v>
      </c>
      <c r="N132" s="9">
        <v>0</v>
      </c>
      <c r="O132" s="31">
        <v>0</v>
      </c>
      <c r="P132" s="9">
        <v>0</v>
      </c>
      <c r="Q132" s="9">
        <v>0</v>
      </c>
      <c r="R132" s="9">
        <v>0</v>
      </c>
      <c r="S132" s="9">
        <v>0</v>
      </c>
      <c r="T132" s="9">
        <v>0</v>
      </c>
      <c r="U132" s="9">
        <v>0</v>
      </c>
      <c r="V132" s="9">
        <v>0</v>
      </c>
      <c r="W132" s="9">
        <v>0</v>
      </c>
      <c r="X132" s="9">
        <v>0</v>
      </c>
      <c r="Y132" s="9">
        <v>0</v>
      </c>
      <c r="Z132" s="9">
        <v>0</v>
      </c>
      <c r="AA132" s="9">
        <v>0</v>
      </c>
      <c r="AB132" s="31">
        <v>0</v>
      </c>
      <c r="AC132" s="9">
        <v>0</v>
      </c>
      <c r="AD132" s="9">
        <v>0</v>
      </c>
      <c r="AE132" s="9">
        <v>0</v>
      </c>
      <c r="AF132" s="9">
        <v>0</v>
      </c>
      <c r="AG132" s="9">
        <v>0</v>
      </c>
      <c r="AH132" s="9">
        <v>0</v>
      </c>
      <c r="AI132" s="9">
        <v>0</v>
      </c>
      <c r="AJ132" s="9">
        <v>0</v>
      </c>
      <c r="AK132" s="9">
        <v>0</v>
      </c>
      <c r="AL132" s="9">
        <v>0</v>
      </c>
      <c r="AM132" s="9">
        <v>0</v>
      </c>
      <c r="AN132" s="9">
        <v>0</v>
      </c>
      <c r="AO132" s="31">
        <v>0</v>
      </c>
      <c r="AP132" s="9">
        <v>0</v>
      </c>
      <c r="AQ132" s="9">
        <v>0</v>
      </c>
      <c r="AR132" s="9">
        <v>0</v>
      </c>
      <c r="AS132" s="9">
        <v>0</v>
      </c>
      <c r="AT132" s="9">
        <v>0</v>
      </c>
      <c r="AU132" s="9">
        <v>0</v>
      </c>
      <c r="AV132" s="9">
        <v>0</v>
      </c>
      <c r="AW132" s="9">
        <v>0</v>
      </c>
      <c r="AX132" s="9">
        <v>0</v>
      </c>
      <c r="AY132" s="9">
        <v>0</v>
      </c>
      <c r="AZ132" s="9">
        <v>0</v>
      </c>
      <c r="BA132" s="9">
        <v>0</v>
      </c>
      <c r="BB132" s="31">
        <v>0</v>
      </c>
      <c r="BC132" s="9">
        <v>0</v>
      </c>
      <c r="BD132" s="9">
        <v>0</v>
      </c>
      <c r="BE132" s="9">
        <v>0</v>
      </c>
      <c r="BF132" s="9">
        <v>0</v>
      </c>
      <c r="BG132" s="9">
        <v>0</v>
      </c>
      <c r="BH132" s="9">
        <v>0</v>
      </c>
      <c r="BI132" s="9">
        <v>0</v>
      </c>
      <c r="BJ132" s="9">
        <v>0</v>
      </c>
      <c r="BK132" s="9">
        <v>0</v>
      </c>
      <c r="BL132" s="9">
        <v>0</v>
      </c>
      <c r="BM132" s="9">
        <v>0</v>
      </c>
      <c r="BN132" s="9">
        <v>0</v>
      </c>
      <c r="BO132" s="31">
        <v>0</v>
      </c>
      <c r="BP132" s="9">
        <v>0</v>
      </c>
      <c r="BQ132" s="9">
        <v>0</v>
      </c>
      <c r="BR132" s="9">
        <v>0</v>
      </c>
      <c r="BS132" s="9">
        <v>0</v>
      </c>
      <c r="BT132" s="9">
        <v>0</v>
      </c>
      <c r="BU132" s="9">
        <v>6005</v>
      </c>
      <c r="BV132" s="9">
        <v>19302</v>
      </c>
      <c r="BW132" s="9">
        <v>23136</v>
      </c>
      <c r="BX132" s="9">
        <v>48334</v>
      </c>
      <c r="BY132" s="9">
        <v>53427</v>
      </c>
      <c r="BZ132" s="9">
        <v>53821</v>
      </c>
      <c r="CA132" s="9">
        <v>68405</v>
      </c>
      <c r="CB132" s="31">
        <v>68405</v>
      </c>
      <c r="CC132" s="9">
        <v>0</v>
      </c>
      <c r="CD132" s="9">
        <v>0</v>
      </c>
      <c r="CE132" s="9">
        <v>0</v>
      </c>
      <c r="CF132" s="9">
        <v>0</v>
      </c>
      <c r="CG132" s="9">
        <v>0</v>
      </c>
      <c r="CH132" s="9">
        <v>0</v>
      </c>
      <c r="CI132" s="9">
        <v>0</v>
      </c>
      <c r="CJ132" s="9">
        <v>894</v>
      </c>
      <c r="CK132" s="9">
        <v>894</v>
      </c>
      <c r="CL132" s="9">
        <v>986</v>
      </c>
      <c r="CM132" s="9">
        <v>8590</v>
      </c>
      <c r="CN132" s="9">
        <v>16467</v>
      </c>
      <c r="CO132" s="31">
        <v>16467</v>
      </c>
      <c r="CP132" s="9">
        <v>0</v>
      </c>
      <c r="CQ132" s="9">
        <v>0</v>
      </c>
      <c r="CR132" s="9">
        <v>0</v>
      </c>
      <c r="CS132" s="9">
        <v>0</v>
      </c>
      <c r="CT132" s="9">
        <v>0</v>
      </c>
      <c r="CU132" s="9">
        <v>0</v>
      </c>
      <c r="CV132" s="9">
        <v>0</v>
      </c>
      <c r="CW132" s="9">
        <v>560</v>
      </c>
      <c r="CX132" s="9">
        <v>1711</v>
      </c>
      <c r="CY132" s="9">
        <v>1711</v>
      </c>
      <c r="CZ132" s="9">
        <v>1903</v>
      </c>
      <c r="DA132" s="9">
        <v>2042332</v>
      </c>
      <c r="DB132" s="31">
        <v>2042332</v>
      </c>
      <c r="DC132" s="9">
        <v>0</v>
      </c>
      <c r="DD132" s="9">
        <v>0</v>
      </c>
      <c r="DE132" s="9">
        <v>0</v>
      </c>
      <c r="DF132" s="9">
        <v>0</v>
      </c>
      <c r="DG132" s="9">
        <v>0</v>
      </c>
      <c r="DH132" s="9">
        <v>0</v>
      </c>
      <c r="DI132" s="9">
        <v>0</v>
      </c>
      <c r="DJ132" s="9">
        <v>0</v>
      </c>
      <c r="DK132" s="9">
        <v>0</v>
      </c>
      <c r="DL132" s="9">
        <v>0</v>
      </c>
      <c r="DM132" s="9">
        <v>0</v>
      </c>
      <c r="DN132" s="9">
        <v>1567369</v>
      </c>
      <c r="DO132" s="31">
        <v>1567369</v>
      </c>
      <c r="DP132" s="9">
        <v>0</v>
      </c>
      <c r="DQ132" s="9">
        <v>0</v>
      </c>
      <c r="DR132" s="9">
        <v>0</v>
      </c>
      <c r="DS132" s="9">
        <v>0</v>
      </c>
      <c r="DT132" s="9">
        <v>3981686</v>
      </c>
      <c r="DU132" s="9">
        <v>3981686</v>
      </c>
      <c r="DV132" s="9">
        <v>3981686</v>
      </c>
      <c r="DW132" s="9">
        <v>3981686</v>
      </c>
      <c r="DX132" s="9">
        <v>3985290</v>
      </c>
      <c r="DY132" s="9">
        <v>3985290</v>
      </c>
      <c r="DZ132" s="9">
        <v>3985290</v>
      </c>
      <c r="EA132" s="9">
        <v>4032137</v>
      </c>
      <c r="EB132" s="31">
        <v>4032137</v>
      </c>
      <c r="EC132" s="9">
        <v>0</v>
      </c>
      <c r="ED132" s="9">
        <v>0</v>
      </c>
      <c r="EE132" s="9">
        <v>0</v>
      </c>
      <c r="EF132" s="9">
        <v>0</v>
      </c>
      <c r="EG132" s="9">
        <v>0</v>
      </c>
      <c r="EH132" s="9">
        <v>0</v>
      </c>
      <c r="EI132" s="9">
        <v>0</v>
      </c>
      <c r="EJ132" s="9">
        <v>0</v>
      </c>
      <c r="EK132" s="9">
        <v>0</v>
      </c>
      <c r="EL132" s="9">
        <v>3998</v>
      </c>
      <c r="EM132" s="9">
        <v>6042</v>
      </c>
      <c r="EN132" s="9">
        <v>6042</v>
      </c>
      <c r="EO132" s="31">
        <v>6042</v>
      </c>
      <c r="EP132" s="9">
        <v>0</v>
      </c>
      <c r="EQ132" s="9">
        <v>0</v>
      </c>
      <c r="ER132" s="9">
        <v>0</v>
      </c>
      <c r="ES132" s="9">
        <v>0</v>
      </c>
      <c r="ET132" s="9">
        <v>0</v>
      </c>
      <c r="EU132" s="9">
        <v>8294</v>
      </c>
      <c r="EV132" s="9">
        <v>8294</v>
      </c>
      <c r="EW132" s="9">
        <v>8815</v>
      </c>
      <c r="EX132" s="9">
        <v>8815</v>
      </c>
      <c r="EY132" s="9">
        <v>8815</v>
      </c>
      <c r="EZ132" s="9">
        <v>8815</v>
      </c>
      <c r="FA132" s="9">
        <v>8815</v>
      </c>
      <c r="FB132" s="31">
        <v>8815</v>
      </c>
      <c r="FC132" s="9">
        <v>0</v>
      </c>
      <c r="FD132" s="9">
        <v>0</v>
      </c>
      <c r="FE132" s="9">
        <v>0</v>
      </c>
      <c r="FF132" s="9">
        <v>0</v>
      </c>
      <c r="FG132" s="9">
        <v>0</v>
      </c>
      <c r="FH132" s="9">
        <v>0</v>
      </c>
      <c r="FI132" s="9">
        <v>0</v>
      </c>
      <c r="FJ132" s="9">
        <v>0</v>
      </c>
      <c r="FK132" s="9">
        <v>0</v>
      </c>
      <c r="FL132" s="9">
        <v>0</v>
      </c>
      <c r="FM132" s="9">
        <v>0</v>
      </c>
      <c r="FN132" s="9">
        <v>0</v>
      </c>
      <c r="FO132" s="31">
        <v>0</v>
      </c>
    </row>
    <row r="133" spans="2:171" x14ac:dyDescent="0.3">
      <c r="B133" s="7" t="s">
        <v>58</v>
      </c>
      <c r="C133" s="9">
        <v>0</v>
      </c>
      <c r="D133" s="9">
        <v>0</v>
      </c>
      <c r="E133" s="9">
        <v>0</v>
      </c>
      <c r="F133" s="9">
        <v>2736</v>
      </c>
      <c r="G133" s="9">
        <v>10638</v>
      </c>
      <c r="H133" s="9">
        <v>11029</v>
      </c>
      <c r="I133" s="9">
        <v>11029</v>
      </c>
      <c r="J133" s="9">
        <v>11741</v>
      </c>
      <c r="K133" s="9">
        <v>43457</v>
      </c>
      <c r="L133" s="9">
        <v>45633</v>
      </c>
      <c r="M133" s="9">
        <v>46022</v>
      </c>
      <c r="N133" s="9">
        <v>134261</v>
      </c>
      <c r="O133" s="31">
        <v>134261</v>
      </c>
      <c r="P133" s="9">
        <v>0</v>
      </c>
      <c r="Q133" s="9">
        <v>143</v>
      </c>
      <c r="R133" s="9">
        <v>143</v>
      </c>
      <c r="S133" s="9">
        <v>4549</v>
      </c>
      <c r="T133" s="9">
        <v>9980</v>
      </c>
      <c r="U133" s="9">
        <v>18423</v>
      </c>
      <c r="V133" s="9">
        <v>21351</v>
      </c>
      <c r="W133" s="9">
        <v>28030</v>
      </c>
      <c r="X133" s="9">
        <v>29408</v>
      </c>
      <c r="Y133" s="9">
        <v>462750</v>
      </c>
      <c r="Z133" s="9">
        <v>466342</v>
      </c>
      <c r="AA133" s="9">
        <v>746174</v>
      </c>
      <c r="AB133" s="31">
        <v>746174</v>
      </c>
      <c r="AC133" s="9">
        <v>0</v>
      </c>
      <c r="AD133" s="9">
        <v>671</v>
      </c>
      <c r="AE133" s="9">
        <v>5496</v>
      </c>
      <c r="AF133" s="9">
        <v>12134</v>
      </c>
      <c r="AG133" s="9">
        <v>13694</v>
      </c>
      <c r="AH133" s="9">
        <v>14877</v>
      </c>
      <c r="AI133" s="9">
        <v>15565</v>
      </c>
      <c r="AJ133" s="9">
        <v>24266</v>
      </c>
      <c r="AK133" s="9">
        <v>26417</v>
      </c>
      <c r="AL133" s="9">
        <v>26612</v>
      </c>
      <c r="AM133" s="9">
        <v>74255</v>
      </c>
      <c r="AN133" s="9">
        <v>651913</v>
      </c>
      <c r="AO133" s="31">
        <v>651913</v>
      </c>
      <c r="AP133" s="9">
        <v>0</v>
      </c>
      <c r="AQ133" s="9">
        <v>0</v>
      </c>
      <c r="AR133" s="9">
        <v>1620</v>
      </c>
      <c r="AS133" s="9">
        <v>4408</v>
      </c>
      <c r="AT133" s="9">
        <v>7934</v>
      </c>
      <c r="AU133" s="9">
        <v>9198</v>
      </c>
      <c r="AV133" s="9">
        <v>10271</v>
      </c>
      <c r="AW133" s="9">
        <v>10377</v>
      </c>
      <c r="AX133" s="9">
        <v>117418</v>
      </c>
      <c r="AY133" s="9">
        <v>188923</v>
      </c>
      <c r="AZ133" s="9">
        <v>238553</v>
      </c>
      <c r="BA133" s="9">
        <v>344456</v>
      </c>
      <c r="BB133" s="31">
        <v>344456</v>
      </c>
      <c r="BC133" s="9">
        <v>0</v>
      </c>
      <c r="BD133" s="9">
        <v>0</v>
      </c>
      <c r="BE133" s="9">
        <v>0</v>
      </c>
      <c r="BF133" s="9">
        <v>525</v>
      </c>
      <c r="BG133" s="9">
        <v>661</v>
      </c>
      <c r="BH133" s="9">
        <v>661</v>
      </c>
      <c r="BI133" s="9">
        <v>3780</v>
      </c>
      <c r="BJ133" s="9">
        <v>15528</v>
      </c>
      <c r="BK133" s="9">
        <v>89443</v>
      </c>
      <c r="BL133" s="9">
        <v>134787</v>
      </c>
      <c r="BM133" s="9">
        <v>227786</v>
      </c>
      <c r="BN133" s="9">
        <v>252403</v>
      </c>
      <c r="BO133" s="31">
        <v>252403</v>
      </c>
      <c r="BP133" s="9">
        <v>113</v>
      </c>
      <c r="BQ133" s="9">
        <v>338</v>
      </c>
      <c r="BR133" s="9">
        <v>818</v>
      </c>
      <c r="BS133" s="9">
        <v>1199</v>
      </c>
      <c r="BT133" s="9">
        <v>3670</v>
      </c>
      <c r="BU133" s="9">
        <v>4145</v>
      </c>
      <c r="BV133" s="9">
        <v>737899</v>
      </c>
      <c r="BW133" s="9">
        <v>738003</v>
      </c>
      <c r="BX133" s="9">
        <v>739366</v>
      </c>
      <c r="BY133" s="9">
        <v>739366</v>
      </c>
      <c r="BZ133" s="9">
        <v>739366</v>
      </c>
      <c r="CA133" s="9">
        <v>741926</v>
      </c>
      <c r="CB133" s="31">
        <v>741926</v>
      </c>
      <c r="CC133" s="9">
        <v>117</v>
      </c>
      <c r="CD133" s="9">
        <v>1826</v>
      </c>
      <c r="CE133" s="9">
        <v>3404</v>
      </c>
      <c r="CF133" s="9">
        <v>3764</v>
      </c>
      <c r="CG133" s="9">
        <v>3764</v>
      </c>
      <c r="CH133" s="9">
        <v>3764</v>
      </c>
      <c r="CI133" s="9">
        <v>3764</v>
      </c>
      <c r="CJ133" s="9">
        <v>3934</v>
      </c>
      <c r="CK133" s="9">
        <v>3934</v>
      </c>
      <c r="CL133" s="9">
        <v>3934</v>
      </c>
      <c r="CM133" s="9">
        <v>3934</v>
      </c>
      <c r="CN133" s="9">
        <v>21112</v>
      </c>
      <c r="CO133" s="31">
        <v>21112</v>
      </c>
      <c r="CP133" s="9">
        <v>0</v>
      </c>
      <c r="CQ133" s="9">
        <v>870</v>
      </c>
      <c r="CR133" s="9">
        <v>1458</v>
      </c>
      <c r="CS133" s="9">
        <v>3386</v>
      </c>
      <c r="CT133" s="9">
        <v>3487</v>
      </c>
      <c r="CU133" s="9">
        <v>6325</v>
      </c>
      <c r="CV133" s="9">
        <v>7128</v>
      </c>
      <c r="CW133" s="9">
        <v>7309</v>
      </c>
      <c r="CX133" s="9">
        <v>9657</v>
      </c>
      <c r="CY133" s="9">
        <v>716143</v>
      </c>
      <c r="CZ133" s="9">
        <v>735465</v>
      </c>
      <c r="DA133" s="9">
        <v>810675</v>
      </c>
      <c r="DB133" s="31">
        <v>810675</v>
      </c>
      <c r="DC133" s="9">
        <v>0</v>
      </c>
      <c r="DD133" s="9">
        <v>0</v>
      </c>
      <c r="DE133" s="9">
        <v>0</v>
      </c>
      <c r="DF133" s="9">
        <v>0</v>
      </c>
      <c r="DG133" s="9">
        <v>0</v>
      </c>
      <c r="DH133" s="9">
        <v>0</v>
      </c>
      <c r="DI133" s="9">
        <v>0</v>
      </c>
      <c r="DJ133" s="9">
        <v>0</v>
      </c>
      <c r="DK133" s="9">
        <v>0</v>
      </c>
      <c r="DL133" s="9">
        <v>0</v>
      </c>
      <c r="DM133" s="9">
        <v>0</v>
      </c>
      <c r="DN133" s="9">
        <v>3664311</v>
      </c>
      <c r="DO133" s="31">
        <v>3664311</v>
      </c>
      <c r="DP133" s="9">
        <v>0</v>
      </c>
      <c r="DQ133" s="9">
        <v>0</v>
      </c>
      <c r="DR133" s="9">
        <v>0</v>
      </c>
      <c r="DS133" s="9">
        <v>0</v>
      </c>
      <c r="DT133" s="9">
        <v>0</v>
      </c>
      <c r="DU133" s="9">
        <v>0</v>
      </c>
      <c r="DV133" s="9">
        <v>0</v>
      </c>
      <c r="DW133" s="9">
        <v>0</v>
      </c>
      <c r="DX133" s="9">
        <v>0</v>
      </c>
      <c r="DY133" s="9">
        <v>0</v>
      </c>
      <c r="DZ133" s="9">
        <v>0</v>
      </c>
      <c r="EA133" s="9">
        <v>8425439</v>
      </c>
      <c r="EB133" s="31">
        <v>8425439</v>
      </c>
      <c r="EC133" s="9">
        <v>0</v>
      </c>
      <c r="ED133" s="9">
        <v>0</v>
      </c>
      <c r="EE133" s="9">
        <v>0</v>
      </c>
      <c r="EF133" s="9">
        <v>0</v>
      </c>
      <c r="EG133" s="9">
        <v>0</v>
      </c>
      <c r="EH133" s="9">
        <v>999</v>
      </c>
      <c r="EI133" s="9">
        <v>2597</v>
      </c>
      <c r="EJ133" s="9">
        <v>5244</v>
      </c>
      <c r="EK133" s="9">
        <v>7293</v>
      </c>
      <c r="EL133" s="9">
        <v>7293</v>
      </c>
      <c r="EM133" s="9">
        <v>10404</v>
      </c>
      <c r="EN133" s="9">
        <v>12190</v>
      </c>
      <c r="EO133" s="31">
        <v>12190</v>
      </c>
      <c r="EP133" s="9">
        <v>0</v>
      </c>
      <c r="EQ133" s="9">
        <v>0</v>
      </c>
      <c r="ER133" s="9">
        <v>140</v>
      </c>
      <c r="ES133" s="9">
        <v>1004</v>
      </c>
      <c r="ET133" s="9">
        <v>9070</v>
      </c>
      <c r="EU133" s="9">
        <v>9776</v>
      </c>
      <c r="EV133" s="9">
        <v>9776</v>
      </c>
      <c r="EW133" s="9">
        <v>9996</v>
      </c>
      <c r="EX133" s="9">
        <v>9996</v>
      </c>
      <c r="EY133" s="9">
        <v>11792</v>
      </c>
      <c r="EZ133" s="9">
        <v>11792</v>
      </c>
      <c r="FA133" s="9">
        <v>11792</v>
      </c>
      <c r="FB133" s="31">
        <v>11792</v>
      </c>
      <c r="FC133" s="9">
        <v>0</v>
      </c>
      <c r="FD133" s="9">
        <v>0</v>
      </c>
      <c r="FE133" s="9">
        <v>0</v>
      </c>
      <c r="FF133" s="9">
        <v>0</v>
      </c>
      <c r="FG133" s="9">
        <v>0</v>
      </c>
      <c r="FH133" s="9">
        <v>0</v>
      </c>
      <c r="FI133" s="9">
        <v>0</v>
      </c>
      <c r="FJ133" s="9">
        <v>0</v>
      </c>
      <c r="FK133" s="9">
        <v>0</v>
      </c>
      <c r="FL133" s="9">
        <v>0</v>
      </c>
      <c r="FM133" s="9">
        <v>0</v>
      </c>
      <c r="FN133" s="9">
        <v>0</v>
      </c>
      <c r="FO133" s="31">
        <v>0</v>
      </c>
    </row>
    <row r="134" spans="2:171" x14ac:dyDescent="0.3">
      <c r="B134" s="7" t="s">
        <v>59</v>
      </c>
      <c r="C134" s="9">
        <v>0</v>
      </c>
      <c r="D134" s="9">
        <v>0</v>
      </c>
      <c r="E134" s="9">
        <v>0</v>
      </c>
      <c r="F134" s="9">
        <v>600</v>
      </c>
      <c r="G134" s="9">
        <v>600</v>
      </c>
      <c r="H134" s="9">
        <v>7907</v>
      </c>
      <c r="I134" s="9">
        <v>9540</v>
      </c>
      <c r="J134" s="9">
        <v>18395</v>
      </c>
      <c r="K134" s="9">
        <v>18395</v>
      </c>
      <c r="L134" s="9">
        <v>18467</v>
      </c>
      <c r="M134" s="9">
        <v>18467</v>
      </c>
      <c r="N134" s="9">
        <v>18467</v>
      </c>
      <c r="O134" s="31">
        <v>18467</v>
      </c>
      <c r="P134" s="9">
        <v>0</v>
      </c>
      <c r="Q134" s="9">
        <v>2360</v>
      </c>
      <c r="R134" s="9">
        <v>2360</v>
      </c>
      <c r="S134" s="9">
        <v>2360</v>
      </c>
      <c r="T134" s="9">
        <v>10224</v>
      </c>
      <c r="U134" s="9">
        <v>12127</v>
      </c>
      <c r="V134" s="9">
        <v>12127</v>
      </c>
      <c r="W134" s="9">
        <v>17200</v>
      </c>
      <c r="X134" s="9">
        <v>19157</v>
      </c>
      <c r="Y134" s="9">
        <v>19459</v>
      </c>
      <c r="Z134" s="9">
        <v>20432</v>
      </c>
      <c r="AA134" s="9">
        <v>100869</v>
      </c>
      <c r="AB134" s="31">
        <v>100869</v>
      </c>
      <c r="AC134" s="9">
        <v>976</v>
      </c>
      <c r="AD134" s="9">
        <v>976</v>
      </c>
      <c r="AE134" s="9">
        <v>3706</v>
      </c>
      <c r="AF134" s="9">
        <v>21134</v>
      </c>
      <c r="AG134" s="9">
        <v>21329</v>
      </c>
      <c r="AH134" s="9">
        <v>21670</v>
      </c>
      <c r="AI134" s="9">
        <v>23429</v>
      </c>
      <c r="AJ134" s="9">
        <v>23520</v>
      </c>
      <c r="AK134" s="9">
        <v>149640</v>
      </c>
      <c r="AL134" s="9">
        <v>189606</v>
      </c>
      <c r="AM134" s="9">
        <v>195392</v>
      </c>
      <c r="AN134" s="9">
        <v>241996</v>
      </c>
      <c r="AO134" s="31">
        <v>241996</v>
      </c>
      <c r="AP134" s="9">
        <v>0</v>
      </c>
      <c r="AQ134" s="9">
        <v>0</v>
      </c>
      <c r="AR134" s="9">
        <v>2247</v>
      </c>
      <c r="AS134" s="9">
        <v>5201</v>
      </c>
      <c r="AT134" s="9">
        <v>17096</v>
      </c>
      <c r="AU134" s="9">
        <v>17222</v>
      </c>
      <c r="AV134" s="9">
        <v>17222</v>
      </c>
      <c r="AW134" s="9">
        <v>18336</v>
      </c>
      <c r="AX134" s="9">
        <v>20282</v>
      </c>
      <c r="AY134" s="9">
        <v>20118</v>
      </c>
      <c r="AZ134" s="9">
        <v>24650</v>
      </c>
      <c r="BA134" s="9">
        <v>220486</v>
      </c>
      <c r="BB134" s="31">
        <v>220486</v>
      </c>
      <c r="BC134" s="9">
        <v>0</v>
      </c>
      <c r="BD134" s="9">
        <v>0</v>
      </c>
      <c r="BE134" s="9">
        <v>0</v>
      </c>
      <c r="BF134" s="9">
        <v>10188</v>
      </c>
      <c r="BG134" s="9">
        <v>10939</v>
      </c>
      <c r="BH134" s="9">
        <v>11067</v>
      </c>
      <c r="BI134" s="9">
        <v>11717</v>
      </c>
      <c r="BJ134" s="9">
        <v>12409</v>
      </c>
      <c r="BK134" s="9">
        <v>12409</v>
      </c>
      <c r="BL134" s="9">
        <v>14329</v>
      </c>
      <c r="BM134" s="9">
        <v>19076</v>
      </c>
      <c r="BN134" s="9">
        <v>24630</v>
      </c>
      <c r="BO134" s="31">
        <v>24630</v>
      </c>
      <c r="BP134" s="9">
        <v>0</v>
      </c>
      <c r="BQ134" s="9">
        <v>2942</v>
      </c>
      <c r="BR134" s="9">
        <v>3622</v>
      </c>
      <c r="BS134" s="9">
        <v>6065</v>
      </c>
      <c r="BT134" s="9">
        <v>7235</v>
      </c>
      <c r="BU134" s="9">
        <v>7985</v>
      </c>
      <c r="BV134" s="9">
        <v>9106</v>
      </c>
      <c r="BW134" s="9">
        <v>9106</v>
      </c>
      <c r="BX134" s="9">
        <v>9442</v>
      </c>
      <c r="BY134" s="9">
        <v>11426</v>
      </c>
      <c r="BZ134" s="9">
        <v>12244</v>
      </c>
      <c r="CA134" s="9">
        <v>3013455</v>
      </c>
      <c r="CB134" s="31">
        <v>3013455</v>
      </c>
      <c r="CC134" s="9">
        <v>374</v>
      </c>
      <c r="CD134" s="9">
        <v>5451</v>
      </c>
      <c r="CE134" s="9">
        <v>6295</v>
      </c>
      <c r="CF134" s="9">
        <v>6624</v>
      </c>
      <c r="CG134" s="9">
        <v>6876</v>
      </c>
      <c r="CH134" s="9">
        <v>6876</v>
      </c>
      <c r="CI134" s="9">
        <v>9442</v>
      </c>
      <c r="CJ134" s="9">
        <v>10334</v>
      </c>
      <c r="CK134" s="9">
        <v>34971</v>
      </c>
      <c r="CL134" s="9">
        <v>145553</v>
      </c>
      <c r="CM134" s="9">
        <v>1584102</v>
      </c>
      <c r="CN134" s="9">
        <v>1595083</v>
      </c>
      <c r="CO134" s="31">
        <v>1595083</v>
      </c>
      <c r="CP134" s="9">
        <v>0</v>
      </c>
      <c r="CQ134" s="9">
        <v>0</v>
      </c>
      <c r="CR134" s="9">
        <v>0</v>
      </c>
      <c r="CS134" s="9">
        <v>0</v>
      </c>
      <c r="CT134" s="9">
        <v>333</v>
      </c>
      <c r="CU134" s="9">
        <v>901</v>
      </c>
      <c r="CV134" s="9">
        <v>1406</v>
      </c>
      <c r="CW134" s="9">
        <v>5244</v>
      </c>
      <c r="CX134" s="9">
        <v>10081</v>
      </c>
      <c r="CY134" s="9">
        <v>12296</v>
      </c>
      <c r="CZ134" s="9">
        <v>13676</v>
      </c>
      <c r="DA134" s="9">
        <v>169559</v>
      </c>
      <c r="DB134" s="31">
        <v>169559</v>
      </c>
      <c r="DC134" s="9">
        <v>0</v>
      </c>
      <c r="DD134" s="9">
        <v>0</v>
      </c>
      <c r="DE134" s="9">
        <v>0</v>
      </c>
      <c r="DF134" s="9">
        <v>0</v>
      </c>
      <c r="DG134" s="9">
        <v>0</v>
      </c>
      <c r="DH134" s="9">
        <v>0</v>
      </c>
      <c r="DI134" s="9">
        <v>0</v>
      </c>
      <c r="DJ134" s="9">
        <v>0</v>
      </c>
      <c r="DK134" s="9">
        <v>0</v>
      </c>
      <c r="DL134" s="9">
        <v>0</v>
      </c>
      <c r="DM134" s="9">
        <v>0</v>
      </c>
      <c r="DN134" s="9">
        <v>11444544</v>
      </c>
      <c r="DO134" s="31">
        <v>11444544</v>
      </c>
      <c r="DP134" s="9">
        <v>0</v>
      </c>
      <c r="DQ134" s="9">
        <v>0</v>
      </c>
      <c r="DR134" s="9">
        <v>0</v>
      </c>
      <c r="DS134" s="9">
        <v>0</v>
      </c>
      <c r="DT134" s="9">
        <v>0</v>
      </c>
      <c r="DU134" s="9">
        <v>0</v>
      </c>
      <c r="DV134" s="9">
        <v>0</v>
      </c>
      <c r="DW134" s="9">
        <v>0</v>
      </c>
      <c r="DX134" s="9">
        <v>0</v>
      </c>
      <c r="DY134" s="9">
        <v>0</v>
      </c>
      <c r="DZ134" s="9">
        <v>0</v>
      </c>
      <c r="EA134" s="9">
        <v>0</v>
      </c>
      <c r="EB134" s="31">
        <v>0</v>
      </c>
      <c r="EC134" s="9">
        <v>0</v>
      </c>
      <c r="ED134" s="9">
        <v>0</v>
      </c>
      <c r="EE134" s="9">
        <v>0</v>
      </c>
      <c r="EF134" s="9">
        <v>0</v>
      </c>
      <c r="EG134" s="9">
        <v>6292</v>
      </c>
      <c r="EH134" s="9">
        <v>6292</v>
      </c>
      <c r="EI134" s="9">
        <v>6292</v>
      </c>
      <c r="EJ134" s="9">
        <v>7426</v>
      </c>
      <c r="EK134" s="9">
        <v>8970</v>
      </c>
      <c r="EL134" s="9">
        <v>8970</v>
      </c>
      <c r="EM134" s="9">
        <v>10089</v>
      </c>
      <c r="EN134" s="9">
        <v>12134</v>
      </c>
      <c r="EO134" s="31">
        <v>12134</v>
      </c>
      <c r="EP134" s="9">
        <v>0</v>
      </c>
      <c r="EQ134" s="9">
        <v>0</v>
      </c>
      <c r="ER134" s="9">
        <v>0</v>
      </c>
      <c r="ES134" s="9">
        <v>5800</v>
      </c>
      <c r="ET134" s="9">
        <v>5800</v>
      </c>
      <c r="EU134" s="9">
        <v>5800</v>
      </c>
      <c r="EV134" s="9">
        <v>6800</v>
      </c>
      <c r="EW134" s="9">
        <v>6901</v>
      </c>
      <c r="EX134" s="9">
        <v>6901</v>
      </c>
      <c r="EY134" s="9">
        <v>6901</v>
      </c>
      <c r="EZ134" s="9">
        <v>6901</v>
      </c>
      <c r="FA134" s="9">
        <v>6901</v>
      </c>
      <c r="FB134" s="31">
        <v>6901</v>
      </c>
      <c r="FC134" s="9">
        <v>0</v>
      </c>
      <c r="FD134" s="9">
        <v>0</v>
      </c>
      <c r="FE134" s="9">
        <v>0</v>
      </c>
      <c r="FF134" s="9">
        <v>0</v>
      </c>
      <c r="FG134" s="9">
        <v>0</v>
      </c>
      <c r="FH134" s="9">
        <v>0</v>
      </c>
      <c r="FI134" s="9">
        <v>0</v>
      </c>
      <c r="FJ134" s="9">
        <v>0</v>
      </c>
      <c r="FK134" s="9">
        <v>0</v>
      </c>
      <c r="FL134" s="9">
        <v>0</v>
      </c>
      <c r="FM134" s="9">
        <v>0</v>
      </c>
      <c r="FN134" s="9">
        <v>0</v>
      </c>
      <c r="FO134" s="31">
        <v>0</v>
      </c>
    </row>
    <row r="135" spans="2:171" x14ac:dyDescent="0.3">
      <c r="B135" s="7" t="s">
        <v>60</v>
      </c>
      <c r="C135" s="9">
        <v>0</v>
      </c>
      <c r="D135" s="9">
        <v>141</v>
      </c>
      <c r="E135" s="9">
        <v>883</v>
      </c>
      <c r="F135" s="9">
        <v>946</v>
      </c>
      <c r="G135" s="9">
        <v>1359</v>
      </c>
      <c r="H135" s="9">
        <v>1495</v>
      </c>
      <c r="I135" s="9">
        <v>1725</v>
      </c>
      <c r="J135" s="9">
        <v>1875</v>
      </c>
      <c r="K135" s="9">
        <v>3012</v>
      </c>
      <c r="L135" s="9">
        <v>4260</v>
      </c>
      <c r="M135" s="9">
        <v>11981</v>
      </c>
      <c r="N135" s="9">
        <v>16601</v>
      </c>
      <c r="O135" s="31">
        <v>16601</v>
      </c>
      <c r="P135" s="9">
        <v>85</v>
      </c>
      <c r="Q135" s="9">
        <v>85</v>
      </c>
      <c r="R135" s="9">
        <v>636</v>
      </c>
      <c r="S135" s="9">
        <v>1645</v>
      </c>
      <c r="T135" s="9">
        <v>2681</v>
      </c>
      <c r="U135" s="9">
        <v>3057</v>
      </c>
      <c r="V135" s="9">
        <v>4219</v>
      </c>
      <c r="W135" s="9">
        <v>4934</v>
      </c>
      <c r="X135" s="9">
        <v>6784</v>
      </c>
      <c r="Y135" s="9">
        <v>11437</v>
      </c>
      <c r="Z135" s="9">
        <v>11519</v>
      </c>
      <c r="AA135" s="9">
        <v>11519</v>
      </c>
      <c r="AB135" s="31">
        <v>11519</v>
      </c>
      <c r="AC135" s="9">
        <v>0</v>
      </c>
      <c r="AD135" s="9">
        <v>193</v>
      </c>
      <c r="AE135" s="9">
        <v>5925</v>
      </c>
      <c r="AF135" s="9">
        <v>6756</v>
      </c>
      <c r="AG135" s="9">
        <v>7191</v>
      </c>
      <c r="AH135" s="9">
        <v>7678</v>
      </c>
      <c r="AI135" s="9">
        <v>9288</v>
      </c>
      <c r="AJ135" s="9">
        <v>9571</v>
      </c>
      <c r="AK135" s="9">
        <v>10777</v>
      </c>
      <c r="AL135" s="9">
        <v>11334</v>
      </c>
      <c r="AM135" s="9">
        <v>634134</v>
      </c>
      <c r="AN135" s="9">
        <v>636910</v>
      </c>
      <c r="AO135" s="31">
        <v>636910</v>
      </c>
      <c r="AP135" s="9">
        <v>0</v>
      </c>
      <c r="AQ135" s="9">
        <v>0</v>
      </c>
      <c r="AR135" s="9">
        <v>780</v>
      </c>
      <c r="AS135" s="9">
        <v>780</v>
      </c>
      <c r="AT135" s="9">
        <v>3582</v>
      </c>
      <c r="AU135" s="9">
        <v>3739</v>
      </c>
      <c r="AV135" s="9">
        <v>4426</v>
      </c>
      <c r="AW135" s="9">
        <v>5055</v>
      </c>
      <c r="AX135" s="9">
        <v>5220</v>
      </c>
      <c r="AY135" s="9">
        <v>85703</v>
      </c>
      <c r="AZ135" s="9">
        <v>88437</v>
      </c>
      <c r="BA135" s="9">
        <v>2671175</v>
      </c>
      <c r="BB135" s="31">
        <v>2671175</v>
      </c>
      <c r="BC135" s="9">
        <v>0</v>
      </c>
      <c r="BD135" s="9">
        <v>0</v>
      </c>
      <c r="BE135" s="9">
        <v>958</v>
      </c>
      <c r="BF135" s="9">
        <v>4662</v>
      </c>
      <c r="BG135" s="9">
        <v>5257</v>
      </c>
      <c r="BH135" s="9">
        <v>5465</v>
      </c>
      <c r="BI135" s="9">
        <v>8018</v>
      </c>
      <c r="BJ135" s="9">
        <v>8985</v>
      </c>
      <c r="BK135" s="9">
        <v>10148</v>
      </c>
      <c r="BL135" s="9">
        <v>11710</v>
      </c>
      <c r="BM135" s="9">
        <v>11937</v>
      </c>
      <c r="BN135" s="9">
        <v>13860</v>
      </c>
      <c r="BO135" s="31">
        <v>13860</v>
      </c>
      <c r="BP135" s="9">
        <v>92</v>
      </c>
      <c r="BQ135" s="9">
        <v>2285</v>
      </c>
      <c r="BR135" s="9">
        <v>3594</v>
      </c>
      <c r="BS135" s="9">
        <v>3594</v>
      </c>
      <c r="BT135" s="9">
        <v>4006</v>
      </c>
      <c r="BU135" s="9">
        <v>8001</v>
      </c>
      <c r="BV135" s="9">
        <v>10018</v>
      </c>
      <c r="BW135" s="9">
        <v>12528</v>
      </c>
      <c r="BX135" s="9">
        <v>12528</v>
      </c>
      <c r="BY135" s="9">
        <v>12528</v>
      </c>
      <c r="BZ135" s="9">
        <v>12898</v>
      </c>
      <c r="CA135" s="9">
        <v>2691731</v>
      </c>
      <c r="CB135" s="31">
        <v>2691731</v>
      </c>
      <c r="CC135" s="9">
        <v>0</v>
      </c>
      <c r="CD135" s="9">
        <v>3739</v>
      </c>
      <c r="CE135" s="9">
        <v>5581</v>
      </c>
      <c r="CF135" s="9">
        <v>5581</v>
      </c>
      <c r="CG135" s="9">
        <v>5581</v>
      </c>
      <c r="CH135" s="9">
        <v>5581</v>
      </c>
      <c r="CI135" s="9">
        <v>5581</v>
      </c>
      <c r="CJ135" s="9">
        <v>10187</v>
      </c>
      <c r="CK135" s="9">
        <v>10187</v>
      </c>
      <c r="CL135" s="9">
        <v>10187</v>
      </c>
      <c r="CM135" s="9">
        <v>10187</v>
      </c>
      <c r="CN135" s="9">
        <v>901832</v>
      </c>
      <c r="CO135" s="31">
        <v>901832</v>
      </c>
      <c r="CP135" s="9">
        <v>0</v>
      </c>
      <c r="CQ135" s="9">
        <v>5638</v>
      </c>
      <c r="CR135" s="9">
        <v>5638</v>
      </c>
      <c r="CS135" s="9">
        <v>5638</v>
      </c>
      <c r="CT135" s="9">
        <v>5638</v>
      </c>
      <c r="CU135" s="9">
        <v>11543</v>
      </c>
      <c r="CV135" s="9">
        <v>1872732</v>
      </c>
      <c r="CW135" s="9">
        <v>1875898</v>
      </c>
      <c r="CX135" s="9">
        <v>1882761</v>
      </c>
      <c r="CY135" s="9">
        <v>1883064</v>
      </c>
      <c r="CZ135" s="9">
        <v>1896905</v>
      </c>
      <c r="DA135" s="9">
        <v>2752655</v>
      </c>
      <c r="DB135" s="31">
        <v>2752655</v>
      </c>
      <c r="DC135" s="9">
        <v>0</v>
      </c>
      <c r="DD135" s="9">
        <v>0</v>
      </c>
      <c r="DE135" s="9">
        <v>0</v>
      </c>
      <c r="DF135" s="9">
        <v>0</v>
      </c>
      <c r="DG135" s="9">
        <v>0</v>
      </c>
      <c r="DH135" s="9">
        <v>0</v>
      </c>
      <c r="DI135" s="9">
        <v>0</v>
      </c>
      <c r="DJ135" s="9">
        <v>0</v>
      </c>
      <c r="DK135" s="9">
        <v>0</v>
      </c>
      <c r="DL135" s="9">
        <v>0</v>
      </c>
      <c r="DM135" s="9">
        <v>11821</v>
      </c>
      <c r="DN135" s="9">
        <v>2917495</v>
      </c>
      <c r="DO135" s="31">
        <v>2917495</v>
      </c>
      <c r="DP135" s="9">
        <v>0</v>
      </c>
      <c r="DQ135" s="9">
        <v>0</v>
      </c>
      <c r="DR135" s="9">
        <v>0</v>
      </c>
      <c r="DS135" s="9">
        <v>0</v>
      </c>
      <c r="DT135" s="9">
        <v>0</v>
      </c>
      <c r="DU135" s="9">
        <v>0</v>
      </c>
      <c r="DV135" s="9">
        <v>0</v>
      </c>
      <c r="DW135" s="9">
        <v>0</v>
      </c>
      <c r="DX135" s="9">
        <v>0</v>
      </c>
      <c r="DY135" s="9">
        <v>0</v>
      </c>
      <c r="DZ135" s="9">
        <v>0</v>
      </c>
      <c r="EA135" s="9">
        <v>0</v>
      </c>
      <c r="EB135" s="31">
        <v>0</v>
      </c>
      <c r="EC135" s="9">
        <v>0</v>
      </c>
      <c r="ED135" s="9">
        <v>0</v>
      </c>
      <c r="EE135" s="9">
        <v>0</v>
      </c>
      <c r="EF135" s="9">
        <v>0</v>
      </c>
      <c r="EG135" s="9">
        <v>0</v>
      </c>
      <c r="EH135" s="9">
        <v>0</v>
      </c>
      <c r="EI135" s="9">
        <v>0</v>
      </c>
      <c r="EJ135" s="9">
        <v>0</v>
      </c>
      <c r="EK135" s="9">
        <v>180</v>
      </c>
      <c r="EL135" s="9">
        <v>7111</v>
      </c>
      <c r="EM135" s="9">
        <v>9149</v>
      </c>
      <c r="EN135" s="9">
        <v>9209</v>
      </c>
      <c r="EO135" s="31">
        <v>9209</v>
      </c>
      <c r="EP135" s="9">
        <v>0</v>
      </c>
      <c r="EQ135" s="9">
        <v>0</v>
      </c>
      <c r="ER135" s="9">
        <v>5639</v>
      </c>
      <c r="ES135" s="9">
        <v>5639</v>
      </c>
      <c r="ET135" s="9">
        <v>5639</v>
      </c>
      <c r="EU135" s="9">
        <v>5639</v>
      </c>
      <c r="EV135" s="9">
        <v>5639</v>
      </c>
      <c r="EW135" s="9">
        <v>5639</v>
      </c>
      <c r="EX135" s="9">
        <v>5890</v>
      </c>
      <c r="EY135" s="9">
        <v>5890</v>
      </c>
      <c r="EZ135" s="9">
        <v>5890</v>
      </c>
      <c r="FA135" s="9">
        <v>5890</v>
      </c>
      <c r="FB135" s="31">
        <v>5890</v>
      </c>
      <c r="FC135" s="9">
        <v>0</v>
      </c>
      <c r="FD135" s="9">
        <v>0</v>
      </c>
      <c r="FE135" s="9">
        <v>0</v>
      </c>
      <c r="FF135" s="9">
        <v>0</v>
      </c>
      <c r="FG135" s="9">
        <v>0</v>
      </c>
      <c r="FH135" s="9">
        <v>0</v>
      </c>
      <c r="FI135" s="9">
        <v>0</v>
      </c>
      <c r="FJ135" s="9">
        <v>0</v>
      </c>
      <c r="FK135" s="9">
        <v>0</v>
      </c>
      <c r="FL135" s="9">
        <v>0</v>
      </c>
      <c r="FM135" s="9">
        <v>0</v>
      </c>
      <c r="FN135" s="9">
        <v>0</v>
      </c>
      <c r="FO135" s="31">
        <v>0</v>
      </c>
    </row>
    <row r="136" spans="2:171" x14ac:dyDescent="0.3">
      <c r="B136" s="7" t="s">
        <v>61</v>
      </c>
      <c r="C136" s="9">
        <v>0</v>
      </c>
      <c r="D136" s="9">
        <v>230</v>
      </c>
      <c r="E136" s="9">
        <v>900</v>
      </c>
      <c r="F136" s="9">
        <v>1445</v>
      </c>
      <c r="G136" s="9">
        <v>2122</v>
      </c>
      <c r="H136" s="9">
        <v>2239</v>
      </c>
      <c r="I136" s="9">
        <v>2856</v>
      </c>
      <c r="J136" s="9">
        <v>3503</v>
      </c>
      <c r="K136" s="9">
        <v>4252</v>
      </c>
      <c r="L136" s="9">
        <v>9977</v>
      </c>
      <c r="M136" s="9">
        <v>6341</v>
      </c>
      <c r="N136" s="9">
        <v>10651</v>
      </c>
      <c r="O136" s="31">
        <v>10651</v>
      </c>
      <c r="P136" s="9">
        <v>0</v>
      </c>
      <c r="Q136" s="9">
        <v>728</v>
      </c>
      <c r="R136" s="9">
        <v>1344</v>
      </c>
      <c r="S136" s="9">
        <v>1344</v>
      </c>
      <c r="T136" s="9">
        <v>1565</v>
      </c>
      <c r="U136" s="9">
        <v>1755</v>
      </c>
      <c r="V136" s="9">
        <v>2598</v>
      </c>
      <c r="W136" s="9">
        <v>2737</v>
      </c>
      <c r="X136" s="9">
        <v>3689</v>
      </c>
      <c r="Y136" s="9">
        <v>4853</v>
      </c>
      <c r="Z136" s="9">
        <v>7402</v>
      </c>
      <c r="AA136" s="9">
        <v>12027</v>
      </c>
      <c r="AB136" s="31">
        <v>12027</v>
      </c>
      <c r="AC136" s="9">
        <v>0</v>
      </c>
      <c r="AD136" s="9">
        <v>0</v>
      </c>
      <c r="AE136" s="9">
        <v>5304</v>
      </c>
      <c r="AF136" s="9">
        <v>5388</v>
      </c>
      <c r="AG136" s="9">
        <v>130889</v>
      </c>
      <c r="AH136" s="9">
        <v>264499</v>
      </c>
      <c r="AI136" s="9">
        <v>295503</v>
      </c>
      <c r="AJ136" s="9">
        <v>295598</v>
      </c>
      <c r="AK136" s="9">
        <v>300414</v>
      </c>
      <c r="AL136" s="9">
        <v>304355</v>
      </c>
      <c r="AM136" s="9">
        <v>305987</v>
      </c>
      <c r="AN136" s="9">
        <v>816477</v>
      </c>
      <c r="AO136" s="31">
        <v>816477</v>
      </c>
      <c r="AP136" s="9">
        <v>0</v>
      </c>
      <c r="AQ136" s="9">
        <v>0</v>
      </c>
      <c r="AR136" s="9">
        <v>348</v>
      </c>
      <c r="AS136" s="9">
        <v>348</v>
      </c>
      <c r="AT136" s="9">
        <v>6182</v>
      </c>
      <c r="AU136" s="9">
        <v>6694</v>
      </c>
      <c r="AV136" s="9">
        <v>7376</v>
      </c>
      <c r="AW136" s="9">
        <v>8056</v>
      </c>
      <c r="AX136" s="9">
        <v>9198</v>
      </c>
      <c r="AY136" s="9">
        <v>9198</v>
      </c>
      <c r="AZ136" s="9">
        <v>11933</v>
      </c>
      <c r="BA136" s="9">
        <v>3343628</v>
      </c>
      <c r="BB136" s="31">
        <v>3343628</v>
      </c>
      <c r="BC136" s="9">
        <v>195</v>
      </c>
      <c r="BD136" s="9">
        <v>195</v>
      </c>
      <c r="BE136" s="9">
        <v>503</v>
      </c>
      <c r="BF136" s="9">
        <v>3551</v>
      </c>
      <c r="BG136" s="9">
        <v>6516</v>
      </c>
      <c r="BH136" s="9">
        <v>6741</v>
      </c>
      <c r="BI136" s="9">
        <v>7958</v>
      </c>
      <c r="BJ136" s="9">
        <v>8335</v>
      </c>
      <c r="BK136" s="9">
        <v>8638</v>
      </c>
      <c r="BL136" s="9">
        <v>8638</v>
      </c>
      <c r="BM136" s="9">
        <v>8737</v>
      </c>
      <c r="BN136" s="9">
        <v>11494</v>
      </c>
      <c r="BO136" s="31">
        <v>11494</v>
      </c>
      <c r="BP136" s="9">
        <v>0</v>
      </c>
      <c r="BQ136" s="9">
        <v>0</v>
      </c>
      <c r="BR136" s="9">
        <v>322</v>
      </c>
      <c r="BS136" s="9">
        <v>472</v>
      </c>
      <c r="BT136" s="9">
        <v>2016</v>
      </c>
      <c r="BU136" s="9">
        <v>2453</v>
      </c>
      <c r="BV136" s="9">
        <v>2663</v>
      </c>
      <c r="BW136" s="9">
        <v>2937</v>
      </c>
      <c r="BX136" s="9">
        <v>2937</v>
      </c>
      <c r="BY136" s="9">
        <v>2937</v>
      </c>
      <c r="BZ136" s="9">
        <v>6068</v>
      </c>
      <c r="CA136" s="9">
        <v>6581</v>
      </c>
      <c r="CB136" s="31">
        <v>6581</v>
      </c>
      <c r="CC136" s="9">
        <v>0</v>
      </c>
      <c r="CD136" s="9">
        <v>96</v>
      </c>
      <c r="CE136" s="9">
        <v>2026</v>
      </c>
      <c r="CF136" s="9">
        <v>2026</v>
      </c>
      <c r="CG136" s="9">
        <v>2026</v>
      </c>
      <c r="CH136" s="9">
        <v>2026</v>
      </c>
      <c r="CI136" s="9">
        <v>2135</v>
      </c>
      <c r="CJ136" s="9">
        <v>7235</v>
      </c>
      <c r="CK136" s="9">
        <v>7235</v>
      </c>
      <c r="CL136" s="9">
        <v>7235</v>
      </c>
      <c r="CM136" s="9">
        <v>2063310</v>
      </c>
      <c r="CN136" s="9">
        <v>2096257</v>
      </c>
      <c r="CO136" s="31">
        <v>2096257</v>
      </c>
      <c r="CP136" s="9">
        <v>0</v>
      </c>
      <c r="CQ136" s="9">
        <v>0</v>
      </c>
      <c r="CR136" s="9">
        <v>0</v>
      </c>
      <c r="CS136" s="9">
        <v>0</v>
      </c>
      <c r="CT136" s="9">
        <v>356</v>
      </c>
      <c r="CU136" s="9">
        <v>665</v>
      </c>
      <c r="CV136" s="9">
        <v>665</v>
      </c>
      <c r="CW136" s="9">
        <v>877</v>
      </c>
      <c r="CX136" s="9">
        <v>1676</v>
      </c>
      <c r="CY136" s="9">
        <v>1676</v>
      </c>
      <c r="CZ136" s="9">
        <v>4844</v>
      </c>
      <c r="DA136" s="9">
        <v>292752</v>
      </c>
      <c r="DB136" s="31">
        <v>292752</v>
      </c>
      <c r="DC136" s="9">
        <v>0</v>
      </c>
      <c r="DD136" s="9">
        <v>0</v>
      </c>
      <c r="DE136" s="9">
        <v>0</v>
      </c>
      <c r="DF136" s="9">
        <v>0</v>
      </c>
      <c r="DG136" s="9">
        <v>0</v>
      </c>
      <c r="DH136" s="9">
        <v>0</v>
      </c>
      <c r="DI136" s="9">
        <v>0</v>
      </c>
      <c r="DJ136" s="9">
        <v>0</v>
      </c>
      <c r="DK136" s="9">
        <v>0</v>
      </c>
      <c r="DL136" s="9">
        <v>0</v>
      </c>
      <c r="DM136" s="9">
        <v>0</v>
      </c>
      <c r="DN136" s="9">
        <v>7078210</v>
      </c>
      <c r="DO136" s="31">
        <v>7078210</v>
      </c>
      <c r="DP136" s="9">
        <v>0</v>
      </c>
      <c r="DQ136" s="9">
        <v>0</v>
      </c>
      <c r="DR136" s="9">
        <v>0</v>
      </c>
      <c r="DS136" s="9">
        <v>0</v>
      </c>
      <c r="DT136" s="9">
        <v>0</v>
      </c>
      <c r="DU136" s="9">
        <v>0</v>
      </c>
      <c r="DV136" s="9">
        <v>0</v>
      </c>
      <c r="DW136" s="9">
        <v>0</v>
      </c>
      <c r="DX136" s="9">
        <v>0</v>
      </c>
      <c r="DY136" s="9">
        <v>0</v>
      </c>
      <c r="DZ136" s="9">
        <v>0</v>
      </c>
      <c r="EA136" s="9">
        <v>0</v>
      </c>
      <c r="EB136" s="31">
        <v>0</v>
      </c>
      <c r="EC136" s="9">
        <v>0</v>
      </c>
      <c r="ED136" s="9">
        <v>0</v>
      </c>
      <c r="EE136" s="9">
        <v>0</v>
      </c>
      <c r="EF136" s="9">
        <v>0</v>
      </c>
      <c r="EG136" s="9">
        <v>0</v>
      </c>
      <c r="EH136" s="9">
        <v>0</v>
      </c>
      <c r="EI136" s="9">
        <v>9440</v>
      </c>
      <c r="EJ136" s="9">
        <v>9909</v>
      </c>
      <c r="EK136" s="9">
        <v>11601</v>
      </c>
      <c r="EL136" s="9">
        <v>11601</v>
      </c>
      <c r="EM136" s="9">
        <v>1603943</v>
      </c>
      <c r="EN136" s="9">
        <v>9235856</v>
      </c>
      <c r="EO136" s="31">
        <v>9235856</v>
      </c>
      <c r="EP136" s="9">
        <v>0</v>
      </c>
      <c r="EQ136" s="9">
        <v>0</v>
      </c>
      <c r="ER136" s="9">
        <v>0</v>
      </c>
      <c r="ES136" s="9">
        <v>0</v>
      </c>
      <c r="ET136" s="9">
        <v>1037</v>
      </c>
      <c r="EU136" s="9">
        <v>1347</v>
      </c>
      <c r="EV136" s="9">
        <v>1511</v>
      </c>
      <c r="EW136" s="9">
        <v>1821</v>
      </c>
      <c r="EX136" s="9">
        <v>1821</v>
      </c>
      <c r="EY136" s="9">
        <v>1821</v>
      </c>
      <c r="EZ136" s="9">
        <v>1931</v>
      </c>
      <c r="FA136" s="9">
        <v>1931</v>
      </c>
      <c r="FB136" s="31">
        <v>1931</v>
      </c>
      <c r="FC136" s="9">
        <v>0</v>
      </c>
      <c r="FD136" s="9">
        <v>0</v>
      </c>
      <c r="FE136" s="9">
        <v>0</v>
      </c>
      <c r="FF136" s="9">
        <v>0</v>
      </c>
      <c r="FG136" s="9">
        <v>0</v>
      </c>
      <c r="FH136" s="9">
        <v>0</v>
      </c>
      <c r="FI136" s="9">
        <v>0</v>
      </c>
      <c r="FJ136" s="9">
        <v>0</v>
      </c>
      <c r="FK136" s="9">
        <v>0</v>
      </c>
      <c r="FL136" s="9">
        <v>0</v>
      </c>
      <c r="FM136" s="9">
        <v>0</v>
      </c>
      <c r="FN136" s="9">
        <v>0</v>
      </c>
      <c r="FO136" s="31">
        <v>0</v>
      </c>
    </row>
    <row r="137" spans="2:171" x14ac:dyDescent="0.3">
      <c r="B137" s="7" t="s">
        <v>62</v>
      </c>
      <c r="C137" s="9">
        <v>0</v>
      </c>
      <c r="D137" s="9">
        <v>0</v>
      </c>
      <c r="E137" s="9">
        <v>0</v>
      </c>
      <c r="F137" s="9">
        <v>1451</v>
      </c>
      <c r="G137" s="9">
        <v>3315</v>
      </c>
      <c r="H137" s="9">
        <v>3315</v>
      </c>
      <c r="I137" s="9">
        <v>3773</v>
      </c>
      <c r="J137" s="9">
        <v>4030</v>
      </c>
      <c r="K137" s="9">
        <v>4030</v>
      </c>
      <c r="L137" s="9">
        <v>6206</v>
      </c>
      <c r="M137" s="9">
        <v>6719</v>
      </c>
      <c r="N137" s="9">
        <v>8493</v>
      </c>
      <c r="O137" s="31">
        <v>8493</v>
      </c>
      <c r="P137" s="9">
        <v>0</v>
      </c>
      <c r="Q137" s="9">
        <v>552</v>
      </c>
      <c r="R137" s="9">
        <v>552</v>
      </c>
      <c r="S137" s="9">
        <v>1367</v>
      </c>
      <c r="T137" s="9">
        <v>1367</v>
      </c>
      <c r="U137" s="9">
        <v>2721</v>
      </c>
      <c r="V137" s="9">
        <v>2721</v>
      </c>
      <c r="W137" s="9">
        <v>4079</v>
      </c>
      <c r="X137" s="9">
        <v>5276</v>
      </c>
      <c r="Y137" s="9">
        <v>5276</v>
      </c>
      <c r="Z137" s="9">
        <v>8928</v>
      </c>
      <c r="AA137" s="9">
        <v>15980</v>
      </c>
      <c r="AB137" s="31">
        <v>15980</v>
      </c>
      <c r="AC137" s="9">
        <v>0</v>
      </c>
      <c r="AD137" s="9">
        <v>0</v>
      </c>
      <c r="AE137" s="9">
        <v>4858</v>
      </c>
      <c r="AF137" s="9">
        <v>4858</v>
      </c>
      <c r="AG137" s="9">
        <v>5235</v>
      </c>
      <c r="AH137" s="9">
        <v>5235</v>
      </c>
      <c r="AI137" s="9">
        <v>12840</v>
      </c>
      <c r="AJ137" s="9">
        <v>14672</v>
      </c>
      <c r="AK137" s="9">
        <v>16966</v>
      </c>
      <c r="AL137" s="9">
        <v>16966</v>
      </c>
      <c r="AM137" s="9">
        <v>31011</v>
      </c>
      <c r="AN137" s="9">
        <v>31593</v>
      </c>
      <c r="AO137" s="31">
        <v>31593</v>
      </c>
      <c r="AP137" s="9">
        <v>0</v>
      </c>
      <c r="AQ137" s="9">
        <v>0</v>
      </c>
      <c r="AR137" s="9">
        <v>0</v>
      </c>
      <c r="AS137" s="9">
        <v>0</v>
      </c>
      <c r="AT137" s="9">
        <v>1184</v>
      </c>
      <c r="AU137" s="9">
        <v>1389</v>
      </c>
      <c r="AV137" s="9">
        <v>1389</v>
      </c>
      <c r="AW137" s="9">
        <v>1905</v>
      </c>
      <c r="AX137" s="9">
        <v>1905</v>
      </c>
      <c r="AY137" s="9">
        <v>4589</v>
      </c>
      <c r="AZ137" s="9">
        <v>8689</v>
      </c>
      <c r="BA137" s="9">
        <v>377360</v>
      </c>
      <c r="BB137" s="31">
        <v>377360</v>
      </c>
      <c r="BC137" s="9">
        <v>160</v>
      </c>
      <c r="BD137" s="9">
        <v>160</v>
      </c>
      <c r="BE137" s="9">
        <v>1035</v>
      </c>
      <c r="BF137" s="9">
        <v>8613</v>
      </c>
      <c r="BG137" s="9">
        <v>10883</v>
      </c>
      <c r="BH137" s="9">
        <v>11022</v>
      </c>
      <c r="BI137" s="9">
        <v>12619</v>
      </c>
      <c r="BJ137" s="9">
        <v>12619</v>
      </c>
      <c r="BK137" s="9">
        <v>12619</v>
      </c>
      <c r="BL137" s="9">
        <v>12619</v>
      </c>
      <c r="BM137" s="9">
        <v>12619</v>
      </c>
      <c r="BN137" s="9">
        <v>2080114</v>
      </c>
      <c r="BO137" s="31">
        <v>2080114</v>
      </c>
      <c r="BP137" s="9">
        <v>0</v>
      </c>
      <c r="BQ137" s="9">
        <v>0</v>
      </c>
      <c r="BR137" s="9">
        <v>0</v>
      </c>
      <c r="BS137" s="9">
        <v>1795</v>
      </c>
      <c r="BT137" s="9">
        <v>2070035</v>
      </c>
      <c r="BU137" s="9">
        <v>2073157</v>
      </c>
      <c r="BV137" s="9">
        <v>2073157</v>
      </c>
      <c r="BW137" s="9">
        <v>2073157</v>
      </c>
      <c r="BX137" s="9">
        <v>2074875</v>
      </c>
      <c r="BY137" s="9">
        <v>2075184</v>
      </c>
      <c r="BZ137" s="9">
        <v>2075184</v>
      </c>
      <c r="CA137" s="9">
        <v>2075290</v>
      </c>
      <c r="CB137" s="31">
        <v>2075290</v>
      </c>
      <c r="CC137" s="9">
        <v>0</v>
      </c>
      <c r="CD137" s="9">
        <v>0</v>
      </c>
      <c r="CE137" s="9">
        <v>0</v>
      </c>
      <c r="CF137" s="9">
        <v>0</v>
      </c>
      <c r="CG137" s="9">
        <v>0</v>
      </c>
      <c r="CH137" s="9">
        <v>0</v>
      </c>
      <c r="CI137" s="9">
        <v>1159</v>
      </c>
      <c r="CJ137" s="9">
        <v>2823</v>
      </c>
      <c r="CK137" s="9">
        <v>2823</v>
      </c>
      <c r="CL137" s="9">
        <v>2823</v>
      </c>
      <c r="CM137" s="9">
        <v>2823</v>
      </c>
      <c r="CN137" s="9">
        <v>7972</v>
      </c>
      <c r="CO137" s="31">
        <v>7972</v>
      </c>
      <c r="CP137" s="9">
        <v>0</v>
      </c>
      <c r="CQ137" s="9">
        <v>897</v>
      </c>
      <c r="CR137" s="9">
        <v>1063</v>
      </c>
      <c r="CS137" s="9">
        <v>1512</v>
      </c>
      <c r="CT137" s="9">
        <v>5122</v>
      </c>
      <c r="CU137" s="9">
        <v>6115</v>
      </c>
      <c r="CV137" s="9">
        <v>6275</v>
      </c>
      <c r="CW137" s="9">
        <v>6327</v>
      </c>
      <c r="CX137" s="9">
        <v>7555</v>
      </c>
      <c r="CY137" s="9">
        <v>7555</v>
      </c>
      <c r="CZ137" s="9">
        <v>7569</v>
      </c>
      <c r="DA137" s="9">
        <v>7569</v>
      </c>
      <c r="DB137" s="31">
        <v>7569</v>
      </c>
      <c r="DC137" s="9">
        <v>0</v>
      </c>
      <c r="DD137" s="9">
        <v>0</v>
      </c>
      <c r="DE137" s="9">
        <v>0</v>
      </c>
      <c r="DF137" s="9">
        <v>0</v>
      </c>
      <c r="DG137" s="9">
        <v>0</v>
      </c>
      <c r="DH137" s="9">
        <v>0</v>
      </c>
      <c r="DI137" s="9">
        <v>0</v>
      </c>
      <c r="DJ137" s="9">
        <v>0</v>
      </c>
      <c r="DK137" s="9">
        <v>0</v>
      </c>
      <c r="DL137" s="9">
        <v>0</v>
      </c>
      <c r="DM137" s="9">
        <v>0</v>
      </c>
      <c r="DN137" s="9">
        <v>694190</v>
      </c>
      <c r="DO137" s="31">
        <v>694190</v>
      </c>
      <c r="DP137" s="9">
        <v>0</v>
      </c>
      <c r="DQ137" s="9">
        <v>0</v>
      </c>
      <c r="DR137" s="9">
        <v>0</v>
      </c>
      <c r="DS137" s="9">
        <v>0</v>
      </c>
      <c r="DT137" s="9">
        <v>0</v>
      </c>
      <c r="DU137" s="9">
        <v>0</v>
      </c>
      <c r="DV137" s="9">
        <v>0</v>
      </c>
      <c r="DW137" s="9">
        <v>0</v>
      </c>
      <c r="DX137" s="9">
        <v>0</v>
      </c>
      <c r="DY137" s="9">
        <v>0</v>
      </c>
      <c r="DZ137" s="9">
        <v>0</v>
      </c>
      <c r="EA137" s="9">
        <v>0</v>
      </c>
      <c r="EB137" s="31">
        <v>0</v>
      </c>
      <c r="EC137" s="9">
        <v>0</v>
      </c>
      <c r="ED137" s="9">
        <v>0</v>
      </c>
      <c r="EE137" s="9">
        <v>0</v>
      </c>
      <c r="EF137" s="9">
        <v>0</v>
      </c>
      <c r="EG137" s="9">
        <v>0</v>
      </c>
      <c r="EH137" s="9">
        <v>0</v>
      </c>
      <c r="EI137" s="9">
        <v>170</v>
      </c>
      <c r="EJ137" s="9">
        <v>4724</v>
      </c>
      <c r="EK137" s="9">
        <v>5044</v>
      </c>
      <c r="EL137" s="9">
        <v>6224</v>
      </c>
      <c r="EM137" s="9">
        <v>6224</v>
      </c>
      <c r="EN137" s="9">
        <v>6224</v>
      </c>
      <c r="EO137" s="31">
        <v>6224</v>
      </c>
      <c r="EP137" s="9">
        <v>0</v>
      </c>
      <c r="EQ137" s="9">
        <v>0</v>
      </c>
      <c r="ER137" s="9">
        <v>3953</v>
      </c>
      <c r="ES137" s="9">
        <v>3953</v>
      </c>
      <c r="ET137" s="9">
        <v>3953</v>
      </c>
      <c r="EU137" s="9">
        <v>3953</v>
      </c>
      <c r="EV137" s="9">
        <v>3953</v>
      </c>
      <c r="EW137" s="9">
        <v>3953</v>
      </c>
      <c r="EX137" s="9">
        <v>3953</v>
      </c>
      <c r="EY137" s="9">
        <v>3953</v>
      </c>
      <c r="EZ137" s="9">
        <v>3953</v>
      </c>
      <c r="FA137" s="9">
        <v>3953</v>
      </c>
      <c r="FB137" s="31">
        <v>3953</v>
      </c>
      <c r="FC137" s="9">
        <v>0</v>
      </c>
      <c r="FD137" s="9">
        <v>0</v>
      </c>
      <c r="FE137" s="9">
        <v>0</v>
      </c>
      <c r="FF137" s="9">
        <v>0</v>
      </c>
      <c r="FG137" s="9">
        <v>0</v>
      </c>
      <c r="FH137" s="9">
        <v>0</v>
      </c>
      <c r="FI137" s="9">
        <v>0</v>
      </c>
      <c r="FJ137" s="9">
        <v>0</v>
      </c>
      <c r="FK137" s="9">
        <v>0</v>
      </c>
      <c r="FL137" s="9">
        <v>0</v>
      </c>
      <c r="FM137" s="9">
        <v>0</v>
      </c>
      <c r="FN137" s="9">
        <v>0</v>
      </c>
      <c r="FO137" s="31">
        <v>0</v>
      </c>
    </row>
    <row r="138" spans="2:171" x14ac:dyDescent="0.3">
      <c r="B138" s="7" t="s">
        <v>63</v>
      </c>
      <c r="C138" s="9">
        <v>0</v>
      </c>
      <c r="D138" s="9">
        <v>0</v>
      </c>
      <c r="E138" s="9">
        <v>0</v>
      </c>
      <c r="F138" s="9">
        <v>232</v>
      </c>
      <c r="G138" s="9">
        <v>232</v>
      </c>
      <c r="H138" s="9">
        <v>232</v>
      </c>
      <c r="I138" s="9">
        <v>882</v>
      </c>
      <c r="J138" s="9">
        <v>2960</v>
      </c>
      <c r="K138" s="9">
        <v>2960</v>
      </c>
      <c r="L138" s="9">
        <v>3187</v>
      </c>
      <c r="M138" s="9">
        <v>3187</v>
      </c>
      <c r="N138" s="9">
        <v>7762</v>
      </c>
      <c r="O138" s="31">
        <v>7762</v>
      </c>
      <c r="P138" s="9">
        <v>0</v>
      </c>
      <c r="Q138" s="9">
        <v>0</v>
      </c>
      <c r="R138" s="9">
        <v>0</v>
      </c>
      <c r="S138" s="9">
        <v>1045</v>
      </c>
      <c r="T138" s="9">
        <v>1045</v>
      </c>
      <c r="U138" s="9">
        <v>1045</v>
      </c>
      <c r="V138" s="9">
        <v>1475</v>
      </c>
      <c r="W138" s="9">
        <v>2340</v>
      </c>
      <c r="X138" s="9">
        <v>1350143</v>
      </c>
      <c r="Y138" s="9">
        <v>1351155</v>
      </c>
      <c r="Z138" s="9">
        <v>2807964</v>
      </c>
      <c r="AA138" s="9">
        <v>4420373</v>
      </c>
      <c r="AB138" s="31">
        <v>4420373</v>
      </c>
      <c r="AC138" s="9">
        <v>0</v>
      </c>
      <c r="AD138" s="9">
        <v>0</v>
      </c>
      <c r="AE138" s="9">
        <v>0</v>
      </c>
      <c r="AF138" s="9">
        <v>1234</v>
      </c>
      <c r="AG138" s="9">
        <v>2234</v>
      </c>
      <c r="AH138" s="9">
        <v>22507</v>
      </c>
      <c r="AI138" s="9">
        <v>23411</v>
      </c>
      <c r="AJ138" s="9">
        <v>23411</v>
      </c>
      <c r="AK138" s="9">
        <v>23705</v>
      </c>
      <c r="AL138" s="9">
        <v>23705</v>
      </c>
      <c r="AM138" s="9">
        <v>25091</v>
      </c>
      <c r="AN138" s="9">
        <v>36644</v>
      </c>
      <c r="AO138" s="31">
        <v>36644</v>
      </c>
      <c r="AP138" s="9">
        <v>0</v>
      </c>
      <c r="AQ138" s="9">
        <v>0</v>
      </c>
      <c r="AR138" s="9">
        <v>0</v>
      </c>
      <c r="AS138" s="9">
        <v>551</v>
      </c>
      <c r="AT138" s="9">
        <v>551</v>
      </c>
      <c r="AU138" s="9">
        <v>3499</v>
      </c>
      <c r="AV138" s="9">
        <v>3780</v>
      </c>
      <c r="AW138" s="9">
        <v>7038</v>
      </c>
      <c r="AX138" s="9">
        <v>8454</v>
      </c>
      <c r="AY138" s="9">
        <v>9612</v>
      </c>
      <c r="AZ138" s="9">
        <v>9612</v>
      </c>
      <c r="BA138" s="9">
        <v>96700</v>
      </c>
      <c r="BB138" s="31">
        <v>96700</v>
      </c>
      <c r="BC138" s="9">
        <v>0</v>
      </c>
      <c r="BD138" s="9">
        <v>0</v>
      </c>
      <c r="BE138" s="9">
        <v>0</v>
      </c>
      <c r="BF138" s="9">
        <v>1867</v>
      </c>
      <c r="BG138" s="9">
        <v>2007</v>
      </c>
      <c r="BH138" s="9">
        <v>2007</v>
      </c>
      <c r="BI138" s="9">
        <v>7242</v>
      </c>
      <c r="BJ138" s="9">
        <v>7242</v>
      </c>
      <c r="BK138" s="9">
        <v>7667</v>
      </c>
      <c r="BL138" s="9">
        <v>12514</v>
      </c>
      <c r="BM138" s="9">
        <v>13352</v>
      </c>
      <c r="BN138" s="9">
        <v>443440</v>
      </c>
      <c r="BO138" s="31">
        <v>443440</v>
      </c>
      <c r="BP138" s="9">
        <v>0</v>
      </c>
      <c r="BQ138" s="9">
        <v>0</v>
      </c>
      <c r="BR138" s="9">
        <v>225</v>
      </c>
      <c r="BS138" s="9">
        <v>225</v>
      </c>
      <c r="BT138" s="9">
        <v>1135</v>
      </c>
      <c r="BU138" s="9">
        <v>1135</v>
      </c>
      <c r="BV138" s="9">
        <v>1299</v>
      </c>
      <c r="BW138" s="9">
        <v>1299</v>
      </c>
      <c r="BX138" s="9">
        <v>3959</v>
      </c>
      <c r="BY138" s="9">
        <v>3959</v>
      </c>
      <c r="BZ138" s="9">
        <v>5157</v>
      </c>
      <c r="CA138" s="9">
        <v>12361</v>
      </c>
      <c r="CB138" s="31">
        <v>12361</v>
      </c>
      <c r="CC138" s="9">
        <v>0</v>
      </c>
      <c r="CD138" s="9">
        <v>0</v>
      </c>
      <c r="CE138" s="9">
        <v>0</v>
      </c>
      <c r="CF138" s="9">
        <v>0</v>
      </c>
      <c r="CG138" s="9">
        <v>562</v>
      </c>
      <c r="CH138" s="9">
        <v>562</v>
      </c>
      <c r="CI138" s="9">
        <v>707</v>
      </c>
      <c r="CJ138" s="9">
        <v>707</v>
      </c>
      <c r="CK138" s="9">
        <v>707</v>
      </c>
      <c r="CL138" s="9">
        <v>764</v>
      </c>
      <c r="CM138" s="9">
        <v>764</v>
      </c>
      <c r="CN138" s="9">
        <v>12685</v>
      </c>
      <c r="CO138" s="31">
        <v>12685</v>
      </c>
      <c r="CP138" s="9">
        <v>0</v>
      </c>
      <c r="CQ138" s="9">
        <v>0</v>
      </c>
      <c r="CR138" s="9">
        <v>833</v>
      </c>
      <c r="CS138" s="9">
        <v>0</v>
      </c>
      <c r="CT138" s="9">
        <v>0</v>
      </c>
      <c r="CU138" s="9">
        <v>1956</v>
      </c>
      <c r="CV138" s="9">
        <v>1956</v>
      </c>
      <c r="CW138" s="9">
        <v>1956</v>
      </c>
      <c r="CX138" s="9">
        <v>7321</v>
      </c>
      <c r="CY138" s="9">
        <v>7321</v>
      </c>
      <c r="CZ138" s="9">
        <v>13453</v>
      </c>
      <c r="DA138" s="9">
        <v>13549</v>
      </c>
      <c r="DB138" s="31">
        <v>13549</v>
      </c>
      <c r="DC138" s="9">
        <v>0</v>
      </c>
      <c r="DD138" s="9">
        <v>0</v>
      </c>
      <c r="DE138" s="9">
        <v>0</v>
      </c>
      <c r="DF138" s="9">
        <v>0</v>
      </c>
      <c r="DG138" s="9">
        <v>0</v>
      </c>
      <c r="DH138" s="9">
        <v>0</v>
      </c>
      <c r="DI138" s="9">
        <v>0</v>
      </c>
      <c r="DJ138" s="9">
        <v>0</v>
      </c>
      <c r="DK138" s="9">
        <v>0</v>
      </c>
      <c r="DL138" s="9">
        <v>0</v>
      </c>
      <c r="DM138" s="9">
        <v>0</v>
      </c>
      <c r="DN138" s="9">
        <v>0</v>
      </c>
      <c r="DO138" s="31">
        <v>0</v>
      </c>
      <c r="DP138" s="9">
        <v>0</v>
      </c>
      <c r="DQ138" s="9">
        <v>0</v>
      </c>
      <c r="DR138" s="9">
        <v>0</v>
      </c>
      <c r="DS138" s="9">
        <v>0</v>
      </c>
      <c r="DT138" s="9">
        <v>0</v>
      </c>
      <c r="DU138" s="9">
        <v>0</v>
      </c>
      <c r="DV138" s="9">
        <v>0</v>
      </c>
      <c r="DW138" s="9">
        <v>0</v>
      </c>
      <c r="DX138" s="9">
        <v>0</v>
      </c>
      <c r="DY138" s="9">
        <v>0</v>
      </c>
      <c r="DZ138" s="9">
        <v>0</v>
      </c>
      <c r="EA138" s="9">
        <v>0</v>
      </c>
      <c r="EB138" s="31">
        <v>0</v>
      </c>
      <c r="EC138" s="9">
        <v>0</v>
      </c>
      <c r="ED138" s="9">
        <v>0</v>
      </c>
      <c r="EE138" s="9">
        <v>0</v>
      </c>
      <c r="EF138" s="9">
        <v>0</v>
      </c>
      <c r="EG138" s="9">
        <v>0</v>
      </c>
      <c r="EH138" s="9">
        <v>0</v>
      </c>
      <c r="EI138" s="9">
        <v>0</v>
      </c>
      <c r="EJ138" s="9">
        <v>6723</v>
      </c>
      <c r="EK138" s="9">
        <v>6723</v>
      </c>
      <c r="EL138" s="9">
        <v>6723</v>
      </c>
      <c r="EM138" s="9">
        <v>8178</v>
      </c>
      <c r="EN138" s="9">
        <v>8289</v>
      </c>
      <c r="EO138" s="31">
        <v>8289</v>
      </c>
      <c r="EP138" s="9">
        <v>0</v>
      </c>
      <c r="EQ138" s="9">
        <v>0</v>
      </c>
      <c r="ER138" s="9">
        <v>0</v>
      </c>
      <c r="ES138" s="9">
        <v>3960</v>
      </c>
      <c r="ET138" s="9">
        <v>3960</v>
      </c>
      <c r="EU138" s="9">
        <v>3960</v>
      </c>
      <c r="EV138" s="9">
        <v>3960</v>
      </c>
      <c r="EW138" s="9">
        <v>3960</v>
      </c>
      <c r="EX138" s="9">
        <v>3960</v>
      </c>
      <c r="EY138" s="9">
        <v>3960</v>
      </c>
      <c r="EZ138" s="9">
        <v>3960</v>
      </c>
      <c r="FA138" s="9">
        <v>21799960</v>
      </c>
      <c r="FB138" s="31">
        <v>21799960</v>
      </c>
      <c r="FC138" s="9">
        <v>0</v>
      </c>
      <c r="FD138" s="9">
        <v>0</v>
      </c>
      <c r="FE138" s="9">
        <v>0</v>
      </c>
      <c r="FF138" s="9">
        <v>0</v>
      </c>
      <c r="FG138" s="9">
        <v>0</v>
      </c>
      <c r="FH138" s="9">
        <v>0</v>
      </c>
      <c r="FI138" s="9">
        <v>0</v>
      </c>
      <c r="FJ138" s="9">
        <v>0</v>
      </c>
      <c r="FK138" s="9">
        <v>0</v>
      </c>
      <c r="FL138" s="9">
        <v>0</v>
      </c>
      <c r="FM138" s="9">
        <v>0</v>
      </c>
      <c r="FN138" s="9">
        <v>0</v>
      </c>
      <c r="FO138" s="31">
        <v>0</v>
      </c>
    </row>
    <row r="139" spans="2:171" x14ac:dyDescent="0.3">
      <c r="B139" s="11" t="s">
        <v>128</v>
      </c>
      <c r="C139" s="13">
        <f t="shared" ref="C139:AH139" si="30">SUM(C121:C138)</f>
        <v>422402</v>
      </c>
      <c r="D139" s="13">
        <f t="shared" si="30"/>
        <v>448717</v>
      </c>
      <c r="E139" s="13">
        <f t="shared" si="30"/>
        <v>457161</v>
      </c>
      <c r="F139" s="13">
        <f t="shared" si="30"/>
        <v>508943</v>
      </c>
      <c r="G139" s="13">
        <f t="shared" si="30"/>
        <v>692742</v>
      </c>
      <c r="H139" s="13">
        <f t="shared" si="30"/>
        <v>807568</v>
      </c>
      <c r="I139" s="13">
        <f t="shared" si="30"/>
        <v>1080601</v>
      </c>
      <c r="J139" s="13">
        <f t="shared" si="30"/>
        <v>1708595</v>
      </c>
      <c r="K139" s="13">
        <f t="shared" si="30"/>
        <v>2846821</v>
      </c>
      <c r="L139" s="13">
        <f t="shared" si="30"/>
        <v>3593387</v>
      </c>
      <c r="M139" s="13">
        <f t="shared" si="30"/>
        <v>41937135</v>
      </c>
      <c r="N139" s="13">
        <f t="shared" si="30"/>
        <v>53822683</v>
      </c>
      <c r="O139" s="13">
        <f t="shared" si="30"/>
        <v>53822683</v>
      </c>
      <c r="P139" s="13">
        <f t="shared" si="30"/>
        <v>149599</v>
      </c>
      <c r="Q139" s="13">
        <f t="shared" si="30"/>
        <v>576651</v>
      </c>
      <c r="R139" s="13">
        <f t="shared" si="30"/>
        <v>722048</v>
      </c>
      <c r="S139" s="13">
        <f t="shared" si="30"/>
        <v>2792796</v>
      </c>
      <c r="T139" s="13">
        <f t="shared" si="30"/>
        <v>3829101</v>
      </c>
      <c r="U139" s="13">
        <f t="shared" si="30"/>
        <v>8189413</v>
      </c>
      <c r="V139" s="13">
        <f t="shared" si="30"/>
        <v>8582396</v>
      </c>
      <c r="W139" s="13">
        <f t="shared" si="30"/>
        <v>10452563</v>
      </c>
      <c r="X139" s="13">
        <f t="shared" si="30"/>
        <v>14192733</v>
      </c>
      <c r="Y139" s="13">
        <f t="shared" si="30"/>
        <v>15027588</v>
      </c>
      <c r="Z139" s="13">
        <f t="shared" si="30"/>
        <v>21243735</v>
      </c>
      <c r="AA139" s="13">
        <f t="shared" si="30"/>
        <v>44868488</v>
      </c>
      <c r="AB139" s="13">
        <f t="shared" si="30"/>
        <v>44868488</v>
      </c>
      <c r="AC139" s="13">
        <f t="shared" si="30"/>
        <v>6667</v>
      </c>
      <c r="AD139" s="13">
        <f t="shared" si="30"/>
        <v>305263</v>
      </c>
      <c r="AE139" s="13">
        <f t="shared" si="30"/>
        <v>572240</v>
      </c>
      <c r="AF139" s="13">
        <f t="shared" si="30"/>
        <v>780654</v>
      </c>
      <c r="AG139" s="13">
        <f t="shared" si="30"/>
        <v>1832076</v>
      </c>
      <c r="AH139" s="13">
        <f t="shared" si="30"/>
        <v>2645237</v>
      </c>
      <c r="AI139" s="13">
        <f t="shared" ref="AI139:BN139" si="31">SUM(AI121:AI138)</f>
        <v>3507376</v>
      </c>
      <c r="AJ139" s="13">
        <f t="shared" si="31"/>
        <v>5981916</v>
      </c>
      <c r="AK139" s="13">
        <f t="shared" si="31"/>
        <v>10135223</v>
      </c>
      <c r="AL139" s="13">
        <f t="shared" si="31"/>
        <v>14660830</v>
      </c>
      <c r="AM139" s="13">
        <f t="shared" si="31"/>
        <v>16644376</v>
      </c>
      <c r="AN139" s="13">
        <f t="shared" si="31"/>
        <v>26610300</v>
      </c>
      <c r="AO139" s="13">
        <f t="shared" si="31"/>
        <v>26610300</v>
      </c>
      <c r="AP139" s="13">
        <f t="shared" si="31"/>
        <v>242</v>
      </c>
      <c r="AQ139" s="13">
        <f t="shared" si="31"/>
        <v>580338</v>
      </c>
      <c r="AR139" s="13">
        <f t="shared" si="31"/>
        <v>681157</v>
      </c>
      <c r="AS139" s="13">
        <f t="shared" si="31"/>
        <v>1222641</v>
      </c>
      <c r="AT139" s="13">
        <f t="shared" si="31"/>
        <v>2205260</v>
      </c>
      <c r="AU139" s="13">
        <f t="shared" si="31"/>
        <v>2807614</v>
      </c>
      <c r="AV139" s="13">
        <f t="shared" si="31"/>
        <v>3116418</v>
      </c>
      <c r="AW139" s="13">
        <f t="shared" si="31"/>
        <v>3608277</v>
      </c>
      <c r="AX139" s="13">
        <f t="shared" si="31"/>
        <v>3795437</v>
      </c>
      <c r="AY139" s="13">
        <f t="shared" si="31"/>
        <v>4614100</v>
      </c>
      <c r="AZ139" s="13">
        <f t="shared" si="31"/>
        <v>5370137</v>
      </c>
      <c r="BA139" s="13">
        <f t="shared" si="31"/>
        <v>34423837</v>
      </c>
      <c r="BB139" s="13">
        <f t="shared" si="31"/>
        <v>34423837</v>
      </c>
      <c r="BC139" s="13">
        <f t="shared" si="31"/>
        <v>2559</v>
      </c>
      <c r="BD139" s="13">
        <f t="shared" si="31"/>
        <v>108109</v>
      </c>
      <c r="BE139" s="13">
        <f t="shared" si="31"/>
        <v>848929</v>
      </c>
      <c r="BF139" s="13">
        <f t="shared" si="31"/>
        <v>930191</v>
      </c>
      <c r="BG139" s="13">
        <f t="shared" si="31"/>
        <v>1224758</v>
      </c>
      <c r="BH139" s="13">
        <f t="shared" si="31"/>
        <v>4788898</v>
      </c>
      <c r="BI139" s="13">
        <f t="shared" si="31"/>
        <v>5009073</v>
      </c>
      <c r="BJ139" s="13">
        <f t="shared" si="31"/>
        <v>5188633</v>
      </c>
      <c r="BK139" s="13">
        <f t="shared" si="31"/>
        <v>5461891</v>
      </c>
      <c r="BL139" s="13">
        <f t="shared" si="31"/>
        <v>5691860</v>
      </c>
      <c r="BM139" s="13">
        <f t="shared" si="31"/>
        <v>6073257</v>
      </c>
      <c r="BN139" s="13">
        <f t="shared" si="31"/>
        <v>14142775</v>
      </c>
      <c r="BO139" s="13">
        <f t="shared" ref="BO139:CT139" si="32">SUM(BO121:BO138)</f>
        <v>14142775</v>
      </c>
      <c r="BP139" s="13">
        <f t="shared" si="32"/>
        <v>56966</v>
      </c>
      <c r="BQ139" s="13">
        <f t="shared" si="32"/>
        <v>132524</v>
      </c>
      <c r="BR139" s="13">
        <f t="shared" si="32"/>
        <v>960647</v>
      </c>
      <c r="BS139" s="13">
        <f t="shared" si="32"/>
        <v>1340984</v>
      </c>
      <c r="BT139" s="13">
        <f t="shared" si="32"/>
        <v>3525333</v>
      </c>
      <c r="BU139" s="13">
        <f t="shared" si="32"/>
        <v>3758641</v>
      </c>
      <c r="BV139" s="13">
        <f t="shared" si="32"/>
        <v>4615725</v>
      </c>
      <c r="BW139" s="13">
        <f t="shared" si="32"/>
        <v>4792479</v>
      </c>
      <c r="BX139" s="13">
        <f t="shared" si="32"/>
        <v>21447032</v>
      </c>
      <c r="BY139" s="13">
        <f t="shared" si="32"/>
        <v>26224603</v>
      </c>
      <c r="BZ139" s="13">
        <f t="shared" si="32"/>
        <v>30954525</v>
      </c>
      <c r="CA139" s="13">
        <f t="shared" si="32"/>
        <v>43476902</v>
      </c>
      <c r="CB139" s="13">
        <f t="shared" si="32"/>
        <v>43476902</v>
      </c>
      <c r="CC139" s="13">
        <f t="shared" si="32"/>
        <v>6204</v>
      </c>
      <c r="CD139" s="13">
        <f t="shared" si="32"/>
        <v>863345</v>
      </c>
      <c r="CE139" s="13">
        <f t="shared" si="32"/>
        <v>879350</v>
      </c>
      <c r="CF139" s="13">
        <f t="shared" si="32"/>
        <v>1029286</v>
      </c>
      <c r="CG139" s="13">
        <f t="shared" si="32"/>
        <v>1508291</v>
      </c>
      <c r="CH139" s="13">
        <f t="shared" si="32"/>
        <v>1566772</v>
      </c>
      <c r="CI139" s="13">
        <f t="shared" si="32"/>
        <v>1998078</v>
      </c>
      <c r="CJ139" s="13">
        <f t="shared" si="32"/>
        <v>2766206</v>
      </c>
      <c r="CK139" s="13">
        <f t="shared" si="32"/>
        <v>2906410</v>
      </c>
      <c r="CL139" s="13">
        <f t="shared" si="32"/>
        <v>5054487</v>
      </c>
      <c r="CM139" s="13">
        <f t="shared" si="32"/>
        <v>13059562</v>
      </c>
      <c r="CN139" s="13">
        <f t="shared" si="32"/>
        <v>29129572</v>
      </c>
      <c r="CO139" s="13">
        <f t="shared" si="32"/>
        <v>29129572</v>
      </c>
      <c r="CP139" s="13">
        <f t="shared" si="32"/>
        <v>29068</v>
      </c>
      <c r="CQ139" s="13">
        <f t="shared" si="32"/>
        <v>388663</v>
      </c>
      <c r="CR139" s="13">
        <f t="shared" si="32"/>
        <v>396251</v>
      </c>
      <c r="CS139" s="13">
        <f t="shared" si="32"/>
        <v>480645</v>
      </c>
      <c r="CT139" s="13">
        <f t="shared" si="32"/>
        <v>629756</v>
      </c>
      <c r="CU139" s="13">
        <f t="shared" ref="CU139:DZ139" si="33">SUM(CU121:CU138)</f>
        <v>2351874</v>
      </c>
      <c r="CV139" s="13">
        <f t="shared" si="33"/>
        <v>10435918</v>
      </c>
      <c r="CW139" s="13">
        <f t="shared" si="33"/>
        <v>12128811</v>
      </c>
      <c r="CX139" s="13">
        <f t="shared" si="33"/>
        <v>14973795</v>
      </c>
      <c r="CY139" s="13">
        <f t="shared" si="33"/>
        <v>15772301</v>
      </c>
      <c r="CZ139" s="13">
        <f t="shared" si="33"/>
        <v>18333222</v>
      </c>
      <c r="DA139" s="13">
        <f t="shared" si="33"/>
        <v>35709232</v>
      </c>
      <c r="DB139" s="13">
        <f t="shared" si="33"/>
        <v>35709232</v>
      </c>
      <c r="DC139" s="13">
        <f t="shared" si="33"/>
        <v>68886</v>
      </c>
      <c r="DD139" s="13">
        <f t="shared" si="33"/>
        <v>69186</v>
      </c>
      <c r="DE139" s="13">
        <f t="shared" si="33"/>
        <v>207582</v>
      </c>
      <c r="DF139" s="13">
        <f t="shared" si="33"/>
        <v>359826</v>
      </c>
      <c r="DG139" s="13">
        <f t="shared" si="33"/>
        <v>368482</v>
      </c>
      <c r="DH139" s="13">
        <f t="shared" si="33"/>
        <v>390225</v>
      </c>
      <c r="DI139" s="13">
        <f t="shared" si="33"/>
        <v>6298159</v>
      </c>
      <c r="DJ139" s="13">
        <f t="shared" si="33"/>
        <v>7716744</v>
      </c>
      <c r="DK139" s="13">
        <f t="shared" si="33"/>
        <v>9950195</v>
      </c>
      <c r="DL139" s="13">
        <f t="shared" si="33"/>
        <v>10056284</v>
      </c>
      <c r="DM139" s="13">
        <f t="shared" si="33"/>
        <v>10594322</v>
      </c>
      <c r="DN139" s="13">
        <f t="shared" si="33"/>
        <v>190462134</v>
      </c>
      <c r="DO139" s="13">
        <f t="shared" si="33"/>
        <v>190462134</v>
      </c>
      <c r="DP139" s="13">
        <f t="shared" si="33"/>
        <v>1250846</v>
      </c>
      <c r="DQ139" s="13">
        <f t="shared" si="33"/>
        <v>1392713</v>
      </c>
      <c r="DR139" s="13">
        <f t="shared" si="33"/>
        <v>1433256</v>
      </c>
      <c r="DS139" s="13">
        <f t="shared" si="33"/>
        <v>1483029</v>
      </c>
      <c r="DT139" s="13">
        <f t="shared" si="33"/>
        <v>5499501</v>
      </c>
      <c r="DU139" s="13">
        <f t="shared" si="33"/>
        <v>5662133</v>
      </c>
      <c r="DV139" s="13">
        <f t="shared" si="33"/>
        <v>5691558</v>
      </c>
      <c r="DW139" s="13">
        <f t="shared" si="33"/>
        <v>5886398</v>
      </c>
      <c r="DX139" s="13">
        <f t="shared" si="33"/>
        <v>5928775</v>
      </c>
      <c r="DY139" s="13">
        <f t="shared" si="33"/>
        <v>6101889</v>
      </c>
      <c r="DZ139" s="13">
        <f t="shared" si="33"/>
        <v>6734663</v>
      </c>
      <c r="EA139" s="13">
        <f t="shared" ref="EA139:FF139" si="34">SUM(EA121:EA138)</f>
        <v>33393071</v>
      </c>
      <c r="EB139" s="13">
        <f t="shared" si="34"/>
        <v>33393071</v>
      </c>
      <c r="EC139" s="13">
        <f t="shared" si="34"/>
        <v>1473303</v>
      </c>
      <c r="ED139" s="13">
        <f t="shared" si="34"/>
        <v>1473303</v>
      </c>
      <c r="EE139" s="13">
        <f t="shared" si="34"/>
        <v>1611277</v>
      </c>
      <c r="EF139" s="13">
        <f t="shared" si="34"/>
        <v>1631762</v>
      </c>
      <c r="EG139" s="13">
        <f t="shared" si="34"/>
        <v>1753296</v>
      </c>
      <c r="EH139" s="13">
        <f t="shared" si="34"/>
        <v>1760771</v>
      </c>
      <c r="EI139" s="13">
        <f t="shared" si="34"/>
        <v>7948833</v>
      </c>
      <c r="EJ139" s="13">
        <f t="shared" si="34"/>
        <v>8141054</v>
      </c>
      <c r="EK139" s="13">
        <f t="shared" si="34"/>
        <v>8187225</v>
      </c>
      <c r="EL139" s="13">
        <f t="shared" si="34"/>
        <v>8300992</v>
      </c>
      <c r="EM139" s="13">
        <f t="shared" si="34"/>
        <v>10560162</v>
      </c>
      <c r="EN139" s="13">
        <f t="shared" si="34"/>
        <v>19062259</v>
      </c>
      <c r="EO139" s="13">
        <f t="shared" si="34"/>
        <v>19062259</v>
      </c>
      <c r="EP139" s="13">
        <f t="shared" si="34"/>
        <v>0</v>
      </c>
      <c r="EQ139" s="13">
        <f t="shared" si="34"/>
        <v>757870</v>
      </c>
      <c r="ER139" s="13">
        <f t="shared" si="34"/>
        <v>840115</v>
      </c>
      <c r="ES139" s="13">
        <f t="shared" si="34"/>
        <v>868223</v>
      </c>
      <c r="ET139" s="13">
        <f t="shared" si="34"/>
        <v>926963</v>
      </c>
      <c r="EU139" s="13">
        <f t="shared" si="34"/>
        <v>963380</v>
      </c>
      <c r="EV139" s="13">
        <f t="shared" si="34"/>
        <v>1034533</v>
      </c>
      <c r="EW139" s="13">
        <f t="shared" si="34"/>
        <v>2263041</v>
      </c>
      <c r="EX139" s="13">
        <f t="shared" si="34"/>
        <v>2326135</v>
      </c>
      <c r="EY139" s="13">
        <f t="shared" si="34"/>
        <v>3001496</v>
      </c>
      <c r="EZ139" s="13">
        <f t="shared" si="34"/>
        <v>3233477</v>
      </c>
      <c r="FA139" s="13">
        <f t="shared" si="34"/>
        <v>36971438</v>
      </c>
      <c r="FB139" s="13">
        <f t="shared" si="34"/>
        <v>36971438</v>
      </c>
      <c r="FC139" s="13">
        <f t="shared" si="34"/>
        <v>1719166</v>
      </c>
      <c r="FD139" s="13">
        <f t="shared" si="34"/>
        <v>1719166</v>
      </c>
      <c r="FE139" s="13">
        <f t="shared" si="34"/>
        <v>1866021</v>
      </c>
      <c r="FF139" s="13">
        <f t="shared" si="34"/>
        <v>1873924</v>
      </c>
      <c r="FG139" s="13">
        <f t="shared" ref="FG139:GL139" si="35">SUM(FG121:FG138)</f>
        <v>1910136</v>
      </c>
      <c r="FH139" s="13">
        <f t="shared" si="35"/>
        <v>1978750</v>
      </c>
      <c r="FI139" s="13">
        <f t="shared" si="35"/>
        <v>1989460</v>
      </c>
      <c r="FJ139" s="13">
        <f t="shared" si="35"/>
        <v>1989460</v>
      </c>
      <c r="FK139" s="13">
        <f t="shared" si="35"/>
        <v>1989460</v>
      </c>
      <c r="FL139" s="13">
        <f t="shared" si="35"/>
        <v>1989460</v>
      </c>
      <c r="FM139" s="13">
        <f t="shared" si="35"/>
        <v>1989460</v>
      </c>
      <c r="FN139" s="13">
        <f t="shared" si="35"/>
        <v>1989460</v>
      </c>
      <c r="FO139" s="13">
        <f t="shared" si="35"/>
        <v>1989460</v>
      </c>
    </row>
    <row r="142" spans="2:171" ht="17.399999999999999" x14ac:dyDescent="0.35">
      <c r="B142" s="29" t="s">
        <v>129</v>
      </c>
    </row>
    <row r="143" spans="2:171" x14ac:dyDescent="0.3">
      <c r="B143" s="5" t="s">
        <v>130</v>
      </c>
    </row>
    <row r="144" spans="2:171" x14ac:dyDescent="0.3">
      <c r="C144" s="49" t="s">
        <v>90</v>
      </c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49" t="s">
        <v>91</v>
      </c>
      <c r="Q144" s="50"/>
      <c r="R144" s="50"/>
      <c r="S144" s="50"/>
      <c r="T144" s="50"/>
      <c r="U144" s="50"/>
      <c r="V144" s="50"/>
      <c r="W144" s="50"/>
      <c r="X144" s="50"/>
      <c r="Y144" s="50"/>
      <c r="Z144" s="50"/>
      <c r="AA144" s="50"/>
      <c r="AB144" s="50"/>
      <c r="AC144" s="49" t="s">
        <v>92</v>
      </c>
      <c r="AD144" s="50"/>
      <c r="AE144" s="50"/>
      <c r="AF144" s="50"/>
      <c r="AG144" s="50"/>
      <c r="AH144" s="50"/>
      <c r="AI144" s="50"/>
      <c r="AJ144" s="50"/>
      <c r="AK144" s="50"/>
      <c r="AL144" s="50"/>
      <c r="AM144" s="50"/>
      <c r="AN144" s="50"/>
      <c r="AO144" s="50"/>
      <c r="AP144" s="49" t="s">
        <v>93</v>
      </c>
      <c r="AQ144" s="50"/>
      <c r="AR144" s="50"/>
      <c r="AS144" s="50"/>
      <c r="AT144" s="50"/>
      <c r="AU144" s="50"/>
      <c r="AV144" s="50"/>
      <c r="AW144" s="50"/>
      <c r="AX144" s="50"/>
      <c r="AY144" s="50"/>
      <c r="AZ144" s="50"/>
      <c r="BA144" s="50"/>
      <c r="BB144" s="50"/>
      <c r="BC144" s="49" t="s">
        <v>94</v>
      </c>
      <c r="BD144" s="50"/>
      <c r="BE144" s="50"/>
      <c r="BF144" s="50"/>
      <c r="BG144" s="50"/>
      <c r="BH144" s="50"/>
      <c r="BI144" s="50"/>
      <c r="BJ144" s="50"/>
      <c r="BK144" s="50"/>
      <c r="BL144" s="50"/>
      <c r="BM144" s="50"/>
      <c r="BN144" s="50"/>
      <c r="BO144" s="50"/>
      <c r="BP144" s="49" t="s">
        <v>95</v>
      </c>
      <c r="BQ144" s="50"/>
      <c r="BR144" s="50"/>
      <c r="BS144" s="50"/>
      <c r="BT144" s="50"/>
      <c r="BU144" s="50"/>
      <c r="BV144" s="50"/>
      <c r="BW144" s="50"/>
      <c r="BX144" s="50"/>
      <c r="BY144" s="50"/>
      <c r="BZ144" s="50"/>
      <c r="CA144" s="50"/>
      <c r="CB144" s="50"/>
      <c r="CC144" s="49" t="s">
        <v>96</v>
      </c>
      <c r="CD144" s="50"/>
      <c r="CE144" s="50"/>
      <c r="CF144" s="50"/>
      <c r="CG144" s="50"/>
      <c r="CH144" s="50"/>
      <c r="CI144" s="50"/>
      <c r="CJ144" s="50"/>
      <c r="CK144" s="50"/>
      <c r="CL144" s="50"/>
      <c r="CM144" s="50"/>
      <c r="CN144" s="50"/>
      <c r="CO144" s="50"/>
      <c r="CP144" s="49" t="s">
        <v>97</v>
      </c>
      <c r="CQ144" s="50"/>
      <c r="CR144" s="50"/>
      <c r="CS144" s="50"/>
      <c r="CT144" s="50"/>
      <c r="CU144" s="50"/>
      <c r="CV144" s="50"/>
      <c r="CW144" s="50"/>
      <c r="CX144" s="50"/>
      <c r="CY144" s="50"/>
      <c r="CZ144" s="50"/>
      <c r="DA144" s="50"/>
      <c r="DB144" s="50"/>
      <c r="DC144" s="49" t="s">
        <v>98</v>
      </c>
      <c r="DD144" s="50"/>
      <c r="DE144" s="50"/>
      <c r="DF144" s="50"/>
      <c r="DG144" s="50"/>
      <c r="DH144" s="50"/>
      <c r="DI144" s="50"/>
      <c r="DJ144" s="50"/>
      <c r="DK144" s="50"/>
      <c r="DL144" s="50"/>
      <c r="DM144" s="50"/>
      <c r="DN144" s="50"/>
      <c r="DO144" s="50"/>
      <c r="DP144" s="49" t="s">
        <v>99</v>
      </c>
      <c r="DQ144" s="50"/>
      <c r="DR144" s="50"/>
      <c r="DS144" s="50"/>
      <c r="DT144" s="50"/>
      <c r="DU144" s="50"/>
      <c r="DV144" s="50"/>
      <c r="DW144" s="50"/>
      <c r="DX144" s="50"/>
      <c r="DY144" s="50"/>
      <c r="DZ144" s="50"/>
      <c r="EA144" s="50"/>
      <c r="EB144" s="50"/>
      <c r="EC144" s="49" t="s">
        <v>100</v>
      </c>
      <c r="ED144" s="50"/>
      <c r="EE144" s="50"/>
      <c r="EF144" s="50"/>
      <c r="EG144" s="50"/>
      <c r="EH144" s="50"/>
      <c r="EI144" s="50"/>
      <c r="EJ144" s="50"/>
      <c r="EK144" s="50"/>
      <c r="EL144" s="50"/>
      <c r="EM144" s="50"/>
      <c r="EN144" s="50"/>
      <c r="EO144" s="50"/>
      <c r="EP144" s="49" t="s">
        <v>101</v>
      </c>
      <c r="EQ144" s="50"/>
      <c r="ER144" s="50"/>
      <c r="ES144" s="50"/>
      <c r="ET144" s="50"/>
      <c r="EU144" s="50"/>
      <c r="EV144" s="50"/>
      <c r="EW144" s="50"/>
      <c r="EX144" s="50"/>
      <c r="EY144" s="50"/>
      <c r="EZ144" s="50"/>
      <c r="FA144" s="50"/>
      <c r="FB144" s="50"/>
      <c r="FC144" s="49" t="s">
        <v>102</v>
      </c>
      <c r="FD144" s="50"/>
      <c r="FE144" s="50"/>
      <c r="FF144" s="50"/>
      <c r="FG144" s="50"/>
      <c r="FH144" s="50"/>
      <c r="FI144" s="50"/>
      <c r="FJ144" s="50"/>
      <c r="FK144" s="50"/>
      <c r="FL144" s="50"/>
      <c r="FM144" s="50"/>
      <c r="FN144" s="50"/>
      <c r="FO144" s="50"/>
    </row>
    <row r="145" spans="2:171" x14ac:dyDescent="0.3">
      <c r="B145" s="19" t="s">
        <v>103</v>
      </c>
      <c r="C145" s="30" t="s">
        <v>67</v>
      </c>
      <c r="D145" s="30" t="s">
        <v>68</v>
      </c>
      <c r="E145" s="30" t="s">
        <v>69</v>
      </c>
      <c r="F145" s="30" t="s">
        <v>70</v>
      </c>
      <c r="G145" s="30" t="s">
        <v>71</v>
      </c>
      <c r="H145" s="30" t="s">
        <v>72</v>
      </c>
      <c r="I145" s="30" t="s">
        <v>73</v>
      </c>
      <c r="J145" s="30" t="s">
        <v>74</v>
      </c>
      <c r="K145" s="30" t="s">
        <v>75</v>
      </c>
      <c r="L145" s="30" t="s">
        <v>76</v>
      </c>
      <c r="M145" s="30" t="s">
        <v>77</v>
      </c>
      <c r="N145" s="30" t="s">
        <v>78</v>
      </c>
      <c r="O145" s="30" t="s">
        <v>104</v>
      </c>
      <c r="P145" s="30" t="s">
        <v>67</v>
      </c>
      <c r="Q145" s="30" t="s">
        <v>68</v>
      </c>
      <c r="R145" s="30" t="s">
        <v>69</v>
      </c>
      <c r="S145" s="30" t="s">
        <v>70</v>
      </c>
      <c r="T145" s="30" t="s">
        <v>71</v>
      </c>
      <c r="U145" s="30" t="s">
        <v>72</v>
      </c>
      <c r="V145" s="30" t="s">
        <v>73</v>
      </c>
      <c r="W145" s="30" t="s">
        <v>74</v>
      </c>
      <c r="X145" s="30" t="s">
        <v>75</v>
      </c>
      <c r="Y145" s="30" t="s">
        <v>76</v>
      </c>
      <c r="Z145" s="30" t="s">
        <v>77</v>
      </c>
      <c r="AA145" s="30" t="s">
        <v>78</v>
      </c>
      <c r="AB145" s="30" t="s">
        <v>105</v>
      </c>
      <c r="AC145" s="30" t="s">
        <v>67</v>
      </c>
      <c r="AD145" s="30" t="s">
        <v>68</v>
      </c>
      <c r="AE145" s="30" t="s">
        <v>69</v>
      </c>
      <c r="AF145" s="30" t="s">
        <v>70</v>
      </c>
      <c r="AG145" s="30" t="s">
        <v>71</v>
      </c>
      <c r="AH145" s="30" t="s">
        <v>72</v>
      </c>
      <c r="AI145" s="30" t="s">
        <v>73</v>
      </c>
      <c r="AJ145" s="30" t="s">
        <v>74</v>
      </c>
      <c r="AK145" s="30" t="s">
        <v>75</v>
      </c>
      <c r="AL145" s="30" t="s">
        <v>76</v>
      </c>
      <c r="AM145" s="30" t="s">
        <v>77</v>
      </c>
      <c r="AN145" s="30" t="s">
        <v>78</v>
      </c>
      <c r="AO145" s="30" t="s">
        <v>106</v>
      </c>
      <c r="AP145" s="30" t="s">
        <v>67</v>
      </c>
      <c r="AQ145" s="30" t="s">
        <v>68</v>
      </c>
      <c r="AR145" s="30" t="s">
        <v>69</v>
      </c>
      <c r="AS145" s="30" t="s">
        <v>70</v>
      </c>
      <c r="AT145" s="30" t="s">
        <v>71</v>
      </c>
      <c r="AU145" s="30" t="s">
        <v>72</v>
      </c>
      <c r="AV145" s="30" t="s">
        <v>73</v>
      </c>
      <c r="AW145" s="30" t="s">
        <v>74</v>
      </c>
      <c r="AX145" s="30" t="s">
        <v>75</v>
      </c>
      <c r="AY145" s="30" t="s">
        <v>76</v>
      </c>
      <c r="AZ145" s="30" t="s">
        <v>77</v>
      </c>
      <c r="BA145" s="30" t="s">
        <v>78</v>
      </c>
      <c r="BB145" s="30" t="s">
        <v>107</v>
      </c>
      <c r="BC145" s="30" t="s">
        <v>67</v>
      </c>
      <c r="BD145" s="30" t="s">
        <v>68</v>
      </c>
      <c r="BE145" s="30" t="s">
        <v>69</v>
      </c>
      <c r="BF145" s="30" t="s">
        <v>70</v>
      </c>
      <c r="BG145" s="30" t="s">
        <v>71</v>
      </c>
      <c r="BH145" s="30" t="s">
        <v>72</v>
      </c>
      <c r="BI145" s="30" t="s">
        <v>73</v>
      </c>
      <c r="BJ145" s="30" t="s">
        <v>74</v>
      </c>
      <c r="BK145" s="30" t="s">
        <v>75</v>
      </c>
      <c r="BL145" s="30" t="s">
        <v>76</v>
      </c>
      <c r="BM145" s="30" t="s">
        <v>77</v>
      </c>
      <c r="BN145" s="30" t="s">
        <v>78</v>
      </c>
      <c r="BO145" s="30" t="s">
        <v>108</v>
      </c>
      <c r="BP145" s="30" t="s">
        <v>67</v>
      </c>
      <c r="BQ145" s="30" t="s">
        <v>68</v>
      </c>
      <c r="BR145" s="30" t="s">
        <v>69</v>
      </c>
      <c r="BS145" s="30" t="s">
        <v>70</v>
      </c>
      <c r="BT145" s="30" t="s">
        <v>71</v>
      </c>
      <c r="BU145" s="30" t="s">
        <v>72</v>
      </c>
      <c r="BV145" s="30" t="s">
        <v>73</v>
      </c>
      <c r="BW145" s="30" t="s">
        <v>74</v>
      </c>
      <c r="BX145" s="30" t="s">
        <v>75</v>
      </c>
      <c r="BY145" s="30" t="s">
        <v>76</v>
      </c>
      <c r="BZ145" s="30" t="s">
        <v>77</v>
      </c>
      <c r="CA145" s="30" t="s">
        <v>78</v>
      </c>
      <c r="CB145" s="30" t="s">
        <v>109</v>
      </c>
      <c r="CC145" s="30" t="s">
        <v>67</v>
      </c>
      <c r="CD145" s="30" t="s">
        <v>68</v>
      </c>
      <c r="CE145" s="30" t="s">
        <v>69</v>
      </c>
      <c r="CF145" s="30" t="s">
        <v>70</v>
      </c>
      <c r="CG145" s="30" t="s">
        <v>71</v>
      </c>
      <c r="CH145" s="30" t="s">
        <v>72</v>
      </c>
      <c r="CI145" s="30" t="s">
        <v>73</v>
      </c>
      <c r="CJ145" s="30" t="s">
        <v>74</v>
      </c>
      <c r="CK145" s="30" t="s">
        <v>75</v>
      </c>
      <c r="CL145" s="30" t="s">
        <v>76</v>
      </c>
      <c r="CM145" s="30" t="s">
        <v>77</v>
      </c>
      <c r="CN145" s="30" t="s">
        <v>78</v>
      </c>
      <c r="CO145" s="30" t="s">
        <v>110</v>
      </c>
      <c r="CP145" s="30" t="s">
        <v>67</v>
      </c>
      <c r="CQ145" s="30" t="s">
        <v>68</v>
      </c>
      <c r="CR145" s="30" t="s">
        <v>69</v>
      </c>
      <c r="CS145" s="30" t="s">
        <v>70</v>
      </c>
      <c r="CT145" s="30" t="s">
        <v>71</v>
      </c>
      <c r="CU145" s="30" t="s">
        <v>72</v>
      </c>
      <c r="CV145" s="30" t="s">
        <v>73</v>
      </c>
      <c r="CW145" s="30" t="s">
        <v>74</v>
      </c>
      <c r="CX145" s="30" t="s">
        <v>75</v>
      </c>
      <c r="CY145" s="30" t="s">
        <v>76</v>
      </c>
      <c r="CZ145" s="30" t="s">
        <v>77</v>
      </c>
      <c r="DA145" s="30" t="s">
        <v>78</v>
      </c>
      <c r="DB145" s="30" t="s">
        <v>111</v>
      </c>
      <c r="DC145" s="30" t="s">
        <v>67</v>
      </c>
      <c r="DD145" s="30" t="s">
        <v>68</v>
      </c>
      <c r="DE145" s="30" t="s">
        <v>69</v>
      </c>
      <c r="DF145" s="30" t="s">
        <v>70</v>
      </c>
      <c r="DG145" s="30" t="s">
        <v>71</v>
      </c>
      <c r="DH145" s="30" t="s">
        <v>72</v>
      </c>
      <c r="DI145" s="30" t="s">
        <v>73</v>
      </c>
      <c r="DJ145" s="30" t="s">
        <v>74</v>
      </c>
      <c r="DK145" s="30" t="s">
        <v>75</v>
      </c>
      <c r="DL145" s="30" t="s">
        <v>76</v>
      </c>
      <c r="DM145" s="30" t="s">
        <v>77</v>
      </c>
      <c r="DN145" s="30" t="s">
        <v>78</v>
      </c>
      <c r="DO145" s="30" t="s">
        <v>112</v>
      </c>
      <c r="DP145" s="30" t="s">
        <v>67</v>
      </c>
      <c r="DQ145" s="30" t="s">
        <v>68</v>
      </c>
      <c r="DR145" s="30" t="s">
        <v>69</v>
      </c>
      <c r="DS145" s="30" t="s">
        <v>70</v>
      </c>
      <c r="DT145" s="30" t="s">
        <v>71</v>
      </c>
      <c r="DU145" s="30" t="s">
        <v>72</v>
      </c>
      <c r="DV145" s="30" t="s">
        <v>73</v>
      </c>
      <c r="DW145" s="30" t="s">
        <v>74</v>
      </c>
      <c r="DX145" s="30" t="s">
        <v>75</v>
      </c>
      <c r="DY145" s="30" t="s">
        <v>76</v>
      </c>
      <c r="DZ145" s="30" t="s">
        <v>77</v>
      </c>
      <c r="EA145" s="30" t="s">
        <v>78</v>
      </c>
      <c r="EB145" s="30" t="s">
        <v>113</v>
      </c>
      <c r="EC145" s="30" t="s">
        <v>67</v>
      </c>
      <c r="ED145" s="30" t="s">
        <v>68</v>
      </c>
      <c r="EE145" s="30" t="s">
        <v>69</v>
      </c>
      <c r="EF145" s="30" t="s">
        <v>70</v>
      </c>
      <c r="EG145" s="30" t="s">
        <v>71</v>
      </c>
      <c r="EH145" s="30" t="s">
        <v>72</v>
      </c>
      <c r="EI145" s="30" t="s">
        <v>73</v>
      </c>
      <c r="EJ145" s="30" t="s">
        <v>74</v>
      </c>
      <c r="EK145" s="30" t="s">
        <v>75</v>
      </c>
      <c r="EL145" s="30" t="s">
        <v>76</v>
      </c>
      <c r="EM145" s="30" t="s">
        <v>77</v>
      </c>
      <c r="EN145" s="30" t="s">
        <v>78</v>
      </c>
      <c r="EO145" s="30" t="s">
        <v>114</v>
      </c>
      <c r="EP145" s="30" t="s">
        <v>67</v>
      </c>
      <c r="EQ145" s="30" t="s">
        <v>68</v>
      </c>
      <c r="ER145" s="30" t="s">
        <v>69</v>
      </c>
      <c r="ES145" s="30" t="s">
        <v>70</v>
      </c>
      <c r="ET145" s="30" t="s">
        <v>71</v>
      </c>
      <c r="EU145" s="30" t="s">
        <v>72</v>
      </c>
      <c r="EV145" s="30" t="s">
        <v>73</v>
      </c>
      <c r="EW145" s="30" t="s">
        <v>74</v>
      </c>
      <c r="EX145" s="30" t="s">
        <v>75</v>
      </c>
      <c r="EY145" s="30" t="s">
        <v>76</v>
      </c>
      <c r="EZ145" s="30" t="s">
        <v>77</v>
      </c>
      <c r="FA145" s="30" t="s">
        <v>78</v>
      </c>
      <c r="FB145" s="30" t="s">
        <v>115</v>
      </c>
      <c r="FC145" s="30" t="s">
        <v>67</v>
      </c>
      <c r="FD145" s="30" t="s">
        <v>68</v>
      </c>
      <c r="FE145" s="30" t="s">
        <v>69</v>
      </c>
      <c r="FF145" s="30" t="s">
        <v>70</v>
      </c>
      <c r="FG145" s="30" t="s">
        <v>71</v>
      </c>
      <c r="FH145" s="30" t="s">
        <v>72</v>
      </c>
      <c r="FI145" s="30" t="s">
        <v>73</v>
      </c>
      <c r="FJ145" s="30" t="s">
        <v>74</v>
      </c>
      <c r="FK145" s="30" t="s">
        <v>75</v>
      </c>
      <c r="FL145" s="30" t="s">
        <v>76</v>
      </c>
      <c r="FM145" s="30" t="s">
        <v>77</v>
      </c>
      <c r="FN145" s="30" t="s">
        <v>78</v>
      </c>
      <c r="FO145" s="30" t="s">
        <v>116</v>
      </c>
    </row>
    <row r="146" spans="2:171" x14ac:dyDescent="0.3">
      <c r="B146" s="7" t="s">
        <v>46</v>
      </c>
      <c r="C146" s="9">
        <v>71955439</v>
      </c>
      <c r="D146" s="9">
        <v>71955439</v>
      </c>
      <c r="E146" s="9">
        <v>103493879</v>
      </c>
      <c r="F146" s="9">
        <v>103493879</v>
      </c>
      <c r="G146" s="9">
        <v>103493879</v>
      </c>
      <c r="H146" s="9">
        <v>103493879</v>
      </c>
      <c r="I146" s="9">
        <v>103493879</v>
      </c>
      <c r="J146" s="9">
        <v>103493879</v>
      </c>
      <c r="K146" s="9">
        <v>103493879</v>
      </c>
      <c r="L146" s="9">
        <v>103493879</v>
      </c>
      <c r="M146" s="9">
        <v>103493879</v>
      </c>
      <c r="N146" s="9">
        <v>103493879</v>
      </c>
      <c r="O146" s="31">
        <v>103493879</v>
      </c>
      <c r="P146" s="9">
        <v>104593106</v>
      </c>
      <c r="Q146" s="9">
        <v>104593106</v>
      </c>
      <c r="R146" s="9">
        <v>104593106</v>
      </c>
      <c r="S146" s="9">
        <v>104593106</v>
      </c>
      <c r="T146" s="9">
        <v>104593106</v>
      </c>
      <c r="U146" s="9">
        <v>104593106</v>
      </c>
      <c r="V146" s="9">
        <v>104593106</v>
      </c>
      <c r="W146" s="9">
        <v>104593106</v>
      </c>
      <c r="X146" s="9">
        <v>104593106</v>
      </c>
      <c r="Y146" s="9">
        <v>104593106</v>
      </c>
      <c r="Z146" s="9">
        <v>104593106</v>
      </c>
      <c r="AA146" s="9">
        <v>104593106</v>
      </c>
      <c r="AB146" s="31">
        <v>104593106</v>
      </c>
      <c r="AC146" s="9">
        <v>116262764</v>
      </c>
      <c r="AD146" s="9">
        <v>116262764</v>
      </c>
      <c r="AE146" s="9">
        <v>116262764</v>
      </c>
      <c r="AF146" s="9">
        <v>116262764</v>
      </c>
      <c r="AG146" s="9">
        <v>116262764</v>
      </c>
      <c r="AH146" s="9">
        <v>116262764</v>
      </c>
      <c r="AI146" s="9">
        <v>116262764</v>
      </c>
      <c r="AJ146" s="9">
        <v>116262764</v>
      </c>
      <c r="AK146" s="9">
        <v>116262764</v>
      </c>
      <c r="AL146" s="9">
        <v>116262764</v>
      </c>
      <c r="AM146" s="9">
        <v>116262764</v>
      </c>
      <c r="AN146" s="9">
        <v>116262764</v>
      </c>
      <c r="AO146" s="31">
        <v>116262764</v>
      </c>
      <c r="AP146" s="9">
        <v>121955702</v>
      </c>
      <c r="AQ146" s="9">
        <v>121955702</v>
      </c>
      <c r="AR146" s="9">
        <v>121955702</v>
      </c>
      <c r="AS146" s="9">
        <v>121955702</v>
      </c>
      <c r="AT146" s="9">
        <v>121955702</v>
      </c>
      <c r="AU146" s="9">
        <v>121955702</v>
      </c>
      <c r="AV146" s="9">
        <v>121955702</v>
      </c>
      <c r="AW146" s="9">
        <v>121955702</v>
      </c>
      <c r="AX146" s="9">
        <v>121955702</v>
      </c>
      <c r="AY146" s="9">
        <v>121955702</v>
      </c>
      <c r="AZ146" s="9">
        <v>121955702</v>
      </c>
      <c r="BA146" s="9">
        <v>121955702</v>
      </c>
      <c r="BB146" s="31">
        <v>121955702</v>
      </c>
      <c r="BC146" s="9">
        <v>118063289</v>
      </c>
      <c r="BD146" s="9">
        <v>118063289</v>
      </c>
      <c r="BE146" s="9">
        <v>118063289</v>
      </c>
      <c r="BF146" s="9">
        <v>118063289</v>
      </c>
      <c r="BG146" s="9">
        <v>118063289</v>
      </c>
      <c r="BH146" s="9">
        <v>118063289</v>
      </c>
      <c r="BI146" s="9">
        <v>118063289</v>
      </c>
      <c r="BJ146" s="9">
        <v>118063289</v>
      </c>
      <c r="BK146" s="9">
        <v>118063289</v>
      </c>
      <c r="BL146" s="9">
        <v>118063289</v>
      </c>
      <c r="BM146" s="9">
        <v>118063289</v>
      </c>
      <c r="BN146" s="9">
        <v>118063289</v>
      </c>
      <c r="BO146" s="31">
        <v>118063289</v>
      </c>
      <c r="BP146" s="9">
        <v>119389210</v>
      </c>
      <c r="BQ146" s="9">
        <v>119389210</v>
      </c>
      <c r="BR146" s="9">
        <v>119389210</v>
      </c>
      <c r="BS146" s="9">
        <v>119389210</v>
      </c>
      <c r="BT146" s="9">
        <v>119389210</v>
      </c>
      <c r="BU146" s="9">
        <v>119389210</v>
      </c>
      <c r="BV146" s="9">
        <v>119389210</v>
      </c>
      <c r="BW146" s="9">
        <v>119389210</v>
      </c>
      <c r="BX146" s="9">
        <v>119389210</v>
      </c>
      <c r="BY146" s="9">
        <v>119389210</v>
      </c>
      <c r="BZ146" s="9">
        <v>119389210</v>
      </c>
      <c r="CA146" s="9">
        <v>119389210</v>
      </c>
      <c r="CB146" s="31">
        <v>119389210</v>
      </c>
      <c r="CC146" s="9">
        <v>140864809</v>
      </c>
      <c r="CD146" s="9">
        <v>140864809</v>
      </c>
      <c r="CE146" s="9">
        <v>140864809</v>
      </c>
      <c r="CF146" s="9">
        <v>140864809</v>
      </c>
      <c r="CG146" s="9">
        <v>140864809</v>
      </c>
      <c r="CH146" s="9">
        <v>140864809</v>
      </c>
      <c r="CI146" s="9">
        <v>140864809</v>
      </c>
      <c r="CJ146" s="9">
        <v>140864809</v>
      </c>
      <c r="CK146" s="9">
        <v>140864809</v>
      </c>
      <c r="CL146" s="9">
        <v>140864809</v>
      </c>
      <c r="CM146" s="9">
        <v>140864809</v>
      </c>
      <c r="CN146" s="9">
        <v>140864809</v>
      </c>
      <c r="CO146" s="31">
        <v>140864809</v>
      </c>
      <c r="CP146" s="9">
        <v>176108496</v>
      </c>
      <c r="CQ146" s="9">
        <v>176108496</v>
      </c>
      <c r="CR146" s="9">
        <v>176108496</v>
      </c>
      <c r="CS146" s="9">
        <v>176108496</v>
      </c>
      <c r="CT146" s="9">
        <v>176108496</v>
      </c>
      <c r="CU146" s="9">
        <v>176108496</v>
      </c>
      <c r="CV146" s="9">
        <v>176108496</v>
      </c>
      <c r="CW146" s="9">
        <v>176108496</v>
      </c>
      <c r="CX146" s="9">
        <v>176108496</v>
      </c>
      <c r="CY146" s="9">
        <v>176108496</v>
      </c>
      <c r="CZ146" s="9">
        <v>176108496</v>
      </c>
      <c r="DA146" s="9">
        <v>176108496</v>
      </c>
      <c r="DB146" s="31">
        <v>176108496</v>
      </c>
      <c r="DC146" s="9">
        <v>225560049</v>
      </c>
      <c r="DD146" s="9">
        <v>225560049</v>
      </c>
      <c r="DE146" s="9">
        <v>225560049</v>
      </c>
      <c r="DF146" s="9">
        <v>225560049</v>
      </c>
      <c r="DG146" s="9">
        <v>225560049</v>
      </c>
      <c r="DH146" s="9">
        <v>225560049</v>
      </c>
      <c r="DI146" s="9">
        <v>225560049</v>
      </c>
      <c r="DJ146" s="9">
        <v>225560049</v>
      </c>
      <c r="DK146" s="9">
        <v>225560049</v>
      </c>
      <c r="DL146" s="9">
        <v>225560049</v>
      </c>
      <c r="DM146" s="9">
        <v>225560049</v>
      </c>
      <c r="DN146" s="9">
        <v>225560049</v>
      </c>
      <c r="DO146" s="31">
        <v>225560049</v>
      </c>
      <c r="DP146" s="9">
        <v>261708490</v>
      </c>
      <c r="DQ146" s="9">
        <v>261708490</v>
      </c>
      <c r="DR146" s="9">
        <v>261708490</v>
      </c>
      <c r="DS146" s="9">
        <v>261708490</v>
      </c>
      <c r="DT146" s="9">
        <v>261708490</v>
      </c>
      <c r="DU146" s="9">
        <v>261708490</v>
      </c>
      <c r="DV146" s="9">
        <v>261708490</v>
      </c>
      <c r="DW146" s="9">
        <v>261708490</v>
      </c>
      <c r="DX146" s="9">
        <v>261708490</v>
      </c>
      <c r="DY146" s="9">
        <v>261708490</v>
      </c>
      <c r="DZ146" s="9">
        <v>261708490</v>
      </c>
      <c r="EA146" s="9">
        <v>261708490</v>
      </c>
      <c r="EB146" s="31">
        <v>261708490</v>
      </c>
      <c r="EC146" s="9">
        <v>259798881</v>
      </c>
      <c r="ED146" s="9">
        <v>259798881</v>
      </c>
      <c r="EE146" s="9">
        <v>259798881</v>
      </c>
      <c r="EF146" s="9">
        <v>259798881</v>
      </c>
      <c r="EG146" s="9">
        <v>259798881</v>
      </c>
      <c r="EH146" s="9">
        <v>259798881</v>
      </c>
      <c r="EI146" s="9">
        <v>259798881</v>
      </c>
      <c r="EJ146" s="9">
        <v>259798881</v>
      </c>
      <c r="EK146" s="9">
        <v>259798881</v>
      </c>
      <c r="EL146" s="9">
        <v>259798881</v>
      </c>
      <c r="EM146" s="9">
        <v>259798881</v>
      </c>
      <c r="EN146" s="9">
        <v>259798881</v>
      </c>
      <c r="EO146" s="31">
        <v>259798881</v>
      </c>
      <c r="EP146" s="9">
        <v>288622626</v>
      </c>
      <c r="EQ146" s="9">
        <v>288622626</v>
      </c>
      <c r="ER146" s="9">
        <v>288622626</v>
      </c>
      <c r="ES146" s="9">
        <v>288622626</v>
      </c>
      <c r="ET146" s="9">
        <v>288622626</v>
      </c>
      <c r="EU146" s="9">
        <v>288622626</v>
      </c>
      <c r="EV146" s="9">
        <v>288622626</v>
      </c>
      <c r="EW146" s="9">
        <v>288622626</v>
      </c>
      <c r="EX146" s="9">
        <v>288622626</v>
      </c>
      <c r="EY146" s="9">
        <v>288622626</v>
      </c>
      <c r="EZ146" s="9">
        <v>288622626</v>
      </c>
      <c r="FA146" s="9">
        <v>288622626</v>
      </c>
      <c r="FB146" s="31">
        <v>288622626</v>
      </c>
      <c r="FC146" s="9">
        <v>359934455</v>
      </c>
      <c r="FD146" s="9">
        <v>359934455</v>
      </c>
      <c r="FE146" s="9">
        <v>359934455</v>
      </c>
      <c r="FF146" s="9">
        <v>359934455</v>
      </c>
      <c r="FG146" s="9">
        <v>359934455</v>
      </c>
      <c r="FH146" s="9">
        <v>359934455</v>
      </c>
      <c r="FI146" s="9">
        <v>359934455</v>
      </c>
      <c r="FJ146" s="9">
        <v>359934455</v>
      </c>
      <c r="FK146" s="9">
        <v>359934455</v>
      </c>
      <c r="FL146" s="9">
        <v>359934455</v>
      </c>
      <c r="FM146" s="9">
        <v>359934455</v>
      </c>
      <c r="FN146" s="9">
        <v>359934455</v>
      </c>
      <c r="FO146" s="31">
        <v>359934455</v>
      </c>
    </row>
    <row r="147" spans="2:171" x14ac:dyDescent="0.3">
      <c r="B147" s="7" t="s">
        <v>47</v>
      </c>
      <c r="C147" s="9">
        <v>0</v>
      </c>
      <c r="D147" s="9">
        <v>0</v>
      </c>
      <c r="E147" s="9">
        <v>0</v>
      </c>
      <c r="F147" s="9">
        <v>0</v>
      </c>
      <c r="G147" s="9">
        <v>0</v>
      </c>
      <c r="H147" s="9">
        <v>0</v>
      </c>
      <c r="I147" s="9">
        <v>0</v>
      </c>
      <c r="J147" s="9">
        <v>0</v>
      </c>
      <c r="K147" s="9">
        <v>0</v>
      </c>
      <c r="L147" s="9">
        <v>0</v>
      </c>
      <c r="M147" s="9">
        <v>0</v>
      </c>
      <c r="N147" s="9">
        <v>0</v>
      </c>
      <c r="O147" s="31">
        <v>0</v>
      </c>
      <c r="P147" s="9">
        <v>0</v>
      </c>
      <c r="Q147" s="9">
        <v>0</v>
      </c>
      <c r="R147" s="9">
        <v>0</v>
      </c>
      <c r="S147" s="9">
        <v>0</v>
      </c>
      <c r="T147" s="9">
        <v>0</v>
      </c>
      <c r="U147" s="9">
        <v>0</v>
      </c>
      <c r="V147" s="9">
        <v>0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  <c r="AB147" s="31">
        <v>0</v>
      </c>
      <c r="AC147" s="9">
        <v>0</v>
      </c>
      <c r="AD147" s="9">
        <v>0</v>
      </c>
      <c r="AE147" s="9">
        <v>0</v>
      </c>
      <c r="AF147" s="9">
        <v>0</v>
      </c>
      <c r="AG147" s="9">
        <v>0</v>
      </c>
      <c r="AH147" s="9">
        <v>0</v>
      </c>
      <c r="AI147" s="9">
        <v>0</v>
      </c>
      <c r="AJ147" s="9">
        <v>0</v>
      </c>
      <c r="AK147" s="9">
        <v>0</v>
      </c>
      <c r="AL147" s="9">
        <v>0</v>
      </c>
      <c r="AM147" s="9">
        <v>0</v>
      </c>
      <c r="AN147" s="9">
        <v>0</v>
      </c>
      <c r="AO147" s="31">
        <v>0</v>
      </c>
      <c r="AP147" s="9">
        <v>0</v>
      </c>
      <c r="AQ147" s="9">
        <v>0</v>
      </c>
      <c r="AR147" s="9">
        <v>0</v>
      </c>
      <c r="AS147" s="9">
        <v>0</v>
      </c>
      <c r="AT147" s="9">
        <v>0</v>
      </c>
      <c r="AU147" s="9">
        <v>0</v>
      </c>
      <c r="AV147" s="9">
        <v>0</v>
      </c>
      <c r="AW147" s="9">
        <v>0</v>
      </c>
      <c r="AX147" s="9">
        <v>0</v>
      </c>
      <c r="AY147" s="9">
        <v>0</v>
      </c>
      <c r="AZ147" s="9">
        <v>0</v>
      </c>
      <c r="BA147" s="9">
        <v>0</v>
      </c>
      <c r="BB147" s="31">
        <v>0</v>
      </c>
      <c r="BC147" s="9">
        <v>0</v>
      </c>
      <c r="BD147" s="9">
        <v>0</v>
      </c>
      <c r="BE147" s="9">
        <v>0</v>
      </c>
      <c r="BF147" s="9">
        <v>0</v>
      </c>
      <c r="BG147" s="9">
        <v>0</v>
      </c>
      <c r="BH147" s="9">
        <v>0</v>
      </c>
      <c r="BI147" s="9">
        <v>0</v>
      </c>
      <c r="BJ147" s="9">
        <v>0</v>
      </c>
      <c r="BK147" s="9">
        <v>0</v>
      </c>
      <c r="BL147" s="9">
        <v>0</v>
      </c>
      <c r="BM147" s="9">
        <v>0</v>
      </c>
      <c r="BN147" s="9">
        <v>0</v>
      </c>
      <c r="BO147" s="31">
        <v>0</v>
      </c>
      <c r="BP147" s="9">
        <v>0</v>
      </c>
      <c r="BQ147" s="9">
        <v>0</v>
      </c>
      <c r="BR147" s="9">
        <v>0</v>
      </c>
      <c r="BS147" s="9">
        <v>0</v>
      </c>
      <c r="BT147" s="9">
        <v>0</v>
      </c>
      <c r="BU147" s="9">
        <v>0</v>
      </c>
      <c r="BV147" s="9">
        <v>0</v>
      </c>
      <c r="BW147" s="9">
        <v>0</v>
      </c>
      <c r="BX147" s="9">
        <v>0</v>
      </c>
      <c r="BY147" s="9">
        <v>0</v>
      </c>
      <c r="BZ147" s="9">
        <v>0</v>
      </c>
      <c r="CA147" s="9">
        <v>0</v>
      </c>
      <c r="CB147" s="31">
        <v>0</v>
      </c>
      <c r="CC147" s="9">
        <v>0</v>
      </c>
      <c r="CD147" s="9">
        <v>0</v>
      </c>
      <c r="CE147" s="9">
        <v>0</v>
      </c>
      <c r="CF147" s="9">
        <v>0</v>
      </c>
      <c r="CG147" s="9">
        <v>0</v>
      </c>
      <c r="CH147" s="9">
        <v>0</v>
      </c>
      <c r="CI147" s="9">
        <v>0</v>
      </c>
      <c r="CJ147" s="9">
        <v>0</v>
      </c>
      <c r="CK147" s="9">
        <v>0</v>
      </c>
      <c r="CL147" s="9">
        <v>0</v>
      </c>
      <c r="CM147" s="9">
        <v>0</v>
      </c>
      <c r="CN147" s="9">
        <v>0</v>
      </c>
      <c r="CO147" s="31">
        <v>0</v>
      </c>
      <c r="CP147" s="9">
        <v>0</v>
      </c>
      <c r="CQ147" s="9">
        <v>0</v>
      </c>
      <c r="CR147" s="9">
        <v>0</v>
      </c>
      <c r="CS147" s="9">
        <v>0</v>
      </c>
      <c r="CT147" s="9">
        <v>0</v>
      </c>
      <c r="CU147" s="9">
        <v>0</v>
      </c>
      <c r="CV147" s="9">
        <v>0</v>
      </c>
      <c r="CW147" s="9">
        <v>0</v>
      </c>
      <c r="CX147" s="9">
        <v>0</v>
      </c>
      <c r="CY147" s="9">
        <v>0</v>
      </c>
      <c r="CZ147" s="9">
        <v>0</v>
      </c>
      <c r="DA147" s="9">
        <v>0</v>
      </c>
      <c r="DB147" s="31">
        <v>0</v>
      </c>
      <c r="DC147" s="9">
        <v>0</v>
      </c>
      <c r="DD147" s="9">
        <v>0</v>
      </c>
      <c r="DE147" s="9">
        <v>0</v>
      </c>
      <c r="DF147" s="9">
        <v>0</v>
      </c>
      <c r="DG147" s="9">
        <v>0</v>
      </c>
      <c r="DH147" s="9">
        <v>0</v>
      </c>
      <c r="DI147" s="9">
        <v>0</v>
      </c>
      <c r="DJ147" s="9">
        <v>0</v>
      </c>
      <c r="DK147" s="9">
        <v>0</v>
      </c>
      <c r="DL147" s="9">
        <v>0</v>
      </c>
      <c r="DM147" s="9">
        <v>0</v>
      </c>
      <c r="DN147" s="9">
        <v>0</v>
      </c>
      <c r="DO147" s="31">
        <v>0</v>
      </c>
      <c r="DP147" s="9">
        <v>0</v>
      </c>
      <c r="DQ147" s="9">
        <v>0</v>
      </c>
      <c r="DR147" s="9">
        <v>0</v>
      </c>
      <c r="DS147" s="9">
        <v>0</v>
      </c>
      <c r="DT147" s="9">
        <v>0</v>
      </c>
      <c r="DU147" s="9">
        <v>0</v>
      </c>
      <c r="DV147" s="9">
        <v>0</v>
      </c>
      <c r="DW147" s="9">
        <v>0</v>
      </c>
      <c r="DX147" s="9">
        <v>0</v>
      </c>
      <c r="DY147" s="9">
        <v>0</v>
      </c>
      <c r="DZ147" s="9">
        <v>0</v>
      </c>
      <c r="EA147" s="9">
        <v>0</v>
      </c>
      <c r="EB147" s="31">
        <v>0</v>
      </c>
      <c r="EC147" s="9">
        <v>0</v>
      </c>
      <c r="ED147" s="9">
        <v>0</v>
      </c>
      <c r="EE147" s="9">
        <v>0</v>
      </c>
      <c r="EF147" s="9">
        <v>0</v>
      </c>
      <c r="EG147" s="9">
        <v>0</v>
      </c>
      <c r="EH147" s="9">
        <v>0</v>
      </c>
      <c r="EI147" s="9">
        <v>0</v>
      </c>
      <c r="EJ147" s="9">
        <v>0</v>
      </c>
      <c r="EK147" s="9">
        <v>0</v>
      </c>
      <c r="EL147" s="9">
        <v>0</v>
      </c>
      <c r="EM147" s="9">
        <v>0</v>
      </c>
      <c r="EN147" s="9">
        <v>0</v>
      </c>
      <c r="EO147" s="31">
        <v>0</v>
      </c>
      <c r="EP147" s="9">
        <v>0</v>
      </c>
      <c r="EQ147" s="9">
        <v>0</v>
      </c>
      <c r="ER147" s="9">
        <v>0</v>
      </c>
      <c r="ES147" s="9">
        <v>0</v>
      </c>
      <c r="ET147" s="9">
        <v>0</v>
      </c>
      <c r="EU147" s="9">
        <v>0</v>
      </c>
      <c r="EV147" s="9">
        <v>0</v>
      </c>
      <c r="EW147" s="9">
        <v>0</v>
      </c>
      <c r="EX147" s="9">
        <v>0</v>
      </c>
      <c r="EY147" s="9">
        <v>0</v>
      </c>
      <c r="EZ147" s="9">
        <v>0</v>
      </c>
      <c r="FA147" s="9">
        <v>0</v>
      </c>
      <c r="FB147" s="31">
        <v>0</v>
      </c>
      <c r="FC147" s="9">
        <v>0</v>
      </c>
      <c r="FD147" s="9">
        <v>0</v>
      </c>
      <c r="FE147" s="9">
        <v>0</v>
      </c>
      <c r="FF147" s="9">
        <v>0</v>
      </c>
      <c r="FG147" s="9">
        <v>0</v>
      </c>
      <c r="FH147" s="9">
        <v>0</v>
      </c>
      <c r="FI147" s="9">
        <v>0</v>
      </c>
      <c r="FJ147" s="9">
        <v>0</v>
      </c>
      <c r="FK147" s="9">
        <v>0</v>
      </c>
      <c r="FL147" s="9">
        <v>0</v>
      </c>
      <c r="FM147" s="9">
        <v>0</v>
      </c>
      <c r="FN147" s="9">
        <v>0</v>
      </c>
      <c r="FO147" s="31">
        <v>0</v>
      </c>
    </row>
    <row r="148" spans="2:171" x14ac:dyDescent="0.3">
      <c r="B148" s="7" t="s">
        <v>48</v>
      </c>
      <c r="C148" s="9">
        <v>8297885</v>
      </c>
      <c r="D148" s="9">
        <v>8297885</v>
      </c>
      <c r="E148" s="9">
        <v>8297885</v>
      </c>
      <c r="F148" s="9">
        <v>8297885</v>
      </c>
      <c r="G148" s="9">
        <v>8297885</v>
      </c>
      <c r="H148" s="9">
        <v>8297885</v>
      </c>
      <c r="I148" s="9">
        <v>8297885</v>
      </c>
      <c r="J148" s="9">
        <v>8297885</v>
      </c>
      <c r="K148" s="9">
        <v>8297885</v>
      </c>
      <c r="L148" s="9">
        <v>8297885</v>
      </c>
      <c r="M148" s="9">
        <v>8297885</v>
      </c>
      <c r="N148" s="9">
        <v>8297885</v>
      </c>
      <c r="O148" s="31">
        <v>8297885</v>
      </c>
      <c r="P148" s="9">
        <v>28356652</v>
      </c>
      <c r="Q148" s="9">
        <v>28356652</v>
      </c>
      <c r="R148" s="9">
        <v>28356652</v>
      </c>
      <c r="S148" s="9">
        <v>28356652</v>
      </c>
      <c r="T148" s="9">
        <v>28356652</v>
      </c>
      <c r="U148" s="9">
        <v>28356652</v>
      </c>
      <c r="V148" s="9">
        <v>28356652</v>
      </c>
      <c r="W148" s="9">
        <v>28356652</v>
      </c>
      <c r="X148" s="9">
        <v>28356652</v>
      </c>
      <c r="Y148" s="9">
        <v>28356652</v>
      </c>
      <c r="Z148" s="9">
        <v>28356652</v>
      </c>
      <c r="AA148" s="9">
        <v>28356652</v>
      </c>
      <c r="AB148" s="31">
        <v>28356652</v>
      </c>
      <c r="AC148" s="9">
        <v>35733043</v>
      </c>
      <c r="AD148" s="9">
        <v>35733043</v>
      </c>
      <c r="AE148" s="9">
        <v>35733043</v>
      </c>
      <c r="AF148" s="9">
        <v>35733043</v>
      </c>
      <c r="AG148" s="9">
        <v>35733043</v>
      </c>
      <c r="AH148" s="9">
        <v>35733043</v>
      </c>
      <c r="AI148" s="9">
        <v>35733043</v>
      </c>
      <c r="AJ148" s="9">
        <v>35733043</v>
      </c>
      <c r="AK148" s="9">
        <v>35733043</v>
      </c>
      <c r="AL148" s="9">
        <v>35733043</v>
      </c>
      <c r="AM148" s="9">
        <v>35733043</v>
      </c>
      <c r="AN148" s="9">
        <v>35733043</v>
      </c>
      <c r="AO148" s="31">
        <v>35733043</v>
      </c>
      <c r="AP148" s="9">
        <v>12944625</v>
      </c>
      <c r="AQ148" s="9">
        <v>12944625</v>
      </c>
      <c r="AR148" s="9">
        <v>12944625</v>
      </c>
      <c r="AS148" s="9">
        <v>12944625</v>
      </c>
      <c r="AT148" s="9">
        <v>12944625</v>
      </c>
      <c r="AU148" s="9">
        <v>12944625</v>
      </c>
      <c r="AV148" s="9">
        <v>12944625</v>
      </c>
      <c r="AW148" s="9">
        <v>12944625</v>
      </c>
      <c r="AX148" s="9">
        <v>12944625</v>
      </c>
      <c r="AY148" s="9">
        <v>12944625</v>
      </c>
      <c r="AZ148" s="9">
        <v>12944625</v>
      </c>
      <c r="BA148" s="9">
        <v>12944625</v>
      </c>
      <c r="BB148" s="31">
        <v>12944625</v>
      </c>
      <c r="BC148" s="9">
        <v>12563770</v>
      </c>
      <c r="BD148" s="9">
        <v>12563770</v>
      </c>
      <c r="BE148" s="9">
        <v>12563770</v>
      </c>
      <c r="BF148" s="9">
        <v>12563770</v>
      </c>
      <c r="BG148" s="9">
        <v>12563770</v>
      </c>
      <c r="BH148" s="9">
        <v>12563770</v>
      </c>
      <c r="BI148" s="9">
        <v>12563770</v>
      </c>
      <c r="BJ148" s="9">
        <v>12563770</v>
      </c>
      <c r="BK148" s="9">
        <v>12563770</v>
      </c>
      <c r="BL148" s="9">
        <v>12563770</v>
      </c>
      <c r="BM148" s="9">
        <v>12563770</v>
      </c>
      <c r="BN148" s="9">
        <v>12563770</v>
      </c>
      <c r="BO148" s="31">
        <v>12563770</v>
      </c>
      <c r="BP148" s="9">
        <v>20737295</v>
      </c>
      <c r="BQ148" s="9">
        <v>20737295</v>
      </c>
      <c r="BR148" s="9">
        <v>20737295</v>
      </c>
      <c r="BS148" s="9">
        <v>20737295</v>
      </c>
      <c r="BT148" s="9">
        <v>20737295</v>
      </c>
      <c r="BU148" s="9">
        <v>20737295</v>
      </c>
      <c r="BV148" s="9">
        <v>20737295</v>
      </c>
      <c r="BW148" s="9">
        <v>20737295</v>
      </c>
      <c r="BX148" s="9">
        <v>20737295</v>
      </c>
      <c r="BY148" s="9">
        <v>20737295</v>
      </c>
      <c r="BZ148" s="9">
        <v>20737295</v>
      </c>
      <c r="CA148" s="9">
        <v>20737295</v>
      </c>
      <c r="CB148" s="31">
        <v>20737295</v>
      </c>
      <c r="CC148" s="9">
        <v>21329416</v>
      </c>
      <c r="CD148" s="9">
        <v>21329416</v>
      </c>
      <c r="CE148" s="9">
        <v>21329416</v>
      </c>
      <c r="CF148" s="9">
        <v>21329416</v>
      </c>
      <c r="CG148" s="9">
        <v>21329416</v>
      </c>
      <c r="CH148" s="9">
        <v>21329416</v>
      </c>
      <c r="CI148" s="9">
        <v>21329416</v>
      </c>
      <c r="CJ148" s="9">
        <v>21329416</v>
      </c>
      <c r="CK148" s="9">
        <v>21329416</v>
      </c>
      <c r="CL148" s="9">
        <v>21329416</v>
      </c>
      <c r="CM148" s="9">
        <v>21329416</v>
      </c>
      <c r="CN148" s="9">
        <v>21329416</v>
      </c>
      <c r="CO148" s="31">
        <v>21329416</v>
      </c>
      <c r="CP148" s="9">
        <v>24772134</v>
      </c>
      <c r="CQ148" s="9">
        <v>24772134</v>
      </c>
      <c r="CR148" s="9">
        <v>24772134</v>
      </c>
      <c r="CS148" s="9">
        <v>24772134</v>
      </c>
      <c r="CT148" s="9">
        <v>24772134</v>
      </c>
      <c r="CU148" s="9">
        <v>24772134</v>
      </c>
      <c r="CV148" s="9">
        <v>24772134</v>
      </c>
      <c r="CW148" s="9">
        <v>24772134</v>
      </c>
      <c r="CX148" s="9">
        <v>24772134</v>
      </c>
      <c r="CY148" s="9">
        <v>24772134</v>
      </c>
      <c r="CZ148" s="9">
        <v>24772134</v>
      </c>
      <c r="DA148" s="9">
        <v>24772134</v>
      </c>
      <c r="DB148" s="31">
        <v>24772134</v>
      </c>
      <c r="DC148" s="9">
        <v>39356191</v>
      </c>
      <c r="DD148" s="9">
        <v>39356191</v>
      </c>
      <c r="DE148" s="9">
        <v>39356191</v>
      </c>
      <c r="DF148" s="9">
        <v>39356191</v>
      </c>
      <c r="DG148" s="9">
        <v>39356191</v>
      </c>
      <c r="DH148" s="9">
        <v>39356191</v>
      </c>
      <c r="DI148" s="9">
        <v>39356191</v>
      </c>
      <c r="DJ148" s="9">
        <v>39356191</v>
      </c>
      <c r="DK148" s="9">
        <v>39356191</v>
      </c>
      <c r="DL148" s="9">
        <v>39356191</v>
      </c>
      <c r="DM148" s="9">
        <v>39356191</v>
      </c>
      <c r="DN148" s="9">
        <v>39356191</v>
      </c>
      <c r="DO148" s="31">
        <v>39356191</v>
      </c>
      <c r="DP148" s="9">
        <v>78240619</v>
      </c>
      <c r="DQ148" s="9">
        <v>78240619</v>
      </c>
      <c r="DR148" s="9">
        <v>78240619</v>
      </c>
      <c r="DS148" s="9">
        <v>78240619</v>
      </c>
      <c r="DT148" s="9">
        <v>78240619</v>
      </c>
      <c r="DU148" s="9">
        <v>78240619</v>
      </c>
      <c r="DV148" s="9">
        <v>78240619</v>
      </c>
      <c r="DW148" s="9">
        <v>78240619</v>
      </c>
      <c r="DX148" s="9">
        <v>78240619</v>
      </c>
      <c r="DY148" s="9">
        <v>78240619</v>
      </c>
      <c r="DZ148" s="9">
        <v>78240619</v>
      </c>
      <c r="EA148" s="9">
        <v>78240619</v>
      </c>
      <c r="EB148" s="31">
        <v>78240619</v>
      </c>
      <c r="EC148" s="9">
        <v>70228343</v>
      </c>
      <c r="ED148" s="9">
        <v>70228343</v>
      </c>
      <c r="EE148" s="9">
        <v>70228343</v>
      </c>
      <c r="EF148" s="9">
        <v>70228343</v>
      </c>
      <c r="EG148" s="9">
        <v>70228343</v>
      </c>
      <c r="EH148" s="9">
        <v>70228343</v>
      </c>
      <c r="EI148" s="9">
        <v>70228343</v>
      </c>
      <c r="EJ148" s="9">
        <v>70228343</v>
      </c>
      <c r="EK148" s="9">
        <v>70228343</v>
      </c>
      <c r="EL148" s="9">
        <v>70228343</v>
      </c>
      <c r="EM148" s="9">
        <v>70228343</v>
      </c>
      <c r="EN148" s="9">
        <v>70228343</v>
      </c>
      <c r="EO148" s="31">
        <v>70228343</v>
      </c>
      <c r="EP148" s="9">
        <v>102230033</v>
      </c>
      <c r="EQ148" s="9">
        <v>102230033</v>
      </c>
      <c r="ER148" s="9">
        <v>102230033</v>
      </c>
      <c r="ES148" s="9">
        <v>102230033</v>
      </c>
      <c r="ET148" s="9">
        <v>102230033</v>
      </c>
      <c r="EU148" s="9">
        <v>102230033</v>
      </c>
      <c r="EV148" s="9">
        <v>102230033</v>
      </c>
      <c r="EW148" s="9">
        <v>102230033</v>
      </c>
      <c r="EX148" s="9">
        <v>102230033</v>
      </c>
      <c r="EY148" s="9">
        <v>102230033</v>
      </c>
      <c r="EZ148" s="9">
        <v>102230033</v>
      </c>
      <c r="FA148" s="9">
        <v>102230033</v>
      </c>
      <c r="FB148" s="31">
        <v>102230033</v>
      </c>
      <c r="FC148" s="9">
        <v>109150858</v>
      </c>
      <c r="FD148" s="9">
        <v>109150858</v>
      </c>
      <c r="FE148" s="9">
        <v>109150858</v>
      </c>
      <c r="FF148" s="9">
        <v>109150858</v>
      </c>
      <c r="FG148" s="9">
        <v>109150858</v>
      </c>
      <c r="FH148" s="9">
        <v>109150858</v>
      </c>
      <c r="FI148" s="9">
        <v>109150858</v>
      </c>
      <c r="FJ148" s="9">
        <v>109150858</v>
      </c>
      <c r="FK148" s="9">
        <v>109150858</v>
      </c>
      <c r="FL148" s="9">
        <v>109150858</v>
      </c>
      <c r="FM148" s="9">
        <v>109150858</v>
      </c>
      <c r="FN148" s="9">
        <v>109150858</v>
      </c>
      <c r="FO148" s="31">
        <v>109150858</v>
      </c>
    </row>
    <row r="149" spans="2:171" x14ac:dyDescent="0.3">
      <c r="B149" s="7" t="s">
        <v>49</v>
      </c>
      <c r="C149" s="9">
        <v>17352369</v>
      </c>
      <c r="D149" s="9">
        <v>17352369</v>
      </c>
      <c r="E149" s="9">
        <v>17352369</v>
      </c>
      <c r="F149" s="9">
        <v>17352369</v>
      </c>
      <c r="G149" s="9">
        <v>17352369</v>
      </c>
      <c r="H149" s="9">
        <v>17352369</v>
      </c>
      <c r="I149" s="9">
        <v>17352369</v>
      </c>
      <c r="J149" s="9">
        <v>17352369</v>
      </c>
      <c r="K149" s="9">
        <v>17352369</v>
      </c>
      <c r="L149" s="9">
        <v>17352369</v>
      </c>
      <c r="M149" s="9">
        <v>17352369</v>
      </c>
      <c r="N149" s="9">
        <v>17352369</v>
      </c>
      <c r="O149" s="31">
        <v>17352369</v>
      </c>
      <c r="P149" s="9">
        <v>27145515</v>
      </c>
      <c r="Q149" s="9">
        <v>27145515</v>
      </c>
      <c r="R149" s="9">
        <v>27145515</v>
      </c>
      <c r="S149" s="9">
        <v>27145515</v>
      </c>
      <c r="T149" s="9">
        <v>27145515</v>
      </c>
      <c r="U149" s="9">
        <v>27145515</v>
      </c>
      <c r="V149" s="9">
        <v>27145515</v>
      </c>
      <c r="W149" s="9">
        <v>27145515</v>
      </c>
      <c r="X149" s="9">
        <v>27145515</v>
      </c>
      <c r="Y149" s="9">
        <v>27145515</v>
      </c>
      <c r="Z149" s="9">
        <v>27145515</v>
      </c>
      <c r="AA149" s="9">
        <v>27145515</v>
      </c>
      <c r="AB149" s="31">
        <v>27145515</v>
      </c>
      <c r="AC149" s="9">
        <v>72904850</v>
      </c>
      <c r="AD149" s="9">
        <v>72904850</v>
      </c>
      <c r="AE149" s="9">
        <v>72904850</v>
      </c>
      <c r="AF149" s="9">
        <v>72904850</v>
      </c>
      <c r="AG149" s="9">
        <v>72904850</v>
      </c>
      <c r="AH149" s="9">
        <v>72904850</v>
      </c>
      <c r="AI149" s="9">
        <v>72904850</v>
      </c>
      <c r="AJ149" s="9">
        <v>72904850</v>
      </c>
      <c r="AK149" s="9">
        <v>72904850</v>
      </c>
      <c r="AL149" s="9">
        <v>72904850</v>
      </c>
      <c r="AM149" s="9">
        <v>72904850</v>
      </c>
      <c r="AN149" s="9">
        <v>72904850</v>
      </c>
      <c r="AO149" s="31">
        <v>72904850</v>
      </c>
      <c r="AP149" s="9">
        <v>50960967</v>
      </c>
      <c r="AQ149" s="9">
        <v>50960967</v>
      </c>
      <c r="AR149" s="9">
        <v>50960967</v>
      </c>
      <c r="AS149" s="9">
        <v>50960967</v>
      </c>
      <c r="AT149" s="9">
        <v>50960967</v>
      </c>
      <c r="AU149" s="9">
        <v>50960967</v>
      </c>
      <c r="AV149" s="9">
        <v>50960967</v>
      </c>
      <c r="AW149" s="9">
        <v>50960967</v>
      </c>
      <c r="AX149" s="9">
        <v>50960967</v>
      </c>
      <c r="AY149" s="9">
        <v>50960967</v>
      </c>
      <c r="AZ149" s="9">
        <v>50960967</v>
      </c>
      <c r="BA149" s="9">
        <v>50960967</v>
      </c>
      <c r="BB149" s="31">
        <v>50960967</v>
      </c>
      <c r="BC149" s="9">
        <v>51316746</v>
      </c>
      <c r="BD149" s="9">
        <v>51316746</v>
      </c>
      <c r="BE149" s="9">
        <v>51316746</v>
      </c>
      <c r="BF149" s="9">
        <v>51316746</v>
      </c>
      <c r="BG149" s="9">
        <v>51316746</v>
      </c>
      <c r="BH149" s="9">
        <v>51316746</v>
      </c>
      <c r="BI149" s="9">
        <v>51316746</v>
      </c>
      <c r="BJ149" s="9">
        <v>51316746</v>
      </c>
      <c r="BK149" s="9">
        <v>51316746</v>
      </c>
      <c r="BL149" s="9">
        <v>51316746</v>
      </c>
      <c r="BM149" s="9">
        <v>51316746</v>
      </c>
      <c r="BN149" s="9">
        <v>51316746</v>
      </c>
      <c r="BO149" s="31">
        <v>51316746</v>
      </c>
      <c r="BP149" s="9">
        <v>39657232</v>
      </c>
      <c r="BQ149" s="9">
        <v>39657232</v>
      </c>
      <c r="BR149" s="9">
        <v>39657232</v>
      </c>
      <c r="BS149" s="9">
        <v>39657232</v>
      </c>
      <c r="BT149" s="9">
        <v>39657232</v>
      </c>
      <c r="BU149" s="9">
        <v>39657232</v>
      </c>
      <c r="BV149" s="9">
        <v>39657232</v>
      </c>
      <c r="BW149" s="9">
        <v>39657232</v>
      </c>
      <c r="BX149" s="9">
        <v>39657232</v>
      </c>
      <c r="BY149" s="9">
        <v>39657232</v>
      </c>
      <c r="BZ149" s="9">
        <v>39657232</v>
      </c>
      <c r="CA149" s="9">
        <v>39657232</v>
      </c>
      <c r="CB149" s="31">
        <v>39657232</v>
      </c>
      <c r="CC149" s="9">
        <v>40726333</v>
      </c>
      <c r="CD149" s="9">
        <v>40726333</v>
      </c>
      <c r="CE149" s="9">
        <v>40726333</v>
      </c>
      <c r="CF149" s="9">
        <v>40726333</v>
      </c>
      <c r="CG149" s="9">
        <v>40726333</v>
      </c>
      <c r="CH149" s="9">
        <v>40726333</v>
      </c>
      <c r="CI149" s="9">
        <v>40726333</v>
      </c>
      <c r="CJ149" s="9">
        <v>40726333</v>
      </c>
      <c r="CK149" s="9">
        <v>40726333</v>
      </c>
      <c r="CL149" s="9">
        <v>40726333</v>
      </c>
      <c r="CM149" s="9">
        <v>40726333</v>
      </c>
      <c r="CN149" s="9">
        <v>40726333</v>
      </c>
      <c r="CO149" s="31">
        <v>40726333</v>
      </c>
      <c r="CP149" s="9">
        <v>44639683</v>
      </c>
      <c r="CQ149" s="9">
        <v>44639683</v>
      </c>
      <c r="CR149" s="9">
        <v>44639683</v>
      </c>
      <c r="CS149" s="9">
        <v>44639683</v>
      </c>
      <c r="CT149" s="9">
        <v>44639683</v>
      </c>
      <c r="CU149" s="9">
        <v>44639683</v>
      </c>
      <c r="CV149" s="9">
        <v>44639683</v>
      </c>
      <c r="CW149" s="9">
        <v>44639683</v>
      </c>
      <c r="CX149" s="9">
        <v>44639683</v>
      </c>
      <c r="CY149" s="9">
        <v>44639683</v>
      </c>
      <c r="CZ149" s="9">
        <v>44639683</v>
      </c>
      <c r="DA149" s="9">
        <v>44639683</v>
      </c>
      <c r="DB149" s="31">
        <v>44639683</v>
      </c>
      <c r="DC149" s="9">
        <v>65497216</v>
      </c>
      <c r="DD149" s="9">
        <v>65497216</v>
      </c>
      <c r="DE149" s="9">
        <v>65497216</v>
      </c>
      <c r="DF149" s="9">
        <v>65497216</v>
      </c>
      <c r="DG149" s="9">
        <v>65497216</v>
      </c>
      <c r="DH149" s="9">
        <v>65497216</v>
      </c>
      <c r="DI149" s="9">
        <v>65497216</v>
      </c>
      <c r="DJ149" s="9">
        <v>65497216</v>
      </c>
      <c r="DK149" s="9">
        <v>65497216</v>
      </c>
      <c r="DL149" s="9">
        <v>65497216</v>
      </c>
      <c r="DM149" s="9">
        <v>65497216</v>
      </c>
      <c r="DN149" s="9">
        <v>65497216</v>
      </c>
      <c r="DO149" s="31">
        <v>65497216</v>
      </c>
      <c r="DP149" s="9">
        <v>88307532</v>
      </c>
      <c r="DQ149" s="9">
        <v>88307532</v>
      </c>
      <c r="DR149" s="9">
        <v>88307532</v>
      </c>
      <c r="DS149" s="9">
        <v>88307532</v>
      </c>
      <c r="DT149" s="9">
        <v>88307532</v>
      </c>
      <c r="DU149" s="9">
        <v>88307532</v>
      </c>
      <c r="DV149" s="9">
        <v>88307532</v>
      </c>
      <c r="DW149" s="9">
        <v>88307532</v>
      </c>
      <c r="DX149" s="9">
        <v>88307532</v>
      </c>
      <c r="DY149" s="9">
        <v>88307532</v>
      </c>
      <c r="DZ149" s="9">
        <v>88307532</v>
      </c>
      <c r="EA149" s="9">
        <v>88307532</v>
      </c>
      <c r="EB149" s="31">
        <v>88307532</v>
      </c>
      <c r="EC149" s="9">
        <v>97459423</v>
      </c>
      <c r="ED149" s="9">
        <v>97459423</v>
      </c>
      <c r="EE149" s="9">
        <v>97459423</v>
      </c>
      <c r="EF149" s="9">
        <v>97459423</v>
      </c>
      <c r="EG149" s="9">
        <v>97459423</v>
      </c>
      <c r="EH149" s="9">
        <v>97459423</v>
      </c>
      <c r="EI149" s="9">
        <v>97459423</v>
      </c>
      <c r="EJ149" s="9">
        <v>97459423</v>
      </c>
      <c r="EK149" s="9">
        <v>97459423</v>
      </c>
      <c r="EL149" s="9">
        <v>97459423</v>
      </c>
      <c r="EM149" s="9">
        <v>97459423</v>
      </c>
      <c r="EN149" s="9">
        <v>97459423</v>
      </c>
      <c r="EO149" s="31">
        <v>97459423</v>
      </c>
      <c r="EP149" s="9">
        <v>125360133</v>
      </c>
      <c r="EQ149" s="9">
        <v>125360133</v>
      </c>
      <c r="ER149" s="9">
        <v>125360133</v>
      </c>
      <c r="ES149" s="9">
        <v>125360133</v>
      </c>
      <c r="ET149" s="9">
        <v>125360133</v>
      </c>
      <c r="EU149" s="9">
        <v>125360133</v>
      </c>
      <c r="EV149" s="9">
        <v>125360133</v>
      </c>
      <c r="EW149" s="9">
        <v>125360133</v>
      </c>
      <c r="EX149" s="9">
        <v>125360133</v>
      </c>
      <c r="EY149" s="9">
        <v>125360133</v>
      </c>
      <c r="EZ149" s="9">
        <v>125360133</v>
      </c>
      <c r="FA149" s="9">
        <v>125360133</v>
      </c>
      <c r="FB149" s="31">
        <v>125360133</v>
      </c>
      <c r="FC149" s="9">
        <v>124147527</v>
      </c>
      <c r="FD149" s="9">
        <v>124147527</v>
      </c>
      <c r="FE149" s="9">
        <v>124147527</v>
      </c>
      <c r="FF149" s="9">
        <v>124147527</v>
      </c>
      <c r="FG149" s="9">
        <v>124147527</v>
      </c>
      <c r="FH149" s="9">
        <v>124147527</v>
      </c>
      <c r="FI149" s="9">
        <v>124147527</v>
      </c>
      <c r="FJ149" s="9">
        <v>124147527</v>
      </c>
      <c r="FK149" s="9">
        <v>124147527</v>
      </c>
      <c r="FL149" s="9">
        <v>124147527</v>
      </c>
      <c r="FM149" s="9">
        <v>124147527</v>
      </c>
      <c r="FN149" s="9">
        <v>124147527</v>
      </c>
      <c r="FO149" s="31">
        <v>124147527</v>
      </c>
    </row>
    <row r="150" spans="2:171" x14ac:dyDescent="0.3">
      <c r="B150" s="7" t="s">
        <v>50</v>
      </c>
      <c r="C150" s="9">
        <v>16777800</v>
      </c>
      <c r="D150" s="9">
        <v>16777800</v>
      </c>
      <c r="E150" s="9">
        <v>16777800</v>
      </c>
      <c r="F150" s="9">
        <v>16777800</v>
      </c>
      <c r="G150" s="9">
        <v>16777800</v>
      </c>
      <c r="H150" s="9">
        <v>16777800</v>
      </c>
      <c r="I150" s="9">
        <v>16777800</v>
      </c>
      <c r="J150" s="9">
        <v>16777800</v>
      </c>
      <c r="K150" s="9">
        <v>16777800</v>
      </c>
      <c r="L150" s="9">
        <v>16777800</v>
      </c>
      <c r="M150" s="9">
        <v>16777800</v>
      </c>
      <c r="N150" s="9">
        <v>16777800</v>
      </c>
      <c r="O150" s="31">
        <v>16777800</v>
      </c>
      <c r="P150" s="9">
        <v>20783966</v>
      </c>
      <c r="Q150" s="9">
        <v>20783966</v>
      </c>
      <c r="R150" s="9">
        <v>20783966</v>
      </c>
      <c r="S150" s="9">
        <v>20783966</v>
      </c>
      <c r="T150" s="9">
        <v>20783966</v>
      </c>
      <c r="U150" s="9">
        <v>20783966</v>
      </c>
      <c r="V150" s="9">
        <v>20783966</v>
      </c>
      <c r="W150" s="9">
        <v>20783966</v>
      </c>
      <c r="X150" s="9">
        <v>20783966</v>
      </c>
      <c r="Y150" s="9">
        <v>20783966</v>
      </c>
      <c r="Z150" s="9">
        <v>20783966</v>
      </c>
      <c r="AA150" s="9">
        <v>20783966</v>
      </c>
      <c r="AB150" s="31">
        <v>20783966</v>
      </c>
      <c r="AC150" s="9">
        <v>24062875</v>
      </c>
      <c r="AD150" s="9">
        <v>24062875</v>
      </c>
      <c r="AE150" s="9">
        <v>24062875</v>
      </c>
      <c r="AF150" s="9">
        <v>24062875</v>
      </c>
      <c r="AG150" s="9">
        <v>24062875</v>
      </c>
      <c r="AH150" s="9">
        <v>24062875</v>
      </c>
      <c r="AI150" s="9">
        <v>24062875</v>
      </c>
      <c r="AJ150" s="9">
        <v>24062875</v>
      </c>
      <c r="AK150" s="9">
        <v>24062875</v>
      </c>
      <c r="AL150" s="9">
        <v>24062875</v>
      </c>
      <c r="AM150" s="9">
        <v>24062875</v>
      </c>
      <c r="AN150" s="9">
        <v>24062875</v>
      </c>
      <c r="AO150" s="31">
        <v>24062875</v>
      </c>
      <c r="AP150" s="9">
        <v>19872709</v>
      </c>
      <c r="AQ150" s="9">
        <v>19872709</v>
      </c>
      <c r="AR150" s="9">
        <v>19872709</v>
      </c>
      <c r="AS150" s="9">
        <v>19872709</v>
      </c>
      <c r="AT150" s="9">
        <v>19872709</v>
      </c>
      <c r="AU150" s="9">
        <v>19872709</v>
      </c>
      <c r="AV150" s="9">
        <v>19872709</v>
      </c>
      <c r="AW150" s="9">
        <v>19872709</v>
      </c>
      <c r="AX150" s="9">
        <v>19872709</v>
      </c>
      <c r="AY150" s="9">
        <v>19872709</v>
      </c>
      <c r="AZ150" s="9">
        <v>19872709</v>
      </c>
      <c r="BA150" s="9">
        <v>19872709</v>
      </c>
      <c r="BB150" s="31">
        <v>19872709</v>
      </c>
      <c r="BC150" s="9">
        <v>16850923</v>
      </c>
      <c r="BD150" s="9">
        <v>16850923</v>
      </c>
      <c r="BE150" s="9">
        <v>16850923</v>
      </c>
      <c r="BF150" s="9">
        <v>16850923</v>
      </c>
      <c r="BG150" s="9">
        <v>16850923</v>
      </c>
      <c r="BH150" s="9">
        <v>16850923</v>
      </c>
      <c r="BI150" s="9">
        <v>16850923</v>
      </c>
      <c r="BJ150" s="9">
        <v>16850923</v>
      </c>
      <c r="BK150" s="9">
        <v>16850923</v>
      </c>
      <c r="BL150" s="9">
        <v>16850923</v>
      </c>
      <c r="BM150" s="9">
        <v>16850923</v>
      </c>
      <c r="BN150" s="9">
        <v>16850923</v>
      </c>
      <c r="BO150" s="31">
        <v>16850923</v>
      </c>
      <c r="BP150" s="9">
        <v>29301813</v>
      </c>
      <c r="BQ150" s="9">
        <v>29301813</v>
      </c>
      <c r="BR150" s="9">
        <v>29301813</v>
      </c>
      <c r="BS150" s="9">
        <v>29301813</v>
      </c>
      <c r="BT150" s="9">
        <v>29301813</v>
      </c>
      <c r="BU150" s="9">
        <v>29301813</v>
      </c>
      <c r="BV150" s="9">
        <v>29301813</v>
      </c>
      <c r="BW150" s="9">
        <v>29301813</v>
      </c>
      <c r="BX150" s="9">
        <v>29301813</v>
      </c>
      <c r="BY150" s="9">
        <v>29301813</v>
      </c>
      <c r="BZ150" s="9">
        <v>29301813</v>
      </c>
      <c r="CA150" s="9">
        <v>29301813</v>
      </c>
      <c r="CB150" s="31">
        <v>29301813</v>
      </c>
      <c r="CC150" s="9">
        <v>30116117</v>
      </c>
      <c r="CD150" s="9">
        <v>30116117</v>
      </c>
      <c r="CE150" s="9">
        <v>30116117</v>
      </c>
      <c r="CF150" s="9">
        <v>30116117</v>
      </c>
      <c r="CG150" s="9">
        <v>30116117</v>
      </c>
      <c r="CH150" s="9">
        <v>30116117</v>
      </c>
      <c r="CI150" s="9">
        <v>30116117</v>
      </c>
      <c r="CJ150" s="9">
        <v>30116117</v>
      </c>
      <c r="CK150" s="9">
        <v>30116117</v>
      </c>
      <c r="CL150" s="9">
        <v>30116117</v>
      </c>
      <c r="CM150" s="9">
        <v>30116117</v>
      </c>
      <c r="CN150" s="9">
        <v>30116117</v>
      </c>
      <c r="CO150" s="31">
        <v>30116117</v>
      </c>
      <c r="CP150" s="9">
        <v>31468883</v>
      </c>
      <c r="CQ150" s="9">
        <v>31468883</v>
      </c>
      <c r="CR150" s="9">
        <v>31468883</v>
      </c>
      <c r="CS150" s="9">
        <v>31468883</v>
      </c>
      <c r="CT150" s="9">
        <v>31468883</v>
      </c>
      <c r="CU150" s="9">
        <v>31468883</v>
      </c>
      <c r="CV150" s="9">
        <v>31468883</v>
      </c>
      <c r="CW150" s="9">
        <v>31468883</v>
      </c>
      <c r="CX150" s="9">
        <v>31468883</v>
      </c>
      <c r="CY150" s="9">
        <v>31468883</v>
      </c>
      <c r="CZ150" s="9">
        <v>31468883</v>
      </c>
      <c r="DA150" s="9">
        <v>31468883</v>
      </c>
      <c r="DB150" s="31">
        <v>31468883</v>
      </c>
      <c r="DC150" s="9">
        <v>44146114</v>
      </c>
      <c r="DD150" s="9">
        <v>44146114</v>
      </c>
      <c r="DE150" s="9">
        <v>44146114</v>
      </c>
      <c r="DF150" s="9">
        <v>44146114</v>
      </c>
      <c r="DG150" s="9">
        <v>44146114</v>
      </c>
      <c r="DH150" s="9">
        <v>44146114</v>
      </c>
      <c r="DI150" s="9">
        <v>44146114</v>
      </c>
      <c r="DJ150" s="9">
        <v>44146114</v>
      </c>
      <c r="DK150" s="9">
        <v>44146114</v>
      </c>
      <c r="DL150" s="9">
        <v>44146114</v>
      </c>
      <c r="DM150" s="9">
        <v>44146114</v>
      </c>
      <c r="DN150" s="9">
        <v>44146114</v>
      </c>
      <c r="DO150" s="31">
        <v>44146114</v>
      </c>
      <c r="DP150" s="9">
        <v>66736778</v>
      </c>
      <c r="DQ150" s="9">
        <v>66736778</v>
      </c>
      <c r="DR150" s="9">
        <v>66736778</v>
      </c>
      <c r="DS150" s="9">
        <v>66736778</v>
      </c>
      <c r="DT150" s="9">
        <v>66736778</v>
      </c>
      <c r="DU150" s="9">
        <v>66736778</v>
      </c>
      <c r="DV150" s="9">
        <v>66736778</v>
      </c>
      <c r="DW150" s="9">
        <v>66736778</v>
      </c>
      <c r="DX150" s="9">
        <v>66736778</v>
      </c>
      <c r="DY150" s="9">
        <v>66736778</v>
      </c>
      <c r="DZ150" s="9">
        <v>66736778</v>
      </c>
      <c r="EA150" s="9">
        <v>66736778</v>
      </c>
      <c r="EB150" s="31">
        <v>66736778</v>
      </c>
      <c r="EC150" s="9">
        <v>57746379</v>
      </c>
      <c r="ED150" s="9">
        <v>57746379</v>
      </c>
      <c r="EE150" s="9">
        <v>57746379</v>
      </c>
      <c r="EF150" s="9">
        <v>57746379</v>
      </c>
      <c r="EG150" s="9">
        <v>57746379</v>
      </c>
      <c r="EH150" s="9">
        <v>57746379</v>
      </c>
      <c r="EI150" s="9">
        <v>57746379</v>
      </c>
      <c r="EJ150" s="9">
        <v>57746379</v>
      </c>
      <c r="EK150" s="9">
        <v>57746379</v>
      </c>
      <c r="EL150" s="9">
        <v>57746379</v>
      </c>
      <c r="EM150" s="9">
        <v>57746379</v>
      </c>
      <c r="EN150" s="9">
        <v>57746379</v>
      </c>
      <c r="EO150" s="31">
        <v>57746379</v>
      </c>
      <c r="EP150" s="9">
        <v>72789613</v>
      </c>
      <c r="EQ150" s="9">
        <v>72789613</v>
      </c>
      <c r="ER150" s="9">
        <v>72789613</v>
      </c>
      <c r="ES150" s="9">
        <v>72789613</v>
      </c>
      <c r="ET150" s="9">
        <v>72789613</v>
      </c>
      <c r="EU150" s="9">
        <v>72789613</v>
      </c>
      <c r="EV150" s="9">
        <v>72789613</v>
      </c>
      <c r="EW150" s="9">
        <v>72789613</v>
      </c>
      <c r="EX150" s="9">
        <v>72789613</v>
      </c>
      <c r="EY150" s="9">
        <v>72789613</v>
      </c>
      <c r="EZ150" s="9">
        <v>72789613</v>
      </c>
      <c r="FA150" s="9">
        <v>72789613</v>
      </c>
      <c r="FB150" s="31">
        <v>72789613</v>
      </c>
      <c r="FC150" s="9">
        <v>132477179</v>
      </c>
      <c r="FD150" s="9">
        <v>132477179</v>
      </c>
      <c r="FE150" s="9">
        <v>132477179</v>
      </c>
      <c r="FF150" s="9">
        <v>132477179</v>
      </c>
      <c r="FG150" s="9">
        <v>132477179</v>
      </c>
      <c r="FH150" s="9">
        <v>132477179</v>
      </c>
      <c r="FI150" s="9">
        <v>132477179</v>
      </c>
      <c r="FJ150" s="9">
        <v>132477179</v>
      </c>
      <c r="FK150" s="9">
        <v>132477179</v>
      </c>
      <c r="FL150" s="9">
        <v>132477179</v>
      </c>
      <c r="FM150" s="9">
        <v>132477179</v>
      </c>
      <c r="FN150" s="9">
        <v>132477179</v>
      </c>
      <c r="FO150" s="31">
        <v>132477179</v>
      </c>
    </row>
    <row r="151" spans="2:171" x14ac:dyDescent="0.3">
      <c r="B151" s="7" t="s">
        <v>51</v>
      </c>
      <c r="C151" s="9">
        <v>9037920</v>
      </c>
      <c r="D151" s="9">
        <v>9037920</v>
      </c>
      <c r="E151" s="9">
        <v>9037920</v>
      </c>
      <c r="F151" s="9">
        <v>9037920</v>
      </c>
      <c r="G151" s="9">
        <v>9037920</v>
      </c>
      <c r="H151" s="9">
        <v>9037920</v>
      </c>
      <c r="I151" s="9">
        <v>9037920</v>
      </c>
      <c r="J151" s="9">
        <v>9037920</v>
      </c>
      <c r="K151" s="9">
        <v>9037920</v>
      </c>
      <c r="L151" s="9">
        <v>9037920</v>
      </c>
      <c r="M151" s="9">
        <v>9037920</v>
      </c>
      <c r="N151" s="9">
        <v>9037920</v>
      </c>
      <c r="O151" s="31">
        <v>9037920</v>
      </c>
      <c r="P151" s="9">
        <v>10713591</v>
      </c>
      <c r="Q151" s="9">
        <v>10713591</v>
      </c>
      <c r="R151" s="9">
        <v>10713591</v>
      </c>
      <c r="S151" s="9">
        <v>10713591</v>
      </c>
      <c r="T151" s="9">
        <v>10713591</v>
      </c>
      <c r="U151" s="9">
        <v>10713591</v>
      </c>
      <c r="V151" s="9">
        <v>10713591</v>
      </c>
      <c r="W151" s="9">
        <v>10713591</v>
      </c>
      <c r="X151" s="9">
        <v>10713591</v>
      </c>
      <c r="Y151" s="9">
        <v>10713591</v>
      </c>
      <c r="Z151" s="9">
        <v>10713591</v>
      </c>
      <c r="AA151" s="9">
        <v>10713591</v>
      </c>
      <c r="AB151" s="31">
        <v>10713591</v>
      </c>
      <c r="AC151" s="9">
        <v>37951186</v>
      </c>
      <c r="AD151" s="9">
        <v>37951186</v>
      </c>
      <c r="AE151" s="9">
        <v>37951186</v>
      </c>
      <c r="AF151" s="9">
        <v>37951186</v>
      </c>
      <c r="AG151" s="9">
        <v>37951186</v>
      </c>
      <c r="AH151" s="9">
        <v>37951186</v>
      </c>
      <c r="AI151" s="9">
        <v>37951186</v>
      </c>
      <c r="AJ151" s="9">
        <v>37951186</v>
      </c>
      <c r="AK151" s="9">
        <v>37951186</v>
      </c>
      <c r="AL151" s="9">
        <v>37951186</v>
      </c>
      <c r="AM151" s="9">
        <v>37951186</v>
      </c>
      <c r="AN151" s="9">
        <v>37951186</v>
      </c>
      <c r="AO151" s="31">
        <v>37951186</v>
      </c>
      <c r="AP151" s="9">
        <v>28983034</v>
      </c>
      <c r="AQ151" s="9">
        <v>28983034</v>
      </c>
      <c r="AR151" s="9">
        <v>28983034</v>
      </c>
      <c r="AS151" s="9">
        <v>28983034</v>
      </c>
      <c r="AT151" s="9">
        <v>28983034</v>
      </c>
      <c r="AU151" s="9">
        <v>28983034</v>
      </c>
      <c r="AV151" s="9">
        <v>28983034</v>
      </c>
      <c r="AW151" s="9">
        <v>28983034</v>
      </c>
      <c r="AX151" s="9">
        <v>28983034</v>
      </c>
      <c r="AY151" s="9">
        <v>28983034</v>
      </c>
      <c r="AZ151" s="9">
        <v>28983034</v>
      </c>
      <c r="BA151" s="9">
        <v>28983034</v>
      </c>
      <c r="BB151" s="31">
        <v>28983034</v>
      </c>
      <c r="BC151" s="9">
        <v>19451231</v>
      </c>
      <c r="BD151" s="9">
        <v>19451231</v>
      </c>
      <c r="BE151" s="9">
        <v>19451231</v>
      </c>
      <c r="BF151" s="9">
        <v>19451231</v>
      </c>
      <c r="BG151" s="9">
        <v>19451231</v>
      </c>
      <c r="BH151" s="9">
        <v>19451231</v>
      </c>
      <c r="BI151" s="9">
        <v>19451231</v>
      </c>
      <c r="BJ151" s="9">
        <v>19451231</v>
      </c>
      <c r="BK151" s="9">
        <v>19451231</v>
      </c>
      <c r="BL151" s="9">
        <v>19451231</v>
      </c>
      <c r="BM151" s="9">
        <v>19451231</v>
      </c>
      <c r="BN151" s="9">
        <v>19451231</v>
      </c>
      <c r="BO151" s="31">
        <v>19451231</v>
      </c>
      <c r="BP151" s="9">
        <v>17969652</v>
      </c>
      <c r="BQ151" s="9">
        <v>17969652</v>
      </c>
      <c r="BR151" s="9">
        <v>17969652</v>
      </c>
      <c r="BS151" s="9">
        <v>17969652</v>
      </c>
      <c r="BT151" s="9">
        <v>17969652</v>
      </c>
      <c r="BU151" s="9">
        <v>17969652</v>
      </c>
      <c r="BV151" s="9">
        <v>17969652</v>
      </c>
      <c r="BW151" s="9">
        <v>17969652</v>
      </c>
      <c r="BX151" s="9">
        <v>17969652</v>
      </c>
      <c r="BY151" s="9">
        <v>17969652</v>
      </c>
      <c r="BZ151" s="9">
        <v>17969652</v>
      </c>
      <c r="CA151" s="9">
        <v>17969652</v>
      </c>
      <c r="CB151" s="31">
        <v>17969652</v>
      </c>
      <c r="CC151" s="9">
        <v>18496244</v>
      </c>
      <c r="CD151" s="9">
        <v>18496244</v>
      </c>
      <c r="CE151" s="9">
        <v>18496244</v>
      </c>
      <c r="CF151" s="9">
        <v>18496244</v>
      </c>
      <c r="CG151" s="9">
        <v>18496244</v>
      </c>
      <c r="CH151" s="9">
        <v>18496244</v>
      </c>
      <c r="CI151" s="9">
        <v>18496244</v>
      </c>
      <c r="CJ151" s="9">
        <v>18496244</v>
      </c>
      <c r="CK151" s="9">
        <v>18496244</v>
      </c>
      <c r="CL151" s="9">
        <v>18496244</v>
      </c>
      <c r="CM151" s="9">
        <v>18496244</v>
      </c>
      <c r="CN151" s="9">
        <v>18496244</v>
      </c>
      <c r="CO151" s="31">
        <v>18496244</v>
      </c>
      <c r="CP151" s="9">
        <v>20342961</v>
      </c>
      <c r="CQ151" s="9">
        <v>20342961</v>
      </c>
      <c r="CR151" s="9">
        <v>20342961</v>
      </c>
      <c r="CS151" s="9">
        <v>20342961</v>
      </c>
      <c r="CT151" s="9">
        <v>20342961</v>
      </c>
      <c r="CU151" s="9">
        <v>20342961</v>
      </c>
      <c r="CV151" s="9">
        <v>20342961</v>
      </c>
      <c r="CW151" s="9">
        <v>20342961</v>
      </c>
      <c r="CX151" s="9">
        <v>20342961</v>
      </c>
      <c r="CY151" s="9">
        <v>20342961</v>
      </c>
      <c r="CZ151" s="9">
        <v>20342961</v>
      </c>
      <c r="DA151" s="9">
        <v>20342961</v>
      </c>
      <c r="DB151" s="31">
        <v>20342961</v>
      </c>
      <c r="DC151" s="9">
        <v>33226672</v>
      </c>
      <c r="DD151" s="9">
        <v>33226672</v>
      </c>
      <c r="DE151" s="9">
        <v>33226672</v>
      </c>
      <c r="DF151" s="9">
        <v>33226672</v>
      </c>
      <c r="DG151" s="9">
        <v>33226672</v>
      </c>
      <c r="DH151" s="9">
        <v>33226672</v>
      </c>
      <c r="DI151" s="9">
        <v>33226672</v>
      </c>
      <c r="DJ151" s="9">
        <v>33226672</v>
      </c>
      <c r="DK151" s="9">
        <v>33226672</v>
      </c>
      <c r="DL151" s="9">
        <v>33226672</v>
      </c>
      <c r="DM151" s="9">
        <v>33226672</v>
      </c>
      <c r="DN151" s="9">
        <v>33226672</v>
      </c>
      <c r="DO151" s="31">
        <v>33226672</v>
      </c>
      <c r="DP151" s="9">
        <v>47626282</v>
      </c>
      <c r="DQ151" s="9">
        <v>47626282</v>
      </c>
      <c r="DR151" s="9">
        <v>47626282</v>
      </c>
      <c r="DS151" s="9">
        <v>47626282</v>
      </c>
      <c r="DT151" s="9">
        <v>47626282</v>
      </c>
      <c r="DU151" s="9">
        <v>47626282</v>
      </c>
      <c r="DV151" s="9">
        <v>47626282</v>
      </c>
      <c r="DW151" s="9">
        <v>47626282</v>
      </c>
      <c r="DX151" s="9">
        <v>47626282</v>
      </c>
      <c r="DY151" s="9">
        <v>47626282</v>
      </c>
      <c r="DZ151" s="9">
        <v>47626282</v>
      </c>
      <c r="EA151" s="9">
        <v>47626282</v>
      </c>
      <c r="EB151" s="31">
        <v>47626282</v>
      </c>
      <c r="EC151" s="9">
        <v>53240790</v>
      </c>
      <c r="ED151" s="9">
        <v>53240790</v>
      </c>
      <c r="EE151" s="9">
        <v>53240790</v>
      </c>
      <c r="EF151" s="9">
        <v>53240790</v>
      </c>
      <c r="EG151" s="9">
        <v>53240790</v>
      </c>
      <c r="EH151" s="9">
        <v>53240790</v>
      </c>
      <c r="EI151" s="9">
        <v>53240790</v>
      </c>
      <c r="EJ151" s="9">
        <v>53240790</v>
      </c>
      <c r="EK151" s="9">
        <v>53240790</v>
      </c>
      <c r="EL151" s="9">
        <v>53240790</v>
      </c>
      <c r="EM151" s="9">
        <v>53240790</v>
      </c>
      <c r="EN151" s="9">
        <v>53240790</v>
      </c>
      <c r="EO151" s="31">
        <v>53240790</v>
      </c>
      <c r="EP151" s="9">
        <v>92931481</v>
      </c>
      <c r="EQ151" s="9">
        <v>92931481</v>
      </c>
      <c r="ER151" s="9">
        <v>92931481</v>
      </c>
      <c r="ES151" s="9">
        <v>92931481</v>
      </c>
      <c r="ET151" s="9">
        <v>92931481</v>
      </c>
      <c r="EU151" s="9">
        <v>92931481</v>
      </c>
      <c r="EV151" s="9">
        <v>92931481</v>
      </c>
      <c r="EW151" s="9">
        <v>92931481</v>
      </c>
      <c r="EX151" s="9">
        <v>92931481</v>
      </c>
      <c r="EY151" s="9">
        <v>92931481</v>
      </c>
      <c r="EZ151" s="9">
        <v>92931481</v>
      </c>
      <c r="FA151" s="9">
        <v>92931481</v>
      </c>
      <c r="FB151" s="31">
        <v>92931481</v>
      </c>
      <c r="FC151" s="9">
        <v>89750044</v>
      </c>
      <c r="FD151" s="9">
        <v>89750044</v>
      </c>
      <c r="FE151" s="9">
        <v>89750044</v>
      </c>
      <c r="FF151" s="9">
        <v>89750044</v>
      </c>
      <c r="FG151" s="9">
        <v>89750044</v>
      </c>
      <c r="FH151" s="9">
        <v>89750044</v>
      </c>
      <c r="FI151" s="9">
        <v>89750044</v>
      </c>
      <c r="FJ151" s="9">
        <v>89750044</v>
      </c>
      <c r="FK151" s="9">
        <v>89750044</v>
      </c>
      <c r="FL151" s="9">
        <v>89750044</v>
      </c>
      <c r="FM151" s="9">
        <v>89750044</v>
      </c>
      <c r="FN151" s="9">
        <v>89750044</v>
      </c>
      <c r="FO151" s="31">
        <v>89750044</v>
      </c>
    </row>
    <row r="152" spans="2:171" x14ac:dyDescent="0.3">
      <c r="B152" s="7" t="s">
        <v>52</v>
      </c>
      <c r="C152" s="9">
        <v>24875265</v>
      </c>
      <c r="D152" s="9">
        <v>24875265</v>
      </c>
      <c r="E152" s="9">
        <v>24875265</v>
      </c>
      <c r="F152" s="9">
        <v>24875265</v>
      </c>
      <c r="G152" s="9">
        <v>24875265</v>
      </c>
      <c r="H152" s="9">
        <v>24875265</v>
      </c>
      <c r="I152" s="9">
        <v>24875265</v>
      </c>
      <c r="J152" s="9">
        <v>24875265</v>
      </c>
      <c r="K152" s="9">
        <v>24875265</v>
      </c>
      <c r="L152" s="9">
        <v>24875265</v>
      </c>
      <c r="M152" s="9">
        <v>24875265</v>
      </c>
      <c r="N152" s="9">
        <v>24875265</v>
      </c>
      <c r="O152" s="31">
        <v>24875265</v>
      </c>
      <c r="P152" s="9">
        <v>37865699</v>
      </c>
      <c r="Q152" s="9">
        <v>37865699</v>
      </c>
      <c r="R152" s="9">
        <v>37865699</v>
      </c>
      <c r="S152" s="9">
        <v>37865699</v>
      </c>
      <c r="T152" s="9">
        <v>37865699</v>
      </c>
      <c r="U152" s="9">
        <v>37865699</v>
      </c>
      <c r="V152" s="9">
        <v>37865699</v>
      </c>
      <c r="W152" s="9">
        <v>37865699</v>
      </c>
      <c r="X152" s="9">
        <v>37865699</v>
      </c>
      <c r="Y152" s="9">
        <v>37865699</v>
      </c>
      <c r="Z152" s="9">
        <v>37865699</v>
      </c>
      <c r="AA152" s="9">
        <v>37865699</v>
      </c>
      <c r="AB152" s="31">
        <v>37865699</v>
      </c>
      <c r="AC152" s="9">
        <v>59663790</v>
      </c>
      <c r="AD152" s="9">
        <v>59663790</v>
      </c>
      <c r="AE152" s="9">
        <v>59663790</v>
      </c>
      <c r="AF152" s="9">
        <v>59663790</v>
      </c>
      <c r="AG152" s="9">
        <v>59663790</v>
      </c>
      <c r="AH152" s="9">
        <v>59663790</v>
      </c>
      <c r="AI152" s="9">
        <v>59663790</v>
      </c>
      <c r="AJ152" s="9">
        <v>59663790</v>
      </c>
      <c r="AK152" s="9">
        <v>59663790</v>
      </c>
      <c r="AL152" s="9">
        <v>59663790</v>
      </c>
      <c r="AM152" s="9">
        <v>59663790</v>
      </c>
      <c r="AN152" s="9">
        <v>59663790</v>
      </c>
      <c r="AO152" s="31">
        <v>59663790</v>
      </c>
      <c r="AP152" s="9">
        <v>69195011</v>
      </c>
      <c r="AQ152" s="9">
        <v>69195011</v>
      </c>
      <c r="AR152" s="9">
        <v>69195011</v>
      </c>
      <c r="AS152" s="9">
        <v>69195011</v>
      </c>
      <c r="AT152" s="9">
        <v>69195011</v>
      </c>
      <c r="AU152" s="9">
        <v>69195011</v>
      </c>
      <c r="AV152" s="9">
        <v>69195011</v>
      </c>
      <c r="AW152" s="9">
        <v>69195011</v>
      </c>
      <c r="AX152" s="9">
        <v>69195011</v>
      </c>
      <c r="AY152" s="9">
        <v>69195011</v>
      </c>
      <c r="AZ152" s="9">
        <v>69195011</v>
      </c>
      <c r="BA152" s="9">
        <v>69195011</v>
      </c>
      <c r="BB152" s="31">
        <v>69195011</v>
      </c>
      <c r="BC152" s="9">
        <v>76892719</v>
      </c>
      <c r="BD152" s="9">
        <v>76892719</v>
      </c>
      <c r="BE152" s="9">
        <v>76892719</v>
      </c>
      <c r="BF152" s="9">
        <v>76892719</v>
      </c>
      <c r="BG152" s="9">
        <v>76892719</v>
      </c>
      <c r="BH152" s="9">
        <v>76892719</v>
      </c>
      <c r="BI152" s="9">
        <v>76892719</v>
      </c>
      <c r="BJ152" s="9">
        <v>76892719</v>
      </c>
      <c r="BK152" s="9">
        <v>76892719</v>
      </c>
      <c r="BL152" s="9">
        <v>76892719</v>
      </c>
      <c r="BM152" s="9">
        <v>76892719</v>
      </c>
      <c r="BN152" s="9">
        <v>76892719</v>
      </c>
      <c r="BO152" s="31">
        <v>76892719</v>
      </c>
      <c r="BP152" s="9">
        <v>75782905</v>
      </c>
      <c r="BQ152" s="9">
        <v>75782905</v>
      </c>
      <c r="BR152" s="9">
        <v>75782905</v>
      </c>
      <c r="BS152" s="9">
        <v>75782905</v>
      </c>
      <c r="BT152" s="9">
        <v>75782905</v>
      </c>
      <c r="BU152" s="9">
        <v>75782905</v>
      </c>
      <c r="BV152" s="9">
        <v>75782905</v>
      </c>
      <c r="BW152" s="9">
        <v>75782905</v>
      </c>
      <c r="BX152" s="9">
        <v>75782905</v>
      </c>
      <c r="BY152" s="9">
        <v>75782905</v>
      </c>
      <c r="BZ152" s="9">
        <v>75782905</v>
      </c>
      <c r="CA152" s="9">
        <v>75782905</v>
      </c>
      <c r="CB152" s="31">
        <v>75782905</v>
      </c>
      <c r="CC152" s="9">
        <v>78065990</v>
      </c>
      <c r="CD152" s="9">
        <v>78065990</v>
      </c>
      <c r="CE152" s="9">
        <v>78065990</v>
      </c>
      <c r="CF152" s="9">
        <v>78065990</v>
      </c>
      <c r="CG152" s="9">
        <v>78065990</v>
      </c>
      <c r="CH152" s="9">
        <v>78065990</v>
      </c>
      <c r="CI152" s="9">
        <v>78065990</v>
      </c>
      <c r="CJ152" s="9">
        <v>78065990</v>
      </c>
      <c r="CK152" s="9">
        <v>78065990</v>
      </c>
      <c r="CL152" s="9">
        <v>78065990</v>
      </c>
      <c r="CM152" s="9">
        <v>78065990</v>
      </c>
      <c r="CN152" s="9">
        <v>78065990</v>
      </c>
      <c r="CO152" s="31">
        <v>78065990</v>
      </c>
      <c r="CP152" s="9">
        <v>82736497</v>
      </c>
      <c r="CQ152" s="9">
        <v>82736497</v>
      </c>
      <c r="CR152" s="9">
        <v>82736497</v>
      </c>
      <c r="CS152" s="9">
        <v>82736497</v>
      </c>
      <c r="CT152" s="9">
        <v>82736497</v>
      </c>
      <c r="CU152" s="9">
        <v>82736497</v>
      </c>
      <c r="CV152" s="9">
        <v>82736497</v>
      </c>
      <c r="CW152" s="9">
        <v>82736497</v>
      </c>
      <c r="CX152" s="9">
        <v>82736497</v>
      </c>
      <c r="CY152" s="9">
        <v>82736497</v>
      </c>
      <c r="CZ152" s="9">
        <v>82736497</v>
      </c>
      <c r="DA152" s="9">
        <v>82736497</v>
      </c>
      <c r="DB152" s="31">
        <v>82736497</v>
      </c>
      <c r="DC152" s="9">
        <v>68909036</v>
      </c>
      <c r="DD152" s="9">
        <v>68909036</v>
      </c>
      <c r="DE152" s="9">
        <v>68909036</v>
      </c>
      <c r="DF152" s="9">
        <v>68909036</v>
      </c>
      <c r="DG152" s="9">
        <v>68909036</v>
      </c>
      <c r="DH152" s="9">
        <v>68909036</v>
      </c>
      <c r="DI152" s="9">
        <v>68909036</v>
      </c>
      <c r="DJ152" s="9">
        <v>68909036</v>
      </c>
      <c r="DK152" s="9">
        <v>68909036</v>
      </c>
      <c r="DL152" s="9">
        <v>68909036</v>
      </c>
      <c r="DM152" s="9">
        <v>68909036</v>
      </c>
      <c r="DN152" s="9">
        <v>68909036</v>
      </c>
      <c r="DO152" s="31">
        <v>68909036</v>
      </c>
      <c r="DP152" s="9">
        <v>107813988</v>
      </c>
      <c r="DQ152" s="9">
        <v>107813988</v>
      </c>
      <c r="DR152" s="9">
        <v>107813988</v>
      </c>
      <c r="DS152" s="9">
        <v>107813988</v>
      </c>
      <c r="DT152" s="9">
        <v>107813988</v>
      </c>
      <c r="DU152" s="9">
        <v>107813988</v>
      </c>
      <c r="DV152" s="9">
        <v>107813988</v>
      </c>
      <c r="DW152" s="9">
        <v>107813988</v>
      </c>
      <c r="DX152" s="9">
        <v>107813988</v>
      </c>
      <c r="DY152" s="9">
        <v>107813988</v>
      </c>
      <c r="DZ152" s="9">
        <v>107813988</v>
      </c>
      <c r="EA152" s="9">
        <v>107813988</v>
      </c>
      <c r="EB152" s="31">
        <v>107813988</v>
      </c>
      <c r="EC152" s="9">
        <v>123704390</v>
      </c>
      <c r="ED152" s="9">
        <v>123704390</v>
      </c>
      <c r="EE152" s="9">
        <v>123704390</v>
      </c>
      <c r="EF152" s="9">
        <v>123704390</v>
      </c>
      <c r="EG152" s="9">
        <v>123704390</v>
      </c>
      <c r="EH152" s="9">
        <v>123704390</v>
      </c>
      <c r="EI152" s="9">
        <v>123704390</v>
      </c>
      <c r="EJ152" s="9">
        <v>123704390</v>
      </c>
      <c r="EK152" s="9">
        <v>123704390</v>
      </c>
      <c r="EL152" s="9">
        <v>123704390</v>
      </c>
      <c r="EM152" s="9">
        <v>123704390</v>
      </c>
      <c r="EN152" s="9">
        <v>123704390</v>
      </c>
      <c r="EO152" s="31">
        <v>123704390</v>
      </c>
      <c r="EP152" s="9">
        <v>145360457</v>
      </c>
      <c r="EQ152" s="9">
        <v>145360457</v>
      </c>
      <c r="ER152" s="9">
        <v>145360457</v>
      </c>
      <c r="ES152" s="9">
        <v>145360457</v>
      </c>
      <c r="ET152" s="9">
        <v>145360457</v>
      </c>
      <c r="EU152" s="9">
        <v>145360457</v>
      </c>
      <c r="EV152" s="9">
        <v>145360457</v>
      </c>
      <c r="EW152" s="9">
        <v>145360457</v>
      </c>
      <c r="EX152" s="9">
        <v>145360457</v>
      </c>
      <c r="EY152" s="9">
        <v>145360457</v>
      </c>
      <c r="EZ152" s="9">
        <v>145360457</v>
      </c>
      <c r="FA152" s="9">
        <v>145360457</v>
      </c>
      <c r="FB152" s="31">
        <v>145360457</v>
      </c>
      <c r="FC152" s="9">
        <v>135508027</v>
      </c>
      <c r="FD152" s="9">
        <v>135508027</v>
      </c>
      <c r="FE152" s="9">
        <v>135508027</v>
      </c>
      <c r="FF152" s="9">
        <v>135508027</v>
      </c>
      <c r="FG152" s="9">
        <v>135508027</v>
      </c>
      <c r="FH152" s="9">
        <v>135508027</v>
      </c>
      <c r="FI152" s="9">
        <v>135508027</v>
      </c>
      <c r="FJ152" s="9">
        <v>135508027</v>
      </c>
      <c r="FK152" s="9">
        <v>135508027</v>
      </c>
      <c r="FL152" s="9">
        <v>135508027</v>
      </c>
      <c r="FM152" s="9">
        <v>135508027</v>
      </c>
      <c r="FN152" s="9">
        <v>135508027</v>
      </c>
      <c r="FO152" s="31">
        <v>135508027</v>
      </c>
    </row>
    <row r="153" spans="2:171" x14ac:dyDescent="0.3">
      <c r="B153" s="7" t="s">
        <v>53</v>
      </c>
      <c r="C153" s="9">
        <v>83941248</v>
      </c>
      <c r="D153" s="9">
        <v>83941248</v>
      </c>
      <c r="E153" s="9">
        <v>83941248</v>
      </c>
      <c r="F153" s="9">
        <v>83941248</v>
      </c>
      <c r="G153" s="9">
        <v>83941248</v>
      </c>
      <c r="H153" s="9">
        <v>83941248</v>
      </c>
      <c r="I153" s="9">
        <v>83941248</v>
      </c>
      <c r="J153" s="9">
        <v>83941248</v>
      </c>
      <c r="K153" s="9">
        <v>83941248</v>
      </c>
      <c r="L153" s="9">
        <v>83941248</v>
      </c>
      <c r="M153" s="9">
        <v>83941248</v>
      </c>
      <c r="N153" s="9">
        <v>83941248</v>
      </c>
      <c r="O153" s="31">
        <v>83941248</v>
      </c>
      <c r="P153" s="9">
        <v>128371216</v>
      </c>
      <c r="Q153" s="9">
        <v>128371216</v>
      </c>
      <c r="R153" s="9">
        <v>128371216</v>
      </c>
      <c r="S153" s="9">
        <v>128371216</v>
      </c>
      <c r="T153" s="9">
        <v>128371216</v>
      </c>
      <c r="U153" s="9">
        <v>128371216</v>
      </c>
      <c r="V153" s="9">
        <v>128371216</v>
      </c>
      <c r="W153" s="9">
        <v>128371216</v>
      </c>
      <c r="X153" s="9">
        <v>128371216</v>
      </c>
      <c r="Y153" s="9">
        <v>128371216</v>
      </c>
      <c r="Z153" s="9">
        <v>128371216</v>
      </c>
      <c r="AA153" s="9">
        <v>128371216</v>
      </c>
      <c r="AB153" s="31">
        <v>128371216</v>
      </c>
      <c r="AC153" s="9">
        <v>110507630</v>
      </c>
      <c r="AD153" s="9">
        <v>110507630</v>
      </c>
      <c r="AE153" s="9">
        <v>110507630</v>
      </c>
      <c r="AF153" s="9">
        <v>110507630</v>
      </c>
      <c r="AG153" s="9">
        <v>110507630</v>
      </c>
      <c r="AH153" s="9">
        <v>110507630</v>
      </c>
      <c r="AI153" s="9">
        <v>110507630</v>
      </c>
      <c r="AJ153" s="9">
        <v>110507630</v>
      </c>
      <c r="AK153" s="9">
        <v>110507630</v>
      </c>
      <c r="AL153" s="9">
        <v>110507630</v>
      </c>
      <c r="AM153" s="9">
        <v>110507630</v>
      </c>
      <c r="AN153" s="9">
        <v>110507630</v>
      </c>
      <c r="AO153" s="31">
        <v>110507630</v>
      </c>
      <c r="AP153" s="9">
        <v>94638016</v>
      </c>
      <c r="AQ153" s="9">
        <v>94638016</v>
      </c>
      <c r="AR153" s="9">
        <v>94638016</v>
      </c>
      <c r="AS153" s="9">
        <v>94638016</v>
      </c>
      <c r="AT153" s="9">
        <v>94638016</v>
      </c>
      <c r="AU153" s="9">
        <v>94638016</v>
      </c>
      <c r="AV153" s="9">
        <v>94638016</v>
      </c>
      <c r="AW153" s="9">
        <v>94638016</v>
      </c>
      <c r="AX153" s="9">
        <v>94638016</v>
      </c>
      <c r="AY153" s="9">
        <v>94638016</v>
      </c>
      <c r="AZ153" s="9">
        <v>94638016</v>
      </c>
      <c r="BA153" s="9">
        <v>94638016</v>
      </c>
      <c r="BB153" s="31">
        <v>94638016</v>
      </c>
      <c r="BC153" s="9">
        <v>123230266</v>
      </c>
      <c r="BD153" s="9">
        <v>123230266</v>
      </c>
      <c r="BE153" s="9">
        <v>123230266</v>
      </c>
      <c r="BF153" s="9">
        <v>123230266</v>
      </c>
      <c r="BG153" s="9">
        <v>123230266</v>
      </c>
      <c r="BH153" s="9">
        <v>123230266</v>
      </c>
      <c r="BI153" s="9">
        <v>123230266</v>
      </c>
      <c r="BJ153" s="9">
        <v>123230266</v>
      </c>
      <c r="BK153" s="9">
        <v>123230266</v>
      </c>
      <c r="BL153" s="9">
        <v>123230266</v>
      </c>
      <c r="BM153" s="9">
        <v>123230266</v>
      </c>
      <c r="BN153" s="9">
        <v>123230266</v>
      </c>
      <c r="BO153" s="31">
        <v>123230266</v>
      </c>
      <c r="BP153" s="9">
        <v>113787823</v>
      </c>
      <c r="BQ153" s="9">
        <v>113787823</v>
      </c>
      <c r="BR153" s="9">
        <v>113787823</v>
      </c>
      <c r="BS153" s="9">
        <v>113787823</v>
      </c>
      <c r="BT153" s="9">
        <v>113787823</v>
      </c>
      <c r="BU153" s="9">
        <v>113787823</v>
      </c>
      <c r="BV153" s="9">
        <v>113787823</v>
      </c>
      <c r="BW153" s="9">
        <v>113787823</v>
      </c>
      <c r="BX153" s="9">
        <v>113787823</v>
      </c>
      <c r="BY153" s="9">
        <v>113787823</v>
      </c>
      <c r="BZ153" s="9">
        <v>113787823</v>
      </c>
      <c r="CA153" s="9">
        <v>113787823</v>
      </c>
      <c r="CB153" s="31">
        <v>113787823</v>
      </c>
      <c r="CC153" s="9">
        <v>116864448</v>
      </c>
      <c r="CD153" s="9">
        <v>116864448</v>
      </c>
      <c r="CE153" s="9">
        <v>116864448</v>
      </c>
      <c r="CF153" s="9">
        <v>116864448</v>
      </c>
      <c r="CG153" s="9">
        <v>116864448</v>
      </c>
      <c r="CH153" s="9">
        <v>116864448</v>
      </c>
      <c r="CI153" s="9">
        <v>116864448</v>
      </c>
      <c r="CJ153" s="9">
        <v>116864448</v>
      </c>
      <c r="CK153" s="9">
        <v>116864448</v>
      </c>
      <c r="CL153" s="9">
        <v>116864448</v>
      </c>
      <c r="CM153" s="9">
        <v>116864448</v>
      </c>
      <c r="CN153" s="9">
        <v>116864448</v>
      </c>
      <c r="CO153" s="31">
        <v>116864448</v>
      </c>
      <c r="CP153" s="9">
        <v>122491915</v>
      </c>
      <c r="CQ153" s="9">
        <v>122491915</v>
      </c>
      <c r="CR153" s="9">
        <v>122491915</v>
      </c>
      <c r="CS153" s="9">
        <v>122491915</v>
      </c>
      <c r="CT153" s="9">
        <v>122491915</v>
      </c>
      <c r="CU153" s="9">
        <v>122491915</v>
      </c>
      <c r="CV153" s="9">
        <v>122491915</v>
      </c>
      <c r="CW153" s="9">
        <v>122491915</v>
      </c>
      <c r="CX153" s="9">
        <v>122491915</v>
      </c>
      <c r="CY153" s="9">
        <v>122491915</v>
      </c>
      <c r="CZ153" s="9">
        <v>122491915</v>
      </c>
      <c r="DA153" s="9">
        <v>122491915</v>
      </c>
      <c r="DB153" s="31">
        <v>122491915</v>
      </c>
      <c r="DC153" s="9">
        <v>166182827</v>
      </c>
      <c r="DD153" s="9">
        <v>166182827</v>
      </c>
      <c r="DE153" s="9">
        <v>166182827</v>
      </c>
      <c r="DF153" s="9">
        <v>166182827</v>
      </c>
      <c r="DG153" s="9">
        <v>166182827</v>
      </c>
      <c r="DH153" s="9">
        <v>166182827</v>
      </c>
      <c r="DI153" s="9">
        <v>166182827</v>
      </c>
      <c r="DJ153" s="9">
        <v>166182827</v>
      </c>
      <c r="DK153" s="9">
        <v>166182827</v>
      </c>
      <c r="DL153" s="9">
        <v>166182827</v>
      </c>
      <c r="DM153" s="9">
        <v>166182827</v>
      </c>
      <c r="DN153" s="9">
        <v>166182827</v>
      </c>
      <c r="DO153" s="31">
        <v>166182827</v>
      </c>
      <c r="DP153" s="9">
        <v>199830432</v>
      </c>
      <c r="DQ153" s="9">
        <v>199830432</v>
      </c>
      <c r="DR153" s="9">
        <v>199830432</v>
      </c>
      <c r="DS153" s="9">
        <v>199830432</v>
      </c>
      <c r="DT153" s="9">
        <v>199830432</v>
      </c>
      <c r="DU153" s="9">
        <v>199830432</v>
      </c>
      <c r="DV153" s="9">
        <v>199830432</v>
      </c>
      <c r="DW153" s="9">
        <v>199830432</v>
      </c>
      <c r="DX153" s="9">
        <v>199830432</v>
      </c>
      <c r="DY153" s="9">
        <v>199830432</v>
      </c>
      <c r="DZ153" s="9">
        <v>199830432</v>
      </c>
      <c r="EA153" s="9">
        <v>199830432</v>
      </c>
      <c r="EB153" s="31">
        <v>199830432</v>
      </c>
      <c r="EC153" s="9">
        <v>225771051</v>
      </c>
      <c r="ED153" s="9">
        <v>225771051</v>
      </c>
      <c r="EE153" s="9">
        <v>225771051</v>
      </c>
      <c r="EF153" s="9">
        <v>225771051</v>
      </c>
      <c r="EG153" s="9">
        <v>225771051</v>
      </c>
      <c r="EH153" s="9">
        <v>225771051</v>
      </c>
      <c r="EI153" s="9">
        <v>225771051</v>
      </c>
      <c r="EJ153" s="9">
        <v>225771051</v>
      </c>
      <c r="EK153" s="9">
        <v>225771051</v>
      </c>
      <c r="EL153" s="9">
        <v>225771051</v>
      </c>
      <c r="EM153" s="9">
        <v>225771051</v>
      </c>
      <c r="EN153" s="9">
        <v>225771051</v>
      </c>
      <c r="EO153" s="31">
        <v>225771051</v>
      </c>
      <c r="EP153" s="9">
        <v>286562984</v>
      </c>
      <c r="EQ153" s="9">
        <v>286562984</v>
      </c>
      <c r="ER153" s="9">
        <v>286562984</v>
      </c>
      <c r="ES153" s="9">
        <v>286562984</v>
      </c>
      <c r="ET153" s="9">
        <v>286562984</v>
      </c>
      <c r="EU153" s="9">
        <v>286562984</v>
      </c>
      <c r="EV153" s="9">
        <v>286562984</v>
      </c>
      <c r="EW153" s="9">
        <v>286562984</v>
      </c>
      <c r="EX153" s="9">
        <v>286562984</v>
      </c>
      <c r="EY153" s="9">
        <v>286562984</v>
      </c>
      <c r="EZ153" s="9">
        <v>286562984</v>
      </c>
      <c r="FA153" s="9">
        <v>286562984</v>
      </c>
      <c r="FB153" s="31">
        <v>286562984</v>
      </c>
      <c r="FC153" s="9">
        <v>241505107</v>
      </c>
      <c r="FD153" s="9">
        <v>241505107</v>
      </c>
      <c r="FE153" s="9">
        <v>241505107</v>
      </c>
      <c r="FF153" s="9">
        <v>241505107</v>
      </c>
      <c r="FG153" s="9">
        <v>241505107</v>
      </c>
      <c r="FH153" s="9">
        <v>241505107</v>
      </c>
      <c r="FI153" s="9">
        <v>241505107</v>
      </c>
      <c r="FJ153" s="9">
        <v>241505107</v>
      </c>
      <c r="FK153" s="9">
        <v>241505107</v>
      </c>
      <c r="FL153" s="9">
        <v>241505107</v>
      </c>
      <c r="FM153" s="9">
        <v>241505107</v>
      </c>
      <c r="FN153" s="9">
        <v>241505107</v>
      </c>
      <c r="FO153" s="31">
        <v>241505107</v>
      </c>
    </row>
    <row r="154" spans="2:171" x14ac:dyDescent="0.3">
      <c r="B154" s="7" t="s">
        <v>54</v>
      </c>
      <c r="C154" s="9">
        <v>240699010</v>
      </c>
      <c r="D154" s="9">
        <v>240699010</v>
      </c>
      <c r="E154" s="9">
        <v>240699010</v>
      </c>
      <c r="F154" s="9">
        <v>240699010</v>
      </c>
      <c r="G154" s="9">
        <v>240699010</v>
      </c>
      <c r="H154" s="9">
        <v>240699010</v>
      </c>
      <c r="I154" s="9">
        <v>240699010</v>
      </c>
      <c r="J154" s="9">
        <v>240699010</v>
      </c>
      <c r="K154" s="9">
        <v>240699010</v>
      </c>
      <c r="L154" s="9">
        <v>240699010</v>
      </c>
      <c r="M154" s="9">
        <v>240699010</v>
      </c>
      <c r="N154" s="9">
        <v>240699010</v>
      </c>
      <c r="O154" s="31">
        <v>240699010</v>
      </c>
      <c r="P154" s="9">
        <v>257903024</v>
      </c>
      <c r="Q154" s="9">
        <v>257903024</v>
      </c>
      <c r="R154" s="9">
        <v>257903024</v>
      </c>
      <c r="S154" s="9">
        <v>257903024</v>
      </c>
      <c r="T154" s="9">
        <v>257903024</v>
      </c>
      <c r="U154" s="9">
        <v>257903024</v>
      </c>
      <c r="V154" s="9">
        <v>257903024</v>
      </c>
      <c r="W154" s="9">
        <v>257903024</v>
      </c>
      <c r="X154" s="9">
        <v>257903024</v>
      </c>
      <c r="Y154" s="9">
        <v>257903024</v>
      </c>
      <c r="Z154" s="9">
        <v>257903024</v>
      </c>
      <c r="AA154" s="9">
        <v>257903024</v>
      </c>
      <c r="AB154" s="31">
        <v>257903024</v>
      </c>
      <c r="AC154" s="9">
        <v>290438181</v>
      </c>
      <c r="AD154" s="9">
        <v>290438181</v>
      </c>
      <c r="AE154" s="9">
        <v>290438181</v>
      </c>
      <c r="AF154" s="9">
        <v>290438181</v>
      </c>
      <c r="AG154" s="9">
        <v>290438181</v>
      </c>
      <c r="AH154" s="9">
        <v>290438181</v>
      </c>
      <c r="AI154" s="9">
        <v>290438181</v>
      </c>
      <c r="AJ154" s="9">
        <v>290438181</v>
      </c>
      <c r="AK154" s="9">
        <v>290438181</v>
      </c>
      <c r="AL154" s="9">
        <v>290438181</v>
      </c>
      <c r="AM154" s="9">
        <v>290438181</v>
      </c>
      <c r="AN154" s="9">
        <v>290438181</v>
      </c>
      <c r="AO154" s="31">
        <v>290438181</v>
      </c>
      <c r="AP154" s="9">
        <v>270594022</v>
      </c>
      <c r="AQ154" s="9">
        <v>270594022</v>
      </c>
      <c r="AR154" s="9">
        <v>270594022</v>
      </c>
      <c r="AS154" s="9">
        <v>270594022</v>
      </c>
      <c r="AT154" s="9">
        <v>270594022</v>
      </c>
      <c r="AU154" s="9">
        <v>270594022</v>
      </c>
      <c r="AV154" s="9">
        <v>270594022</v>
      </c>
      <c r="AW154" s="9">
        <v>270594022</v>
      </c>
      <c r="AX154" s="9">
        <v>270594022</v>
      </c>
      <c r="AY154" s="9">
        <v>270594022</v>
      </c>
      <c r="AZ154" s="9">
        <v>270594022</v>
      </c>
      <c r="BA154" s="9">
        <v>270594022</v>
      </c>
      <c r="BB154" s="31">
        <v>270594022</v>
      </c>
      <c r="BC154" s="9">
        <v>271308769</v>
      </c>
      <c r="BD154" s="9">
        <v>271308769</v>
      </c>
      <c r="BE154" s="9">
        <v>271308769</v>
      </c>
      <c r="BF154" s="9">
        <v>271308769</v>
      </c>
      <c r="BG154" s="9">
        <v>271308769</v>
      </c>
      <c r="BH154" s="9">
        <v>271308769</v>
      </c>
      <c r="BI154" s="9">
        <v>271308769</v>
      </c>
      <c r="BJ154" s="9">
        <v>271308769</v>
      </c>
      <c r="BK154" s="9">
        <v>271308769</v>
      </c>
      <c r="BL154" s="9">
        <v>271308769</v>
      </c>
      <c r="BM154" s="9">
        <v>271308769</v>
      </c>
      <c r="BN154" s="9">
        <v>271308769</v>
      </c>
      <c r="BO154" s="31">
        <v>271308769</v>
      </c>
      <c r="BP154" s="9">
        <v>315455128</v>
      </c>
      <c r="BQ154" s="9">
        <v>315455128</v>
      </c>
      <c r="BR154" s="9">
        <v>315455128</v>
      </c>
      <c r="BS154" s="9">
        <v>315455128</v>
      </c>
      <c r="BT154" s="9">
        <v>315455128</v>
      </c>
      <c r="BU154" s="9">
        <v>315455128</v>
      </c>
      <c r="BV154" s="9">
        <v>315455128</v>
      </c>
      <c r="BW154" s="9">
        <v>315455128</v>
      </c>
      <c r="BX154" s="9">
        <v>315455128</v>
      </c>
      <c r="BY154" s="9">
        <v>315455128</v>
      </c>
      <c r="BZ154" s="9">
        <v>315455128</v>
      </c>
      <c r="CA154" s="9">
        <v>315455128</v>
      </c>
      <c r="CB154" s="31">
        <v>315455128</v>
      </c>
      <c r="CC154" s="9">
        <v>323949338</v>
      </c>
      <c r="CD154" s="9">
        <v>323949338</v>
      </c>
      <c r="CE154" s="9">
        <v>323949338</v>
      </c>
      <c r="CF154" s="9">
        <v>323949338</v>
      </c>
      <c r="CG154" s="9">
        <v>323949338</v>
      </c>
      <c r="CH154" s="9">
        <v>323949338</v>
      </c>
      <c r="CI154" s="9">
        <v>323949338</v>
      </c>
      <c r="CJ154" s="9">
        <v>323949338</v>
      </c>
      <c r="CK154" s="9">
        <v>323949338</v>
      </c>
      <c r="CL154" s="9">
        <v>323949338</v>
      </c>
      <c r="CM154" s="9">
        <v>323949338</v>
      </c>
      <c r="CN154" s="9">
        <v>323949338</v>
      </c>
      <c r="CO154" s="31">
        <v>323949338</v>
      </c>
      <c r="CP154" s="9">
        <v>321514969</v>
      </c>
      <c r="CQ154" s="9">
        <v>321514969</v>
      </c>
      <c r="CR154" s="9">
        <v>321514969</v>
      </c>
      <c r="CS154" s="9">
        <v>321514969</v>
      </c>
      <c r="CT154" s="9">
        <v>321514969</v>
      </c>
      <c r="CU154" s="9">
        <v>321514969</v>
      </c>
      <c r="CV154" s="9">
        <v>321514969</v>
      </c>
      <c r="CW154" s="9">
        <v>321514969</v>
      </c>
      <c r="CX154" s="9">
        <v>321514969</v>
      </c>
      <c r="CY154" s="9">
        <v>321514969</v>
      </c>
      <c r="CZ154" s="9">
        <v>321514969</v>
      </c>
      <c r="DA154" s="9">
        <v>321514969</v>
      </c>
      <c r="DB154" s="31">
        <v>321514969</v>
      </c>
      <c r="DC154" s="9">
        <v>406538500</v>
      </c>
      <c r="DD154" s="9">
        <v>406538500</v>
      </c>
      <c r="DE154" s="9">
        <v>406538500</v>
      </c>
      <c r="DF154" s="9">
        <v>406538500</v>
      </c>
      <c r="DG154" s="9">
        <v>406538500</v>
      </c>
      <c r="DH154" s="9">
        <v>406538500</v>
      </c>
      <c r="DI154" s="9">
        <v>406538500</v>
      </c>
      <c r="DJ154" s="9">
        <v>406538500</v>
      </c>
      <c r="DK154" s="9">
        <v>406538500</v>
      </c>
      <c r="DL154" s="9">
        <v>406538500</v>
      </c>
      <c r="DM154" s="9">
        <v>406538500</v>
      </c>
      <c r="DN154" s="9">
        <v>406538500</v>
      </c>
      <c r="DO154" s="31">
        <v>406538500</v>
      </c>
      <c r="DP154" s="9">
        <v>387419275</v>
      </c>
      <c r="DQ154" s="9">
        <v>387419275</v>
      </c>
      <c r="DR154" s="9">
        <v>387419275</v>
      </c>
      <c r="DS154" s="9">
        <v>387419275</v>
      </c>
      <c r="DT154" s="9">
        <v>387419275</v>
      </c>
      <c r="DU154" s="9">
        <v>387419275</v>
      </c>
      <c r="DV154" s="9">
        <v>387419275</v>
      </c>
      <c r="DW154" s="9">
        <v>387419275</v>
      </c>
      <c r="DX154" s="9">
        <v>387419275</v>
      </c>
      <c r="DY154" s="9">
        <v>387419275</v>
      </c>
      <c r="DZ154" s="9">
        <v>387419275</v>
      </c>
      <c r="EA154" s="9">
        <v>387419275</v>
      </c>
      <c r="EB154" s="31">
        <v>387419275</v>
      </c>
      <c r="EC154" s="9">
        <v>467857630</v>
      </c>
      <c r="ED154" s="9">
        <v>467857630</v>
      </c>
      <c r="EE154" s="9">
        <v>467857630</v>
      </c>
      <c r="EF154" s="9">
        <v>467857630</v>
      </c>
      <c r="EG154" s="9">
        <v>467857630</v>
      </c>
      <c r="EH154" s="9">
        <v>467857630</v>
      </c>
      <c r="EI154" s="9">
        <v>467857630</v>
      </c>
      <c r="EJ154" s="9">
        <v>467857630</v>
      </c>
      <c r="EK154" s="9">
        <v>467857630</v>
      </c>
      <c r="EL154" s="9">
        <v>467857630</v>
      </c>
      <c r="EM154" s="9">
        <v>467857630</v>
      </c>
      <c r="EN154" s="9">
        <v>467857630</v>
      </c>
      <c r="EO154" s="31">
        <v>467857630</v>
      </c>
      <c r="EP154" s="9">
        <v>371219703</v>
      </c>
      <c r="EQ154" s="9">
        <v>371219703</v>
      </c>
      <c r="ER154" s="9">
        <v>371219703</v>
      </c>
      <c r="ES154" s="9">
        <v>371219703</v>
      </c>
      <c r="ET154" s="9">
        <v>371219703</v>
      </c>
      <c r="EU154" s="9">
        <v>371219703</v>
      </c>
      <c r="EV154" s="9">
        <v>371219703</v>
      </c>
      <c r="EW154" s="9">
        <v>371219703</v>
      </c>
      <c r="EX154" s="9">
        <v>371219703</v>
      </c>
      <c r="EY154" s="9">
        <v>371219703</v>
      </c>
      <c r="EZ154" s="9">
        <v>371219703</v>
      </c>
      <c r="FA154" s="9">
        <v>371219703</v>
      </c>
      <c r="FB154" s="31">
        <v>371219703</v>
      </c>
      <c r="FC154" s="9">
        <v>776352146</v>
      </c>
      <c r="FD154" s="9">
        <v>776352146</v>
      </c>
      <c r="FE154" s="9">
        <v>776352146</v>
      </c>
      <c r="FF154" s="9">
        <v>776352146</v>
      </c>
      <c r="FG154" s="9">
        <v>776352146</v>
      </c>
      <c r="FH154" s="9">
        <v>776352146</v>
      </c>
      <c r="FI154" s="9">
        <v>776352146</v>
      </c>
      <c r="FJ154" s="9">
        <v>776352146</v>
      </c>
      <c r="FK154" s="9">
        <v>776352146</v>
      </c>
      <c r="FL154" s="9">
        <v>776352146</v>
      </c>
      <c r="FM154" s="9">
        <v>776352146</v>
      </c>
      <c r="FN154" s="9">
        <v>776352146</v>
      </c>
      <c r="FO154" s="31">
        <v>776352146</v>
      </c>
    </row>
    <row r="155" spans="2:171" x14ac:dyDescent="0.3">
      <c r="B155" s="7" t="s">
        <v>55</v>
      </c>
      <c r="C155" s="9">
        <v>72739352</v>
      </c>
      <c r="D155" s="9">
        <v>72739352</v>
      </c>
      <c r="E155" s="9">
        <v>72739352</v>
      </c>
      <c r="F155" s="9">
        <v>72739352</v>
      </c>
      <c r="G155" s="9">
        <v>72739352</v>
      </c>
      <c r="H155" s="9">
        <v>72739352</v>
      </c>
      <c r="I155" s="9">
        <v>72739352</v>
      </c>
      <c r="J155" s="9">
        <v>72739352</v>
      </c>
      <c r="K155" s="9">
        <v>72739352</v>
      </c>
      <c r="L155" s="9">
        <v>72739352</v>
      </c>
      <c r="M155" s="9">
        <v>72739352</v>
      </c>
      <c r="N155" s="9">
        <v>72739352</v>
      </c>
      <c r="O155" s="31">
        <v>72739352</v>
      </c>
      <c r="P155" s="9">
        <v>66281634</v>
      </c>
      <c r="Q155" s="9">
        <v>66281634</v>
      </c>
      <c r="R155" s="9">
        <v>66281634</v>
      </c>
      <c r="S155" s="9">
        <v>66281634</v>
      </c>
      <c r="T155" s="9">
        <v>66281634</v>
      </c>
      <c r="U155" s="9">
        <v>66281634</v>
      </c>
      <c r="V155" s="9">
        <v>66281634</v>
      </c>
      <c r="W155" s="9">
        <v>66281634</v>
      </c>
      <c r="X155" s="9">
        <v>66281634</v>
      </c>
      <c r="Y155" s="9">
        <v>66281634</v>
      </c>
      <c r="Z155" s="9">
        <v>66281634</v>
      </c>
      <c r="AA155" s="9">
        <v>66281634</v>
      </c>
      <c r="AB155" s="31">
        <v>66281634</v>
      </c>
      <c r="AC155" s="9">
        <v>71432638</v>
      </c>
      <c r="AD155" s="9">
        <v>71432638</v>
      </c>
      <c r="AE155" s="9">
        <v>71432638</v>
      </c>
      <c r="AF155" s="9">
        <v>71432638</v>
      </c>
      <c r="AG155" s="9">
        <v>71432638</v>
      </c>
      <c r="AH155" s="9">
        <v>71432638</v>
      </c>
      <c r="AI155" s="9">
        <v>71432638</v>
      </c>
      <c r="AJ155" s="9">
        <v>71432638</v>
      </c>
      <c r="AK155" s="9">
        <v>71432638</v>
      </c>
      <c r="AL155" s="9">
        <v>71432638</v>
      </c>
      <c r="AM155" s="9">
        <v>71432638</v>
      </c>
      <c r="AN155" s="9">
        <v>71432638</v>
      </c>
      <c r="AO155" s="31">
        <v>71432638</v>
      </c>
      <c r="AP155" s="9">
        <v>61503845</v>
      </c>
      <c r="AQ155" s="9">
        <v>61503845</v>
      </c>
      <c r="AR155" s="9">
        <v>61503845</v>
      </c>
      <c r="AS155" s="9">
        <v>61503845</v>
      </c>
      <c r="AT155" s="9">
        <v>61503845</v>
      </c>
      <c r="AU155" s="9">
        <v>61503845</v>
      </c>
      <c r="AV155" s="9">
        <v>61503845</v>
      </c>
      <c r="AW155" s="9">
        <v>61503845</v>
      </c>
      <c r="AX155" s="9">
        <v>61503845</v>
      </c>
      <c r="AY155" s="9">
        <v>61503845</v>
      </c>
      <c r="AZ155" s="9">
        <v>61503845</v>
      </c>
      <c r="BA155" s="9">
        <v>61503845</v>
      </c>
      <c r="BB155" s="31">
        <v>61503845</v>
      </c>
      <c r="BC155" s="9">
        <v>67089204</v>
      </c>
      <c r="BD155" s="9">
        <v>67089204</v>
      </c>
      <c r="BE155" s="9">
        <v>67089204</v>
      </c>
      <c r="BF155" s="9">
        <v>67089204</v>
      </c>
      <c r="BG155" s="9">
        <v>67089204</v>
      </c>
      <c r="BH155" s="9">
        <v>67089204</v>
      </c>
      <c r="BI155" s="9">
        <v>67089204</v>
      </c>
      <c r="BJ155" s="9">
        <v>67089204</v>
      </c>
      <c r="BK155" s="9">
        <v>67089204</v>
      </c>
      <c r="BL155" s="9">
        <v>67089204</v>
      </c>
      <c r="BM155" s="9">
        <v>67089204</v>
      </c>
      <c r="BN155" s="9">
        <v>67089204</v>
      </c>
      <c r="BO155" s="31">
        <v>67089204</v>
      </c>
      <c r="BP155" s="9">
        <v>58270832</v>
      </c>
      <c r="BQ155" s="9">
        <v>58270832</v>
      </c>
      <c r="BR155" s="9">
        <v>58270832</v>
      </c>
      <c r="BS155" s="9">
        <v>58270832</v>
      </c>
      <c r="BT155" s="9">
        <v>58270832</v>
      </c>
      <c r="BU155" s="9">
        <v>58270832</v>
      </c>
      <c r="BV155" s="9">
        <v>58270832</v>
      </c>
      <c r="BW155" s="9">
        <v>58270832</v>
      </c>
      <c r="BX155" s="9">
        <v>58270832</v>
      </c>
      <c r="BY155" s="9">
        <v>58270832</v>
      </c>
      <c r="BZ155" s="9">
        <v>58270832</v>
      </c>
      <c r="CA155" s="9">
        <v>58270832</v>
      </c>
      <c r="CB155" s="31">
        <v>58270832</v>
      </c>
      <c r="CC155" s="9">
        <v>59866885</v>
      </c>
      <c r="CD155" s="9">
        <v>59866885</v>
      </c>
      <c r="CE155" s="9">
        <v>59866885</v>
      </c>
      <c r="CF155" s="9">
        <v>59866885</v>
      </c>
      <c r="CG155" s="9">
        <v>59866885</v>
      </c>
      <c r="CH155" s="9">
        <v>59866885</v>
      </c>
      <c r="CI155" s="9">
        <v>59866885</v>
      </c>
      <c r="CJ155" s="9">
        <v>59866885</v>
      </c>
      <c r="CK155" s="9">
        <v>59866885</v>
      </c>
      <c r="CL155" s="9">
        <v>59866885</v>
      </c>
      <c r="CM155" s="9">
        <v>59866885</v>
      </c>
      <c r="CN155" s="9">
        <v>59866885</v>
      </c>
      <c r="CO155" s="31">
        <v>59866885</v>
      </c>
      <c r="CP155" s="9">
        <v>64770681</v>
      </c>
      <c r="CQ155" s="9">
        <v>64770681</v>
      </c>
      <c r="CR155" s="9">
        <v>64770681</v>
      </c>
      <c r="CS155" s="9">
        <v>64770681</v>
      </c>
      <c r="CT155" s="9">
        <v>64770681</v>
      </c>
      <c r="CU155" s="9">
        <v>64770681</v>
      </c>
      <c r="CV155" s="9">
        <v>64770681</v>
      </c>
      <c r="CW155" s="9">
        <v>64770681</v>
      </c>
      <c r="CX155" s="9">
        <v>64770681</v>
      </c>
      <c r="CY155" s="9">
        <v>64770681</v>
      </c>
      <c r="CZ155" s="9">
        <v>64770681</v>
      </c>
      <c r="DA155" s="9">
        <v>64770681</v>
      </c>
      <c r="DB155" s="31">
        <v>64770681</v>
      </c>
      <c r="DC155" s="9">
        <v>77138039</v>
      </c>
      <c r="DD155" s="9">
        <v>77138039</v>
      </c>
      <c r="DE155" s="9">
        <v>77138039</v>
      </c>
      <c r="DF155" s="9">
        <v>77138039</v>
      </c>
      <c r="DG155" s="9">
        <v>77138039</v>
      </c>
      <c r="DH155" s="9">
        <v>77138039</v>
      </c>
      <c r="DI155" s="9">
        <v>77138039</v>
      </c>
      <c r="DJ155" s="9">
        <v>77138039</v>
      </c>
      <c r="DK155" s="9">
        <v>77138039</v>
      </c>
      <c r="DL155" s="9">
        <v>77138039</v>
      </c>
      <c r="DM155" s="9">
        <v>77138039</v>
      </c>
      <c r="DN155" s="9">
        <v>77138039</v>
      </c>
      <c r="DO155" s="31">
        <v>77138039</v>
      </c>
      <c r="DP155" s="9">
        <v>130494761</v>
      </c>
      <c r="DQ155" s="9">
        <v>130494761</v>
      </c>
      <c r="DR155" s="9">
        <v>130494761</v>
      </c>
      <c r="DS155" s="9">
        <v>130494761</v>
      </c>
      <c r="DT155" s="9">
        <v>130494761</v>
      </c>
      <c r="DU155" s="9">
        <v>130494761</v>
      </c>
      <c r="DV155" s="9">
        <v>130494761</v>
      </c>
      <c r="DW155" s="9">
        <v>130494761</v>
      </c>
      <c r="DX155" s="9">
        <v>130494761</v>
      </c>
      <c r="DY155" s="9">
        <v>130494761</v>
      </c>
      <c r="DZ155" s="9">
        <v>130494761</v>
      </c>
      <c r="EA155" s="9">
        <v>130494761</v>
      </c>
      <c r="EB155" s="31">
        <v>130494761</v>
      </c>
      <c r="EC155" s="9">
        <v>164160945</v>
      </c>
      <c r="ED155" s="9">
        <v>164160945</v>
      </c>
      <c r="EE155" s="9">
        <v>164160945</v>
      </c>
      <c r="EF155" s="9">
        <v>164160945</v>
      </c>
      <c r="EG155" s="9">
        <v>164160945</v>
      </c>
      <c r="EH155" s="9">
        <v>164160945</v>
      </c>
      <c r="EI155" s="9">
        <v>164160945</v>
      </c>
      <c r="EJ155" s="9">
        <v>164160945</v>
      </c>
      <c r="EK155" s="9">
        <v>164160945</v>
      </c>
      <c r="EL155" s="9">
        <v>164160945</v>
      </c>
      <c r="EM155" s="9">
        <v>164160945</v>
      </c>
      <c r="EN155" s="9">
        <v>164160945</v>
      </c>
      <c r="EO155" s="31">
        <v>164160945</v>
      </c>
      <c r="EP155" s="9">
        <v>192275210</v>
      </c>
      <c r="EQ155" s="9">
        <v>192275210</v>
      </c>
      <c r="ER155" s="9">
        <v>192275210</v>
      </c>
      <c r="ES155" s="9">
        <v>192275210</v>
      </c>
      <c r="ET155" s="9">
        <v>192275210</v>
      </c>
      <c r="EU155" s="9">
        <v>192275210</v>
      </c>
      <c r="EV155" s="9">
        <v>192275210</v>
      </c>
      <c r="EW155" s="9">
        <v>192275210</v>
      </c>
      <c r="EX155" s="9">
        <v>192275210</v>
      </c>
      <c r="EY155" s="9">
        <v>192275210</v>
      </c>
      <c r="EZ155" s="9">
        <v>192275210</v>
      </c>
      <c r="FA155" s="9">
        <v>192275210</v>
      </c>
      <c r="FB155" s="31">
        <v>192275210</v>
      </c>
      <c r="FC155" s="9">
        <v>196116811</v>
      </c>
      <c r="FD155" s="9">
        <v>196116811</v>
      </c>
      <c r="FE155" s="9">
        <v>196116811</v>
      </c>
      <c r="FF155" s="9">
        <v>196116811</v>
      </c>
      <c r="FG155" s="9">
        <v>196116811</v>
      </c>
      <c r="FH155" s="9">
        <v>196116811</v>
      </c>
      <c r="FI155" s="9">
        <v>196116811</v>
      </c>
      <c r="FJ155" s="9">
        <v>196116811</v>
      </c>
      <c r="FK155" s="9">
        <v>196116811</v>
      </c>
      <c r="FL155" s="9">
        <v>196116811</v>
      </c>
      <c r="FM155" s="9">
        <v>196116811</v>
      </c>
      <c r="FN155" s="9">
        <v>196116811</v>
      </c>
      <c r="FO155" s="31">
        <v>196116811</v>
      </c>
    </row>
    <row r="156" spans="2:171" x14ac:dyDescent="0.3">
      <c r="B156" s="7" t="s">
        <v>56</v>
      </c>
      <c r="C156" s="9">
        <v>78925459</v>
      </c>
      <c r="D156" s="9">
        <v>78925459</v>
      </c>
      <c r="E156" s="9">
        <v>78925459</v>
      </c>
      <c r="F156" s="9">
        <v>78925459</v>
      </c>
      <c r="G156" s="9">
        <v>78925459</v>
      </c>
      <c r="H156" s="9">
        <v>78925459</v>
      </c>
      <c r="I156" s="9">
        <v>78925459</v>
      </c>
      <c r="J156" s="9">
        <v>78925459</v>
      </c>
      <c r="K156" s="9">
        <v>78925459</v>
      </c>
      <c r="L156" s="9">
        <v>78925459</v>
      </c>
      <c r="M156" s="9">
        <v>78925459</v>
      </c>
      <c r="N156" s="9">
        <v>78925459</v>
      </c>
      <c r="O156" s="31">
        <v>78925459</v>
      </c>
      <c r="P156" s="9">
        <v>84901921</v>
      </c>
      <c r="Q156" s="9">
        <v>84901921</v>
      </c>
      <c r="R156" s="9">
        <v>84901921</v>
      </c>
      <c r="S156" s="9">
        <v>84901921</v>
      </c>
      <c r="T156" s="9">
        <v>84901921</v>
      </c>
      <c r="U156" s="9">
        <v>84901921</v>
      </c>
      <c r="V156" s="9">
        <v>84901921</v>
      </c>
      <c r="W156" s="9">
        <v>84901921</v>
      </c>
      <c r="X156" s="9">
        <v>84901921</v>
      </c>
      <c r="Y156" s="9">
        <v>84901921</v>
      </c>
      <c r="Z156" s="9">
        <v>84901921</v>
      </c>
      <c r="AA156" s="9">
        <v>84901921</v>
      </c>
      <c r="AB156" s="31">
        <v>84901921</v>
      </c>
      <c r="AC156" s="9">
        <v>108577051</v>
      </c>
      <c r="AD156" s="9">
        <v>108577051</v>
      </c>
      <c r="AE156" s="9">
        <v>108577051</v>
      </c>
      <c r="AF156" s="9">
        <v>108577051</v>
      </c>
      <c r="AG156" s="9">
        <v>108577051</v>
      </c>
      <c r="AH156" s="9">
        <v>108577051</v>
      </c>
      <c r="AI156" s="9">
        <v>108577051</v>
      </c>
      <c r="AJ156" s="9">
        <v>108577051</v>
      </c>
      <c r="AK156" s="9">
        <v>108577051</v>
      </c>
      <c r="AL156" s="9">
        <v>108577051</v>
      </c>
      <c r="AM156" s="9">
        <v>108577051</v>
      </c>
      <c r="AN156" s="9">
        <v>108577051</v>
      </c>
      <c r="AO156" s="31">
        <v>108577051</v>
      </c>
      <c r="AP156" s="9">
        <v>111168013</v>
      </c>
      <c r="AQ156" s="9">
        <v>111168013</v>
      </c>
      <c r="AR156" s="9">
        <v>111168013</v>
      </c>
      <c r="AS156" s="9">
        <v>111168013</v>
      </c>
      <c r="AT156" s="9">
        <v>111168013</v>
      </c>
      <c r="AU156" s="9">
        <v>111168013</v>
      </c>
      <c r="AV156" s="9">
        <v>111168013</v>
      </c>
      <c r="AW156" s="9">
        <v>111168013</v>
      </c>
      <c r="AX156" s="9">
        <v>111168013</v>
      </c>
      <c r="AY156" s="9">
        <v>111168013</v>
      </c>
      <c r="AZ156" s="9">
        <v>111168013</v>
      </c>
      <c r="BA156" s="9">
        <v>111168013</v>
      </c>
      <c r="BB156" s="31">
        <v>111168013</v>
      </c>
      <c r="BC156" s="9">
        <v>99845880</v>
      </c>
      <c r="BD156" s="9">
        <v>99845880</v>
      </c>
      <c r="BE156" s="9">
        <v>99845880</v>
      </c>
      <c r="BF156" s="9">
        <v>99845880</v>
      </c>
      <c r="BG156" s="9">
        <v>99845880</v>
      </c>
      <c r="BH156" s="9">
        <v>99845880</v>
      </c>
      <c r="BI156" s="9">
        <v>99845880</v>
      </c>
      <c r="BJ156" s="9">
        <v>99845880</v>
      </c>
      <c r="BK156" s="9">
        <v>99845880</v>
      </c>
      <c r="BL156" s="9">
        <v>99845880</v>
      </c>
      <c r="BM156" s="9">
        <v>99845880</v>
      </c>
      <c r="BN156" s="9">
        <v>99845880</v>
      </c>
      <c r="BO156" s="31">
        <v>99845880</v>
      </c>
      <c r="BP156" s="9">
        <v>117632095</v>
      </c>
      <c r="BQ156" s="9">
        <v>117632095</v>
      </c>
      <c r="BR156" s="9">
        <v>117632095</v>
      </c>
      <c r="BS156" s="9">
        <v>117632095</v>
      </c>
      <c r="BT156" s="9">
        <v>117632095</v>
      </c>
      <c r="BU156" s="9">
        <v>117632095</v>
      </c>
      <c r="BV156" s="9">
        <v>117632095</v>
      </c>
      <c r="BW156" s="9">
        <v>117632095</v>
      </c>
      <c r="BX156" s="9">
        <v>117632095</v>
      </c>
      <c r="BY156" s="9">
        <v>117632095</v>
      </c>
      <c r="BZ156" s="9">
        <v>117632095</v>
      </c>
      <c r="CA156" s="9">
        <v>117632095</v>
      </c>
      <c r="CB156" s="31">
        <v>117632095</v>
      </c>
      <c r="CC156" s="9">
        <v>120828269</v>
      </c>
      <c r="CD156" s="9">
        <v>120828269</v>
      </c>
      <c r="CE156" s="9">
        <v>120828269</v>
      </c>
      <c r="CF156" s="9">
        <v>120828269</v>
      </c>
      <c r="CG156" s="9">
        <v>120828269</v>
      </c>
      <c r="CH156" s="9">
        <v>120828269</v>
      </c>
      <c r="CI156" s="9">
        <v>120828269</v>
      </c>
      <c r="CJ156" s="9">
        <v>120828269</v>
      </c>
      <c r="CK156" s="9">
        <v>120828269</v>
      </c>
      <c r="CL156" s="9">
        <v>120828269</v>
      </c>
      <c r="CM156" s="9">
        <v>120828269</v>
      </c>
      <c r="CN156" s="9">
        <v>120828269</v>
      </c>
      <c r="CO156" s="31">
        <v>120828269</v>
      </c>
      <c r="CP156" s="9">
        <v>129534134</v>
      </c>
      <c r="CQ156" s="9">
        <v>129534134</v>
      </c>
      <c r="CR156" s="9">
        <v>129534134</v>
      </c>
      <c r="CS156" s="9">
        <v>129534134</v>
      </c>
      <c r="CT156" s="9">
        <v>129534134</v>
      </c>
      <c r="CU156" s="9">
        <v>129534134</v>
      </c>
      <c r="CV156" s="9">
        <v>129534134</v>
      </c>
      <c r="CW156" s="9">
        <v>129534134</v>
      </c>
      <c r="CX156" s="9">
        <v>129534134</v>
      </c>
      <c r="CY156" s="9">
        <v>129534134</v>
      </c>
      <c r="CZ156" s="9">
        <v>129534134</v>
      </c>
      <c r="DA156" s="9">
        <v>129534134</v>
      </c>
      <c r="DB156" s="31">
        <v>129534134</v>
      </c>
      <c r="DC156" s="9">
        <v>145731691</v>
      </c>
      <c r="DD156" s="9">
        <v>145731691</v>
      </c>
      <c r="DE156" s="9">
        <v>145731691</v>
      </c>
      <c r="DF156" s="9">
        <v>145731691</v>
      </c>
      <c r="DG156" s="9">
        <v>145731691</v>
      </c>
      <c r="DH156" s="9">
        <v>145731691</v>
      </c>
      <c r="DI156" s="9">
        <v>145731691</v>
      </c>
      <c r="DJ156" s="9">
        <v>145731691</v>
      </c>
      <c r="DK156" s="9">
        <v>145731691</v>
      </c>
      <c r="DL156" s="9">
        <v>145731691</v>
      </c>
      <c r="DM156" s="9">
        <v>145731691</v>
      </c>
      <c r="DN156" s="9">
        <v>145731691</v>
      </c>
      <c r="DO156" s="31">
        <v>145731691</v>
      </c>
      <c r="DP156" s="9">
        <v>175636178</v>
      </c>
      <c r="DQ156" s="9">
        <v>175636178</v>
      </c>
      <c r="DR156" s="9">
        <v>175636178</v>
      </c>
      <c r="DS156" s="9">
        <v>175636178</v>
      </c>
      <c r="DT156" s="9">
        <v>175636178</v>
      </c>
      <c r="DU156" s="9">
        <v>175636178</v>
      </c>
      <c r="DV156" s="9">
        <v>175636178</v>
      </c>
      <c r="DW156" s="9">
        <v>175636178</v>
      </c>
      <c r="DX156" s="9">
        <v>175636178</v>
      </c>
      <c r="DY156" s="9">
        <v>175636178</v>
      </c>
      <c r="DZ156" s="9">
        <v>175636178</v>
      </c>
      <c r="EA156" s="9">
        <v>175636178</v>
      </c>
      <c r="EB156" s="31">
        <v>175636178</v>
      </c>
      <c r="EC156" s="9">
        <v>190965901</v>
      </c>
      <c r="ED156" s="9">
        <v>190965901</v>
      </c>
      <c r="EE156" s="9">
        <v>190965901</v>
      </c>
      <c r="EF156" s="9">
        <v>190965901</v>
      </c>
      <c r="EG156" s="9">
        <v>190965901</v>
      </c>
      <c r="EH156" s="9">
        <v>190965901</v>
      </c>
      <c r="EI156" s="9">
        <v>190965901</v>
      </c>
      <c r="EJ156" s="9">
        <v>190965901</v>
      </c>
      <c r="EK156" s="9">
        <v>190965901</v>
      </c>
      <c r="EL156" s="9">
        <v>190965901</v>
      </c>
      <c r="EM156" s="9">
        <v>190965901</v>
      </c>
      <c r="EN156" s="9">
        <v>190965901</v>
      </c>
      <c r="EO156" s="31">
        <v>190965901</v>
      </c>
      <c r="EP156" s="9">
        <v>263292274</v>
      </c>
      <c r="EQ156" s="9">
        <v>263292274</v>
      </c>
      <c r="ER156" s="9">
        <v>263292274</v>
      </c>
      <c r="ES156" s="9">
        <v>263292274</v>
      </c>
      <c r="ET156" s="9">
        <v>263292274</v>
      </c>
      <c r="EU156" s="9">
        <v>263292274</v>
      </c>
      <c r="EV156" s="9">
        <v>263292274</v>
      </c>
      <c r="EW156" s="9">
        <v>263292274</v>
      </c>
      <c r="EX156" s="9">
        <v>263292274</v>
      </c>
      <c r="EY156" s="9">
        <v>263292274</v>
      </c>
      <c r="EZ156" s="9">
        <v>263292274</v>
      </c>
      <c r="FA156" s="9">
        <v>263292274</v>
      </c>
      <c r="FB156" s="31">
        <v>263292274</v>
      </c>
      <c r="FC156" s="9">
        <v>237880088</v>
      </c>
      <c r="FD156" s="9">
        <v>237880088</v>
      </c>
      <c r="FE156" s="9">
        <v>237880088</v>
      </c>
      <c r="FF156" s="9">
        <v>237880088</v>
      </c>
      <c r="FG156" s="9">
        <v>237880088</v>
      </c>
      <c r="FH156" s="9">
        <v>237880088</v>
      </c>
      <c r="FI156" s="9">
        <v>237880088</v>
      </c>
      <c r="FJ156" s="9">
        <v>237880088</v>
      </c>
      <c r="FK156" s="9">
        <v>237880088</v>
      </c>
      <c r="FL156" s="9">
        <v>237880088</v>
      </c>
      <c r="FM156" s="9">
        <v>237880088</v>
      </c>
      <c r="FN156" s="9">
        <v>237880088</v>
      </c>
      <c r="FO156" s="31">
        <v>237880088</v>
      </c>
    </row>
    <row r="157" spans="2:171" x14ac:dyDescent="0.3">
      <c r="B157" s="7" t="s">
        <v>57</v>
      </c>
      <c r="C157" s="9">
        <v>0</v>
      </c>
      <c r="D157" s="9">
        <v>0</v>
      </c>
      <c r="E157" s="9">
        <v>0</v>
      </c>
      <c r="F157" s="9">
        <v>0</v>
      </c>
      <c r="G157" s="9">
        <v>0</v>
      </c>
      <c r="H157" s="9">
        <v>0</v>
      </c>
      <c r="I157" s="9">
        <v>0</v>
      </c>
      <c r="J157" s="9">
        <v>0</v>
      </c>
      <c r="K157" s="9">
        <v>0</v>
      </c>
      <c r="L157" s="9">
        <v>0</v>
      </c>
      <c r="M157" s="9">
        <v>0</v>
      </c>
      <c r="N157" s="9">
        <v>0</v>
      </c>
      <c r="O157" s="31">
        <v>0</v>
      </c>
      <c r="P157" s="9">
        <v>0</v>
      </c>
      <c r="Q157" s="9">
        <v>0</v>
      </c>
      <c r="R157" s="9">
        <v>0</v>
      </c>
      <c r="S157" s="9">
        <v>0</v>
      </c>
      <c r="T157" s="9">
        <v>0</v>
      </c>
      <c r="U157" s="9">
        <v>0</v>
      </c>
      <c r="V157" s="9">
        <v>0</v>
      </c>
      <c r="W157" s="9">
        <v>0</v>
      </c>
      <c r="X157" s="9">
        <v>0</v>
      </c>
      <c r="Y157" s="9">
        <v>0</v>
      </c>
      <c r="Z157" s="9">
        <v>0</v>
      </c>
      <c r="AA157" s="9">
        <v>0</v>
      </c>
      <c r="AB157" s="31">
        <v>0</v>
      </c>
      <c r="AC157" s="9">
        <v>0</v>
      </c>
      <c r="AD157" s="9">
        <v>0</v>
      </c>
      <c r="AE157" s="9">
        <v>0</v>
      </c>
      <c r="AF157" s="9">
        <v>0</v>
      </c>
      <c r="AG157" s="9">
        <v>0</v>
      </c>
      <c r="AH157" s="9">
        <v>0</v>
      </c>
      <c r="AI157" s="9">
        <v>0</v>
      </c>
      <c r="AJ157" s="9">
        <v>0</v>
      </c>
      <c r="AK157" s="9">
        <v>0</v>
      </c>
      <c r="AL157" s="9">
        <v>0</v>
      </c>
      <c r="AM157" s="9">
        <v>0</v>
      </c>
      <c r="AN157" s="9">
        <v>0</v>
      </c>
      <c r="AO157" s="31">
        <v>0</v>
      </c>
      <c r="AP157" s="9">
        <v>0</v>
      </c>
      <c r="AQ157" s="9">
        <v>0</v>
      </c>
      <c r="AR157" s="9">
        <v>0</v>
      </c>
      <c r="AS157" s="9">
        <v>0</v>
      </c>
      <c r="AT157" s="9">
        <v>0</v>
      </c>
      <c r="AU157" s="9">
        <v>0</v>
      </c>
      <c r="AV157" s="9">
        <v>0</v>
      </c>
      <c r="AW157" s="9">
        <v>0</v>
      </c>
      <c r="AX157" s="9">
        <v>0</v>
      </c>
      <c r="AY157" s="9">
        <v>0</v>
      </c>
      <c r="AZ157" s="9">
        <v>0</v>
      </c>
      <c r="BA157" s="9">
        <v>0</v>
      </c>
      <c r="BB157" s="31">
        <v>0</v>
      </c>
      <c r="BC157" s="9">
        <v>0</v>
      </c>
      <c r="BD157" s="9">
        <v>0</v>
      </c>
      <c r="BE157" s="9">
        <v>0</v>
      </c>
      <c r="BF157" s="9">
        <v>0</v>
      </c>
      <c r="BG157" s="9">
        <v>0</v>
      </c>
      <c r="BH157" s="9">
        <v>0</v>
      </c>
      <c r="BI157" s="9">
        <v>0</v>
      </c>
      <c r="BJ157" s="9">
        <v>0</v>
      </c>
      <c r="BK157" s="9">
        <v>0</v>
      </c>
      <c r="BL157" s="9">
        <v>0</v>
      </c>
      <c r="BM157" s="9">
        <v>0</v>
      </c>
      <c r="BN157" s="9">
        <v>0</v>
      </c>
      <c r="BO157" s="31">
        <v>0</v>
      </c>
      <c r="BP157" s="9">
        <v>2000010</v>
      </c>
      <c r="BQ157" s="9">
        <v>2000010</v>
      </c>
      <c r="BR157" s="9">
        <v>2000010</v>
      </c>
      <c r="BS157" s="9">
        <v>2000010</v>
      </c>
      <c r="BT157" s="9">
        <v>2000010</v>
      </c>
      <c r="BU157" s="9">
        <v>2000010</v>
      </c>
      <c r="BV157" s="9">
        <v>2000010</v>
      </c>
      <c r="BW157" s="9">
        <v>2000010</v>
      </c>
      <c r="BX157" s="9">
        <v>2000010</v>
      </c>
      <c r="BY157" s="9">
        <v>2000010</v>
      </c>
      <c r="BZ157" s="9">
        <v>2000010</v>
      </c>
      <c r="CA157" s="9">
        <v>2000010</v>
      </c>
      <c r="CB157" s="31">
        <v>2000010</v>
      </c>
      <c r="CC157" s="9">
        <v>13371225</v>
      </c>
      <c r="CD157" s="9">
        <v>13371225</v>
      </c>
      <c r="CE157" s="9">
        <v>13371225</v>
      </c>
      <c r="CF157" s="9">
        <v>13371225</v>
      </c>
      <c r="CG157" s="9">
        <v>13371225</v>
      </c>
      <c r="CH157" s="9">
        <v>13371225</v>
      </c>
      <c r="CI157" s="9">
        <v>13371225</v>
      </c>
      <c r="CJ157" s="9">
        <v>13371225</v>
      </c>
      <c r="CK157" s="9">
        <v>13371225</v>
      </c>
      <c r="CL157" s="9">
        <v>13371225</v>
      </c>
      <c r="CM157" s="9">
        <v>13371225</v>
      </c>
      <c r="CN157" s="9">
        <v>13371225</v>
      </c>
      <c r="CO157" s="31">
        <v>13371225</v>
      </c>
      <c r="CP157" s="9">
        <v>26708956</v>
      </c>
      <c r="CQ157" s="9">
        <v>26708956</v>
      </c>
      <c r="CR157" s="9">
        <v>26708956</v>
      </c>
      <c r="CS157" s="9">
        <v>26708956</v>
      </c>
      <c r="CT157" s="9">
        <v>26708956</v>
      </c>
      <c r="CU157" s="9">
        <v>26708956</v>
      </c>
      <c r="CV157" s="9">
        <v>26708956</v>
      </c>
      <c r="CW157" s="9">
        <v>26708956</v>
      </c>
      <c r="CX157" s="9">
        <v>26708956</v>
      </c>
      <c r="CY157" s="9">
        <v>26708956</v>
      </c>
      <c r="CZ157" s="9">
        <v>26708956</v>
      </c>
      <c r="DA157" s="9">
        <v>26708956</v>
      </c>
      <c r="DB157" s="31">
        <v>26708956</v>
      </c>
      <c r="DC157" s="9">
        <v>67680251</v>
      </c>
      <c r="DD157" s="9">
        <v>67680251</v>
      </c>
      <c r="DE157" s="9">
        <v>67680251</v>
      </c>
      <c r="DF157" s="9">
        <v>67680251</v>
      </c>
      <c r="DG157" s="9">
        <v>67680251</v>
      </c>
      <c r="DH157" s="9">
        <v>67680251</v>
      </c>
      <c r="DI157" s="9">
        <v>67680251</v>
      </c>
      <c r="DJ157" s="9">
        <v>67680251</v>
      </c>
      <c r="DK157" s="9">
        <v>67680251</v>
      </c>
      <c r="DL157" s="9">
        <v>67680251</v>
      </c>
      <c r="DM157" s="9">
        <v>67680251</v>
      </c>
      <c r="DN157" s="9">
        <v>67680251</v>
      </c>
      <c r="DO157" s="31">
        <v>67680251</v>
      </c>
      <c r="DP157" s="9">
        <v>111469115</v>
      </c>
      <c r="DQ157" s="9">
        <v>111469115</v>
      </c>
      <c r="DR157" s="9">
        <v>111469115</v>
      </c>
      <c r="DS157" s="9">
        <v>111469115</v>
      </c>
      <c r="DT157" s="9">
        <v>111469115</v>
      </c>
      <c r="DU157" s="9">
        <v>111469115</v>
      </c>
      <c r="DV157" s="9">
        <v>111469115</v>
      </c>
      <c r="DW157" s="9">
        <v>111469115</v>
      </c>
      <c r="DX157" s="9">
        <v>111469115</v>
      </c>
      <c r="DY157" s="9">
        <v>111469115</v>
      </c>
      <c r="DZ157" s="9">
        <v>111469115</v>
      </c>
      <c r="EA157" s="9">
        <v>111469115</v>
      </c>
      <c r="EB157" s="31">
        <v>111469115</v>
      </c>
      <c r="EC157" s="9">
        <v>116664561</v>
      </c>
      <c r="ED157" s="9">
        <v>116664561</v>
      </c>
      <c r="EE157" s="9">
        <v>116664561</v>
      </c>
      <c r="EF157" s="9">
        <v>116664561</v>
      </c>
      <c r="EG157" s="9">
        <v>116664561</v>
      </c>
      <c r="EH157" s="9">
        <v>116664561</v>
      </c>
      <c r="EI157" s="9">
        <v>116664561</v>
      </c>
      <c r="EJ157" s="9">
        <v>116664561</v>
      </c>
      <c r="EK157" s="9">
        <v>116664561</v>
      </c>
      <c r="EL157" s="9">
        <v>116664561</v>
      </c>
      <c r="EM157" s="9">
        <v>116664561</v>
      </c>
      <c r="EN157" s="9">
        <v>116664561</v>
      </c>
      <c r="EO157" s="31">
        <v>116664561</v>
      </c>
      <c r="EP157" s="9">
        <v>154915622</v>
      </c>
      <c r="EQ157" s="9">
        <v>154915622</v>
      </c>
      <c r="ER157" s="9">
        <v>154915622</v>
      </c>
      <c r="ES157" s="9">
        <v>154915622</v>
      </c>
      <c r="ET157" s="9">
        <v>154915622</v>
      </c>
      <c r="EU157" s="9">
        <v>154915622</v>
      </c>
      <c r="EV157" s="9">
        <v>154915622</v>
      </c>
      <c r="EW157" s="9">
        <v>154915622</v>
      </c>
      <c r="EX157" s="9">
        <v>154915622</v>
      </c>
      <c r="EY157" s="9">
        <v>154915622</v>
      </c>
      <c r="EZ157" s="9">
        <v>154915622</v>
      </c>
      <c r="FA157" s="9">
        <v>154915622</v>
      </c>
      <c r="FB157" s="31">
        <v>154915622</v>
      </c>
      <c r="FC157" s="9">
        <v>185909865</v>
      </c>
      <c r="FD157" s="9">
        <v>185909865</v>
      </c>
      <c r="FE157" s="9">
        <v>185909865</v>
      </c>
      <c r="FF157" s="9">
        <v>185909865</v>
      </c>
      <c r="FG157" s="9">
        <v>185909865</v>
      </c>
      <c r="FH157" s="9">
        <v>185909865</v>
      </c>
      <c r="FI157" s="9">
        <v>185909865</v>
      </c>
      <c r="FJ157" s="9">
        <v>185909865</v>
      </c>
      <c r="FK157" s="9">
        <v>185909865</v>
      </c>
      <c r="FL157" s="9">
        <v>185909865</v>
      </c>
      <c r="FM157" s="9">
        <v>185909865</v>
      </c>
      <c r="FN157" s="9">
        <v>185909865</v>
      </c>
      <c r="FO157" s="31">
        <v>185909865</v>
      </c>
    </row>
    <row r="158" spans="2:171" x14ac:dyDescent="0.3">
      <c r="B158" s="7" t="s">
        <v>58</v>
      </c>
      <c r="C158" s="9">
        <v>121088016</v>
      </c>
      <c r="D158" s="9">
        <v>121088016</v>
      </c>
      <c r="E158" s="9">
        <v>121088016</v>
      </c>
      <c r="F158" s="9">
        <v>121088016</v>
      </c>
      <c r="G158" s="9">
        <v>121088016</v>
      </c>
      <c r="H158" s="9">
        <v>121088016</v>
      </c>
      <c r="I158" s="9">
        <v>121088016</v>
      </c>
      <c r="J158" s="9">
        <v>121088016</v>
      </c>
      <c r="K158" s="9">
        <v>121088016</v>
      </c>
      <c r="L158" s="9">
        <v>121088016</v>
      </c>
      <c r="M158" s="9">
        <v>121088016</v>
      </c>
      <c r="N158" s="9">
        <v>121088016</v>
      </c>
      <c r="O158" s="31">
        <v>121088016</v>
      </c>
      <c r="P158" s="9">
        <v>144537559</v>
      </c>
      <c r="Q158" s="9">
        <v>144537559</v>
      </c>
      <c r="R158" s="9">
        <v>144537559</v>
      </c>
      <c r="S158" s="9">
        <v>144537559</v>
      </c>
      <c r="T158" s="9">
        <v>144537559</v>
      </c>
      <c r="U158" s="9">
        <v>144537559</v>
      </c>
      <c r="V158" s="9">
        <v>144537559</v>
      </c>
      <c r="W158" s="9">
        <v>144537559</v>
      </c>
      <c r="X158" s="9">
        <v>144537559</v>
      </c>
      <c r="Y158" s="9">
        <v>144537559</v>
      </c>
      <c r="Z158" s="9">
        <v>144537559</v>
      </c>
      <c r="AA158" s="9">
        <v>144537559</v>
      </c>
      <c r="AB158" s="31">
        <v>144537559</v>
      </c>
      <c r="AC158" s="9">
        <v>163439440</v>
      </c>
      <c r="AD158" s="9">
        <v>163439440</v>
      </c>
      <c r="AE158" s="9">
        <v>163439440</v>
      </c>
      <c r="AF158" s="9">
        <v>163439440</v>
      </c>
      <c r="AG158" s="9">
        <v>163439440</v>
      </c>
      <c r="AH158" s="9">
        <v>163439440</v>
      </c>
      <c r="AI158" s="9">
        <v>163439440</v>
      </c>
      <c r="AJ158" s="9">
        <v>163439440</v>
      </c>
      <c r="AK158" s="9">
        <v>163439440</v>
      </c>
      <c r="AL158" s="9">
        <v>163439440</v>
      </c>
      <c r="AM158" s="9">
        <v>163439440</v>
      </c>
      <c r="AN158" s="9">
        <v>163439440</v>
      </c>
      <c r="AO158" s="31">
        <v>163439440</v>
      </c>
      <c r="AP158" s="9">
        <v>139176073</v>
      </c>
      <c r="AQ158" s="9">
        <v>139176073</v>
      </c>
      <c r="AR158" s="9">
        <v>139176073</v>
      </c>
      <c r="AS158" s="9">
        <v>139176073</v>
      </c>
      <c r="AT158" s="9">
        <v>139176073</v>
      </c>
      <c r="AU158" s="9">
        <v>139176073</v>
      </c>
      <c r="AV158" s="9">
        <v>139176073</v>
      </c>
      <c r="AW158" s="9">
        <v>139176073</v>
      </c>
      <c r="AX158" s="9">
        <v>139176073</v>
      </c>
      <c r="AY158" s="9">
        <v>139176073</v>
      </c>
      <c r="AZ158" s="9">
        <v>139176073</v>
      </c>
      <c r="BA158" s="9">
        <v>139176073</v>
      </c>
      <c r="BB158" s="31">
        <v>139176073</v>
      </c>
      <c r="BC158" s="9">
        <v>171760244</v>
      </c>
      <c r="BD158" s="9">
        <v>171760244</v>
      </c>
      <c r="BE158" s="9">
        <v>171760244</v>
      </c>
      <c r="BF158" s="9">
        <v>171760244</v>
      </c>
      <c r="BG158" s="9">
        <v>171760244</v>
      </c>
      <c r="BH158" s="9">
        <v>171760244</v>
      </c>
      <c r="BI158" s="9">
        <v>171760244</v>
      </c>
      <c r="BJ158" s="9">
        <v>171760244</v>
      </c>
      <c r="BK158" s="9">
        <v>171760244</v>
      </c>
      <c r="BL158" s="9">
        <v>171760244</v>
      </c>
      <c r="BM158" s="9">
        <v>171760244</v>
      </c>
      <c r="BN158" s="9">
        <v>171760244</v>
      </c>
      <c r="BO158" s="31">
        <v>171760244</v>
      </c>
      <c r="BP158" s="9">
        <v>234561465</v>
      </c>
      <c r="BQ158" s="9">
        <v>234561465</v>
      </c>
      <c r="BR158" s="9">
        <v>234561465</v>
      </c>
      <c r="BS158" s="9">
        <v>234561465</v>
      </c>
      <c r="BT158" s="9">
        <v>234561465</v>
      </c>
      <c r="BU158" s="9">
        <v>234561465</v>
      </c>
      <c r="BV158" s="9">
        <v>234561465</v>
      </c>
      <c r="BW158" s="9">
        <v>234561465</v>
      </c>
      <c r="BX158" s="9">
        <v>234561465</v>
      </c>
      <c r="BY158" s="9">
        <v>234561465</v>
      </c>
      <c r="BZ158" s="9">
        <v>234561465</v>
      </c>
      <c r="CA158" s="9">
        <v>234561465</v>
      </c>
      <c r="CB158" s="31">
        <v>234561465</v>
      </c>
      <c r="CC158" s="9">
        <v>240782468</v>
      </c>
      <c r="CD158" s="9">
        <v>240782468</v>
      </c>
      <c r="CE158" s="9">
        <v>240782468</v>
      </c>
      <c r="CF158" s="9">
        <v>240782468</v>
      </c>
      <c r="CG158" s="9">
        <v>240782468</v>
      </c>
      <c r="CH158" s="9">
        <v>240782468</v>
      </c>
      <c r="CI158" s="9">
        <v>240782468</v>
      </c>
      <c r="CJ158" s="9">
        <v>240782468</v>
      </c>
      <c r="CK158" s="9">
        <v>240782468</v>
      </c>
      <c r="CL158" s="9">
        <v>240782468</v>
      </c>
      <c r="CM158" s="9">
        <v>240782468</v>
      </c>
      <c r="CN158" s="9">
        <v>240782468</v>
      </c>
      <c r="CO158" s="31">
        <v>240782468</v>
      </c>
      <c r="CP158" s="9">
        <v>259570845</v>
      </c>
      <c r="CQ158" s="9">
        <v>259570845</v>
      </c>
      <c r="CR158" s="9">
        <v>259570845</v>
      </c>
      <c r="CS158" s="9">
        <v>259570845</v>
      </c>
      <c r="CT158" s="9">
        <v>259570845</v>
      </c>
      <c r="CU158" s="9">
        <v>259570845</v>
      </c>
      <c r="CV158" s="9">
        <v>259570845</v>
      </c>
      <c r="CW158" s="9">
        <v>259570845</v>
      </c>
      <c r="CX158" s="9">
        <v>259570845</v>
      </c>
      <c r="CY158" s="9">
        <v>259570845</v>
      </c>
      <c r="CZ158" s="9">
        <v>259570845</v>
      </c>
      <c r="DA158" s="9">
        <v>259570845</v>
      </c>
      <c r="DB158" s="31">
        <v>259570845</v>
      </c>
      <c r="DC158" s="9">
        <v>229958421</v>
      </c>
      <c r="DD158" s="9">
        <v>229958421</v>
      </c>
      <c r="DE158" s="9">
        <v>229958421</v>
      </c>
      <c r="DF158" s="9">
        <v>229958421</v>
      </c>
      <c r="DG158" s="9">
        <v>229958421</v>
      </c>
      <c r="DH158" s="9">
        <v>229958421</v>
      </c>
      <c r="DI158" s="9">
        <v>229958421</v>
      </c>
      <c r="DJ158" s="9">
        <v>229958421</v>
      </c>
      <c r="DK158" s="9">
        <v>229958421</v>
      </c>
      <c r="DL158" s="9">
        <v>229958421</v>
      </c>
      <c r="DM158" s="9">
        <v>229958421</v>
      </c>
      <c r="DN158" s="9">
        <v>229958421</v>
      </c>
      <c r="DO158" s="31">
        <v>229958421</v>
      </c>
      <c r="DP158" s="9">
        <v>219835704</v>
      </c>
      <c r="DQ158" s="9">
        <v>219835704</v>
      </c>
      <c r="DR158" s="9">
        <v>219835704</v>
      </c>
      <c r="DS158" s="9">
        <v>219835704</v>
      </c>
      <c r="DT158" s="9">
        <v>219835704</v>
      </c>
      <c r="DU158" s="9">
        <v>219835704</v>
      </c>
      <c r="DV158" s="9">
        <v>219835704</v>
      </c>
      <c r="DW158" s="9">
        <v>219835704</v>
      </c>
      <c r="DX158" s="9">
        <v>219835704</v>
      </c>
      <c r="DY158" s="9">
        <v>219835704</v>
      </c>
      <c r="DZ158" s="9">
        <v>219835704</v>
      </c>
      <c r="EA158" s="9">
        <v>219835704</v>
      </c>
      <c r="EB158" s="31">
        <v>219835704</v>
      </c>
      <c r="EC158" s="9">
        <v>293321880</v>
      </c>
      <c r="ED158" s="9">
        <v>293321880</v>
      </c>
      <c r="EE158" s="9">
        <v>293321880</v>
      </c>
      <c r="EF158" s="9">
        <v>293321880</v>
      </c>
      <c r="EG158" s="9">
        <v>293321880</v>
      </c>
      <c r="EH158" s="9">
        <v>293321880</v>
      </c>
      <c r="EI158" s="9">
        <v>293321880</v>
      </c>
      <c r="EJ158" s="9">
        <v>293321880</v>
      </c>
      <c r="EK158" s="9">
        <v>293321880</v>
      </c>
      <c r="EL158" s="9">
        <v>293321880</v>
      </c>
      <c r="EM158" s="9">
        <v>293321880</v>
      </c>
      <c r="EN158" s="9">
        <v>293321880</v>
      </c>
      <c r="EO158" s="31">
        <v>293321880</v>
      </c>
      <c r="EP158" s="9">
        <v>339023824</v>
      </c>
      <c r="EQ158" s="9">
        <v>339023824</v>
      </c>
      <c r="ER158" s="9">
        <v>339023824</v>
      </c>
      <c r="ES158" s="9">
        <v>339023824</v>
      </c>
      <c r="ET158" s="9">
        <v>339023824</v>
      </c>
      <c r="EU158" s="9">
        <v>339023824</v>
      </c>
      <c r="EV158" s="9">
        <v>339023824</v>
      </c>
      <c r="EW158" s="9">
        <v>339023824</v>
      </c>
      <c r="EX158" s="9">
        <v>339023824</v>
      </c>
      <c r="EY158" s="9">
        <v>339023824</v>
      </c>
      <c r="EZ158" s="9">
        <v>339023824</v>
      </c>
      <c r="FA158" s="9">
        <v>339023824</v>
      </c>
      <c r="FB158" s="31">
        <v>339023824</v>
      </c>
      <c r="FC158" s="9">
        <v>343891426</v>
      </c>
      <c r="FD158" s="9">
        <v>343891426</v>
      </c>
      <c r="FE158" s="9">
        <v>343891426</v>
      </c>
      <c r="FF158" s="9">
        <v>343891426</v>
      </c>
      <c r="FG158" s="9">
        <v>343891426</v>
      </c>
      <c r="FH158" s="9">
        <v>343891426</v>
      </c>
      <c r="FI158" s="9">
        <v>343891426</v>
      </c>
      <c r="FJ158" s="9">
        <v>343891426</v>
      </c>
      <c r="FK158" s="9">
        <v>343891426</v>
      </c>
      <c r="FL158" s="9">
        <v>343891426</v>
      </c>
      <c r="FM158" s="9">
        <v>343891426</v>
      </c>
      <c r="FN158" s="9">
        <v>343891426</v>
      </c>
      <c r="FO158" s="31">
        <v>343891426</v>
      </c>
    </row>
    <row r="159" spans="2:171" x14ac:dyDescent="0.3">
      <c r="B159" s="7" t="s">
        <v>59</v>
      </c>
      <c r="C159" s="9">
        <v>61420590</v>
      </c>
      <c r="D159" s="9">
        <v>61420590</v>
      </c>
      <c r="E159" s="9">
        <v>61420590</v>
      </c>
      <c r="F159" s="9">
        <v>61420590</v>
      </c>
      <c r="G159" s="9">
        <v>61420590</v>
      </c>
      <c r="H159" s="9">
        <v>61420590</v>
      </c>
      <c r="I159" s="9">
        <v>61420590</v>
      </c>
      <c r="J159" s="9">
        <v>61420590</v>
      </c>
      <c r="K159" s="9">
        <v>61420590</v>
      </c>
      <c r="L159" s="9">
        <v>61420590</v>
      </c>
      <c r="M159" s="9">
        <v>61420590</v>
      </c>
      <c r="N159" s="9">
        <v>61420590</v>
      </c>
      <c r="O159" s="31">
        <v>61420590</v>
      </c>
      <c r="P159" s="9">
        <v>82525731</v>
      </c>
      <c r="Q159" s="9">
        <v>82525731</v>
      </c>
      <c r="R159" s="9">
        <v>82525731</v>
      </c>
      <c r="S159" s="9">
        <v>82525731</v>
      </c>
      <c r="T159" s="9">
        <v>82525731</v>
      </c>
      <c r="U159" s="9">
        <v>82525731</v>
      </c>
      <c r="V159" s="9">
        <v>82525731</v>
      </c>
      <c r="W159" s="9">
        <v>82525731</v>
      </c>
      <c r="X159" s="9">
        <v>82525731</v>
      </c>
      <c r="Y159" s="9">
        <v>82525731</v>
      </c>
      <c r="Z159" s="9">
        <v>82525731</v>
      </c>
      <c r="AA159" s="9">
        <v>82525731</v>
      </c>
      <c r="AB159" s="31">
        <v>82525731</v>
      </c>
      <c r="AC159" s="9">
        <v>89528181</v>
      </c>
      <c r="AD159" s="9">
        <v>89528181</v>
      </c>
      <c r="AE159" s="9">
        <v>89528181</v>
      </c>
      <c r="AF159" s="9">
        <v>89528181</v>
      </c>
      <c r="AG159" s="9">
        <v>89528181</v>
      </c>
      <c r="AH159" s="9">
        <v>89528181</v>
      </c>
      <c r="AI159" s="9">
        <v>89528181</v>
      </c>
      <c r="AJ159" s="9">
        <v>89528181</v>
      </c>
      <c r="AK159" s="9">
        <v>89528181</v>
      </c>
      <c r="AL159" s="9">
        <v>89528181</v>
      </c>
      <c r="AM159" s="9">
        <v>89528181</v>
      </c>
      <c r="AN159" s="9">
        <v>89528181</v>
      </c>
      <c r="AO159" s="31">
        <v>89528181</v>
      </c>
      <c r="AP159" s="9">
        <v>147639682</v>
      </c>
      <c r="AQ159" s="9">
        <v>147639682</v>
      </c>
      <c r="AR159" s="9">
        <v>147639682</v>
      </c>
      <c r="AS159" s="9">
        <v>147639682</v>
      </c>
      <c r="AT159" s="9">
        <v>147639682</v>
      </c>
      <c r="AU159" s="9">
        <v>147639682</v>
      </c>
      <c r="AV159" s="9">
        <v>147639682</v>
      </c>
      <c r="AW159" s="9">
        <v>147639682</v>
      </c>
      <c r="AX159" s="9">
        <v>147639682</v>
      </c>
      <c r="AY159" s="9">
        <v>147639682</v>
      </c>
      <c r="AZ159" s="9">
        <v>147639682</v>
      </c>
      <c r="BA159" s="9">
        <v>147639682</v>
      </c>
      <c r="BB159" s="31">
        <v>147639682</v>
      </c>
      <c r="BC159" s="9">
        <v>130924410</v>
      </c>
      <c r="BD159" s="9">
        <v>130924410</v>
      </c>
      <c r="BE159" s="9">
        <v>130924410</v>
      </c>
      <c r="BF159" s="9">
        <v>130924410</v>
      </c>
      <c r="BG159" s="9">
        <v>130924410</v>
      </c>
      <c r="BH159" s="9">
        <v>130924410</v>
      </c>
      <c r="BI159" s="9">
        <v>130924410</v>
      </c>
      <c r="BJ159" s="9">
        <v>130924410</v>
      </c>
      <c r="BK159" s="9">
        <v>130924410</v>
      </c>
      <c r="BL159" s="9">
        <v>130924410</v>
      </c>
      <c r="BM159" s="9">
        <v>130924410</v>
      </c>
      <c r="BN159" s="9">
        <v>130924410</v>
      </c>
      <c r="BO159" s="31">
        <v>130924410</v>
      </c>
      <c r="BP159" s="9">
        <v>156833864</v>
      </c>
      <c r="BQ159" s="9">
        <v>156833864</v>
      </c>
      <c r="BR159" s="9">
        <v>156833864</v>
      </c>
      <c r="BS159" s="9">
        <v>156833864</v>
      </c>
      <c r="BT159" s="9">
        <v>156833864</v>
      </c>
      <c r="BU159" s="9">
        <v>156833864</v>
      </c>
      <c r="BV159" s="9">
        <v>156833864</v>
      </c>
      <c r="BW159" s="9">
        <v>156833864</v>
      </c>
      <c r="BX159" s="9">
        <v>156833864</v>
      </c>
      <c r="BY159" s="9">
        <v>156833864</v>
      </c>
      <c r="BZ159" s="9">
        <v>156833864</v>
      </c>
      <c r="CA159" s="9">
        <v>156833864</v>
      </c>
      <c r="CB159" s="31">
        <v>156833864</v>
      </c>
      <c r="CC159" s="9">
        <v>161094550</v>
      </c>
      <c r="CD159" s="9">
        <v>161094550</v>
      </c>
      <c r="CE159" s="9">
        <v>161094550</v>
      </c>
      <c r="CF159" s="9">
        <v>161094550</v>
      </c>
      <c r="CG159" s="9">
        <v>161094550</v>
      </c>
      <c r="CH159" s="9">
        <v>161094550</v>
      </c>
      <c r="CI159" s="9">
        <v>161094550</v>
      </c>
      <c r="CJ159" s="9">
        <v>161094550</v>
      </c>
      <c r="CK159" s="9">
        <v>161094550</v>
      </c>
      <c r="CL159" s="9">
        <v>161094550</v>
      </c>
      <c r="CM159" s="9">
        <v>161094550</v>
      </c>
      <c r="CN159" s="9">
        <v>161094550</v>
      </c>
      <c r="CO159" s="31">
        <v>161094550</v>
      </c>
      <c r="CP159" s="9">
        <v>179860668</v>
      </c>
      <c r="CQ159" s="9">
        <v>179860668</v>
      </c>
      <c r="CR159" s="9">
        <v>179860668</v>
      </c>
      <c r="CS159" s="9">
        <v>179860668</v>
      </c>
      <c r="CT159" s="9">
        <v>179860668</v>
      </c>
      <c r="CU159" s="9">
        <v>179860668</v>
      </c>
      <c r="CV159" s="9">
        <v>179860668</v>
      </c>
      <c r="CW159" s="9">
        <v>179860668</v>
      </c>
      <c r="CX159" s="9">
        <v>179860668</v>
      </c>
      <c r="CY159" s="9">
        <v>179860668</v>
      </c>
      <c r="CZ159" s="9">
        <v>179860668</v>
      </c>
      <c r="DA159" s="9">
        <v>179860668</v>
      </c>
      <c r="DB159" s="31">
        <v>179860668</v>
      </c>
      <c r="DC159" s="9">
        <v>158633262</v>
      </c>
      <c r="DD159" s="9">
        <v>158633262</v>
      </c>
      <c r="DE159" s="9">
        <v>158633262</v>
      </c>
      <c r="DF159" s="9">
        <v>158633262</v>
      </c>
      <c r="DG159" s="9">
        <v>158633262</v>
      </c>
      <c r="DH159" s="9">
        <v>158633262</v>
      </c>
      <c r="DI159" s="9">
        <v>158633262</v>
      </c>
      <c r="DJ159" s="9">
        <v>158633262</v>
      </c>
      <c r="DK159" s="9">
        <v>158633262</v>
      </c>
      <c r="DL159" s="9">
        <v>158633262</v>
      </c>
      <c r="DM159" s="9">
        <v>158633262</v>
      </c>
      <c r="DN159" s="9">
        <v>158633262</v>
      </c>
      <c r="DO159" s="31">
        <v>158633262</v>
      </c>
      <c r="DP159" s="9">
        <v>194797448</v>
      </c>
      <c r="DQ159" s="9">
        <v>194797448</v>
      </c>
      <c r="DR159" s="9">
        <v>194797448</v>
      </c>
      <c r="DS159" s="9">
        <v>194797448</v>
      </c>
      <c r="DT159" s="9">
        <v>194797448</v>
      </c>
      <c r="DU159" s="9">
        <v>194797448</v>
      </c>
      <c r="DV159" s="9">
        <v>194797448</v>
      </c>
      <c r="DW159" s="9">
        <v>194797448</v>
      </c>
      <c r="DX159" s="9">
        <v>194797448</v>
      </c>
      <c r="DY159" s="9">
        <v>194797448</v>
      </c>
      <c r="DZ159" s="9">
        <v>194797448</v>
      </c>
      <c r="EA159" s="9">
        <v>194797448</v>
      </c>
      <c r="EB159" s="31">
        <v>194797448</v>
      </c>
      <c r="EC159" s="9">
        <v>249756619</v>
      </c>
      <c r="ED159" s="9">
        <v>249756619</v>
      </c>
      <c r="EE159" s="9">
        <v>249756619</v>
      </c>
      <c r="EF159" s="9">
        <v>249756619</v>
      </c>
      <c r="EG159" s="9">
        <v>249756619</v>
      </c>
      <c r="EH159" s="9">
        <v>249756619</v>
      </c>
      <c r="EI159" s="9">
        <v>249756619</v>
      </c>
      <c r="EJ159" s="9">
        <v>249756619</v>
      </c>
      <c r="EK159" s="9">
        <v>249756619</v>
      </c>
      <c r="EL159" s="9">
        <v>249756619</v>
      </c>
      <c r="EM159" s="9">
        <v>249756619</v>
      </c>
      <c r="EN159" s="9">
        <v>249756619</v>
      </c>
      <c r="EO159" s="31">
        <v>249756619</v>
      </c>
      <c r="EP159" s="9">
        <v>284310890</v>
      </c>
      <c r="EQ159" s="9">
        <v>284310890</v>
      </c>
      <c r="ER159" s="9">
        <v>284310890</v>
      </c>
      <c r="ES159" s="9">
        <v>284310890</v>
      </c>
      <c r="ET159" s="9">
        <v>284310890</v>
      </c>
      <c r="EU159" s="9">
        <v>284310890</v>
      </c>
      <c r="EV159" s="9">
        <v>284310890</v>
      </c>
      <c r="EW159" s="9">
        <v>284310890</v>
      </c>
      <c r="EX159" s="9">
        <v>284310890</v>
      </c>
      <c r="EY159" s="9">
        <v>284310890</v>
      </c>
      <c r="EZ159" s="9">
        <v>284310890</v>
      </c>
      <c r="FA159" s="9">
        <v>284310890</v>
      </c>
      <c r="FB159" s="31">
        <v>284310890</v>
      </c>
      <c r="FC159" s="9">
        <v>280082307</v>
      </c>
      <c r="FD159" s="9">
        <v>280082307</v>
      </c>
      <c r="FE159" s="9">
        <v>280082307</v>
      </c>
      <c r="FF159" s="9">
        <v>280082307</v>
      </c>
      <c r="FG159" s="9">
        <v>280082307</v>
      </c>
      <c r="FH159" s="9">
        <v>280082307</v>
      </c>
      <c r="FI159" s="9">
        <v>280082307</v>
      </c>
      <c r="FJ159" s="9">
        <v>280082307</v>
      </c>
      <c r="FK159" s="9">
        <v>280082307</v>
      </c>
      <c r="FL159" s="9">
        <v>280082307</v>
      </c>
      <c r="FM159" s="9">
        <v>280082307</v>
      </c>
      <c r="FN159" s="9">
        <v>280082307</v>
      </c>
      <c r="FO159" s="31">
        <v>280082307</v>
      </c>
    </row>
    <row r="160" spans="2:171" x14ac:dyDescent="0.3">
      <c r="B160" s="7" t="s">
        <v>60</v>
      </c>
      <c r="C160" s="9">
        <v>15846063</v>
      </c>
      <c r="D160" s="9">
        <v>15846063</v>
      </c>
      <c r="E160" s="9">
        <v>15846063</v>
      </c>
      <c r="F160" s="9">
        <v>15846063</v>
      </c>
      <c r="G160" s="9">
        <v>15846063</v>
      </c>
      <c r="H160" s="9">
        <v>15846063</v>
      </c>
      <c r="I160" s="9">
        <v>15846063</v>
      </c>
      <c r="J160" s="9">
        <v>15846063</v>
      </c>
      <c r="K160" s="9">
        <v>15846063</v>
      </c>
      <c r="L160" s="9">
        <v>15846063</v>
      </c>
      <c r="M160" s="9">
        <v>15846063</v>
      </c>
      <c r="N160" s="9">
        <v>15846063</v>
      </c>
      <c r="O160" s="31">
        <v>15846063</v>
      </c>
      <c r="P160" s="9">
        <v>28941296</v>
      </c>
      <c r="Q160" s="9">
        <v>28941296</v>
      </c>
      <c r="R160" s="9">
        <v>28941296</v>
      </c>
      <c r="S160" s="9">
        <v>28941296</v>
      </c>
      <c r="T160" s="9">
        <v>28941296</v>
      </c>
      <c r="U160" s="9">
        <v>28941296</v>
      </c>
      <c r="V160" s="9">
        <v>28941296</v>
      </c>
      <c r="W160" s="9">
        <v>28941296</v>
      </c>
      <c r="X160" s="9">
        <v>28941296</v>
      </c>
      <c r="Y160" s="9">
        <v>28941296</v>
      </c>
      <c r="Z160" s="9">
        <v>28941296</v>
      </c>
      <c r="AA160" s="9">
        <v>28941296</v>
      </c>
      <c r="AB160" s="31">
        <v>28941296</v>
      </c>
      <c r="AC160" s="9">
        <v>28819166</v>
      </c>
      <c r="AD160" s="9">
        <v>28819166</v>
      </c>
      <c r="AE160" s="9">
        <v>28819166</v>
      </c>
      <c r="AF160" s="9">
        <v>28819166</v>
      </c>
      <c r="AG160" s="9">
        <v>28819166</v>
      </c>
      <c r="AH160" s="9">
        <v>28819166</v>
      </c>
      <c r="AI160" s="9">
        <v>28819166</v>
      </c>
      <c r="AJ160" s="9">
        <v>28819166</v>
      </c>
      <c r="AK160" s="9">
        <v>28819166</v>
      </c>
      <c r="AL160" s="9">
        <v>28819166</v>
      </c>
      <c r="AM160" s="9">
        <v>28819166</v>
      </c>
      <c r="AN160" s="9">
        <v>28819166</v>
      </c>
      <c r="AO160" s="31">
        <v>28819166</v>
      </c>
      <c r="AP160" s="9">
        <v>31281722</v>
      </c>
      <c r="AQ160" s="9">
        <v>31281722</v>
      </c>
      <c r="AR160" s="9">
        <v>31281722</v>
      </c>
      <c r="AS160" s="9">
        <v>31281722</v>
      </c>
      <c r="AT160" s="9">
        <v>31281722</v>
      </c>
      <c r="AU160" s="9">
        <v>31281722</v>
      </c>
      <c r="AV160" s="9">
        <v>31281722</v>
      </c>
      <c r="AW160" s="9">
        <v>31281722</v>
      </c>
      <c r="AX160" s="9">
        <v>31281722</v>
      </c>
      <c r="AY160" s="9">
        <v>31281722</v>
      </c>
      <c r="AZ160" s="9">
        <v>31281722</v>
      </c>
      <c r="BA160" s="9">
        <v>31281722</v>
      </c>
      <c r="BB160" s="31">
        <v>31281722</v>
      </c>
      <c r="BC160" s="9">
        <v>37842546</v>
      </c>
      <c r="BD160" s="9">
        <v>37842546</v>
      </c>
      <c r="BE160" s="9">
        <v>37842546</v>
      </c>
      <c r="BF160" s="9">
        <v>37842546</v>
      </c>
      <c r="BG160" s="9">
        <v>37842546</v>
      </c>
      <c r="BH160" s="9">
        <v>37842546</v>
      </c>
      <c r="BI160" s="9">
        <v>37842546</v>
      </c>
      <c r="BJ160" s="9">
        <v>37842546</v>
      </c>
      <c r="BK160" s="9">
        <v>37842546</v>
      </c>
      <c r="BL160" s="9">
        <v>37842546</v>
      </c>
      <c r="BM160" s="9">
        <v>37842546</v>
      </c>
      <c r="BN160" s="9">
        <v>37842546</v>
      </c>
      <c r="BO160" s="31">
        <v>37842546</v>
      </c>
      <c r="BP160" s="9">
        <v>49795685</v>
      </c>
      <c r="BQ160" s="9">
        <v>49795685</v>
      </c>
      <c r="BR160" s="9">
        <v>49795685</v>
      </c>
      <c r="BS160" s="9">
        <v>49795685</v>
      </c>
      <c r="BT160" s="9">
        <v>49795685</v>
      </c>
      <c r="BU160" s="9">
        <v>49795685</v>
      </c>
      <c r="BV160" s="9">
        <v>49795685</v>
      </c>
      <c r="BW160" s="9">
        <v>49795685</v>
      </c>
      <c r="BX160" s="9">
        <v>49795685</v>
      </c>
      <c r="BY160" s="9">
        <v>49795685</v>
      </c>
      <c r="BZ160" s="9">
        <v>49795685</v>
      </c>
      <c r="CA160" s="9">
        <v>49795685</v>
      </c>
      <c r="CB160" s="31">
        <v>49795685</v>
      </c>
      <c r="CC160" s="9">
        <v>51178300</v>
      </c>
      <c r="CD160" s="9">
        <v>51178300</v>
      </c>
      <c r="CE160" s="9">
        <v>51178300</v>
      </c>
      <c r="CF160" s="9">
        <v>51178300</v>
      </c>
      <c r="CG160" s="9">
        <v>51178300</v>
      </c>
      <c r="CH160" s="9">
        <v>51178300</v>
      </c>
      <c r="CI160" s="9">
        <v>51178300</v>
      </c>
      <c r="CJ160" s="9">
        <v>51178300</v>
      </c>
      <c r="CK160" s="9">
        <v>51178300</v>
      </c>
      <c r="CL160" s="9">
        <v>51178300</v>
      </c>
      <c r="CM160" s="9">
        <v>51178300</v>
      </c>
      <c r="CN160" s="9">
        <v>51178300</v>
      </c>
      <c r="CO160" s="31">
        <v>51178300</v>
      </c>
      <c r="CP160" s="9">
        <v>54674637</v>
      </c>
      <c r="CQ160" s="9">
        <v>54674637</v>
      </c>
      <c r="CR160" s="9">
        <v>54674637</v>
      </c>
      <c r="CS160" s="9">
        <v>54674637</v>
      </c>
      <c r="CT160" s="9">
        <v>54674637</v>
      </c>
      <c r="CU160" s="9">
        <v>54674637</v>
      </c>
      <c r="CV160" s="9">
        <v>54674637</v>
      </c>
      <c r="CW160" s="9">
        <v>54674637</v>
      </c>
      <c r="CX160" s="9">
        <v>54674637</v>
      </c>
      <c r="CY160" s="9">
        <v>54674637</v>
      </c>
      <c r="CZ160" s="9">
        <v>54674637</v>
      </c>
      <c r="DA160" s="9">
        <v>54674637</v>
      </c>
      <c r="DB160" s="31">
        <v>54674637</v>
      </c>
      <c r="DC160" s="9">
        <v>65122616</v>
      </c>
      <c r="DD160" s="9">
        <v>65122616</v>
      </c>
      <c r="DE160" s="9">
        <v>65122616</v>
      </c>
      <c r="DF160" s="9">
        <v>65122616</v>
      </c>
      <c r="DG160" s="9">
        <v>65122616</v>
      </c>
      <c r="DH160" s="9">
        <v>65122616</v>
      </c>
      <c r="DI160" s="9">
        <v>65122616</v>
      </c>
      <c r="DJ160" s="9">
        <v>65122616</v>
      </c>
      <c r="DK160" s="9">
        <v>65122616</v>
      </c>
      <c r="DL160" s="9">
        <v>65122616</v>
      </c>
      <c r="DM160" s="9">
        <v>65122616</v>
      </c>
      <c r="DN160" s="9">
        <v>65122616</v>
      </c>
      <c r="DO160" s="31">
        <v>65122616</v>
      </c>
      <c r="DP160" s="9">
        <v>71702362</v>
      </c>
      <c r="DQ160" s="9">
        <v>71702362</v>
      </c>
      <c r="DR160" s="9">
        <v>71702362</v>
      </c>
      <c r="DS160" s="9">
        <v>71702362</v>
      </c>
      <c r="DT160" s="9">
        <v>71702362</v>
      </c>
      <c r="DU160" s="9">
        <v>71702362</v>
      </c>
      <c r="DV160" s="9">
        <v>71702362</v>
      </c>
      <c r="DW160" s="9">
        <v>71702362</v>
      </c>
      <c r="DX160" s="9">
        <v>71702362</v>
      </c>
      <c r="DY160" s="9">
        <v>71702362</v>
      </c>
      <c r="DZ160" s="9">
        <v>71702362</v>
      </c>
      <c r="EA160" s="9">
        <v>71702362</v>
      </c>
      <c r="EB160" s="31">
        <v>71702362</v>
      </c>
      <c r="EC160" s="9">
        <v>85120131</v>
      </c>
      <c r="ED160" s="9">
        <v>85120131</v>
      </c>
      <c r="EE160" s="9">
        <v>85120131</v>
      </c>
      <c r="EF160" s="9">
        <v>85120131</v>
      </c>
      <c r="EG160" s="9">
        <v>85120131</v>
      </c>
      <c r="EH160" s="9">
        <v>85120131</v>
      </c>
      <c r="EI160" s="9">
        <v>85120131</v>
      </c>
      <c r="EJ160" s="9">
        <v>85120131</v>
      </c>
      <c r="EK160" s="9">
        <v>85120131</v>
      </c>
      <c r="EL160" s="9">
        <v>85120131</v>
      </c>
      <c r="EM160" s="9">
        <v>85120131</v>
      </c>
      <c r="EN160" s="9">
        <v>85120131</v>
      </c>
      <c r="EO160" s="31">
        <v>85120131</v>
      </c>
      <c r="EP160" s="9">
        <v>105212754</v>
      </c>
      <c r="EQ160" s="9">
        <v>105212754</v>
      </c>
      <c r="ER160" s="9">
        <v>105212754</v>
      </c>
      <c r="ES160" s="9">
        <v>105212754</v>
      </c>
      <c r="ET160" s="9">
        <v>105212754</v>
      </c>
      <c r="EU160" s="9">
        <v>105212754</v>
      </c>
      <c r="EV160" s="9">
        <v>105212754</v>
      </c>
      <c r="EW160" s="9">
        <v>105212754</v>
      </c>
      <c r="EX160" s="9">
        <v>105212754</v>
      </c>
      <c r="EY160" s="9">
        <v>105212754</v>
      </c>
      <c r="EZ160" s="9">
        <v>105212754</v>
      </c>
      <c r="FA160" s="9">
        <v>105212754</v>
      </c>
      <c r="FB160" s="31">
        <v>105212754</v>
      </c>
      <c r="FC160" s="9">
        <v>84118714</v>
      </c>
      <c r="FD160" s="9">
        <v>84118714</v>
      </c>
      <c r="FE160" s="9">
        <v>84118714</v>
      </c>
      <c r="FF160" s="9">
        <v>84118714</v>
      </c>
      <c r="FG160" s="9">
        <v>84118714</v>
      </c>
      <c r="FH160" s="9">
        <v>84118714</v>
      </c>
      <c r="FI160" s="9">
        <v>84118714</v>
      </c>
      <c r="FJ160" s="9">
        <v>84118714</v>
      </c>
      <c r="FK160" s="9">
        <v>84118714</v>
      </c>
      <c r="FL160" s="9">
        <v>84118714</v>
      </c>
      <c r="FM160" s="9">
        <v>84118714</v>
      </c>
      <c r="FN160" s="9">
        <v>84118714</v>
      </c>
      <c r="FO160" s="31">
        <v>84118714</v>
      </c>
    </row>
    <row r="161" spans="2:171" x14ac:dyDescent="0.3">
      <c r="B161" s="7" t="s">
        <v>61</v>
      </c>
      <c r="C161" s="9">
        <v>28678013</v>
      </c>
      <c r="D161" s="9">
        <v>28678013</v>
      </c>
      <c r="E161" s="9">
        <v>28678013</v>
      </c>
      <c r="F161" s="9">
        <v>28678013</v>
      </c>
      <c r="G161" s="9">
        <v>28678013</v>
      </c>
      <c r="H161" s="9">
        <v>28678013</v>
      </c>
      <c r="I161" s="9">
        <v>28678013</v>
      </c>
      <c r="J161" s="9">
        <v>28678013</v>
      </c>
      <c r="K161" s="9">
        <v>28678013</v>
      </c>
      <c r="L161" s="9">
        <v>28678013</v>
      </c>
      <c r="M161" s="9">
        <v>28678013</v>
      </c>
      <c r="N161" s="9">
        <v>28678013</v>
      </c>
      <c r="O161" s="31">
        <v>28678013</v>
      </c>
      <c r="P161" s="9">
        <v>60178299</v>
      </c>
      <c r="Q161" s="9">
        <v>60178299</v>
      </c>
      <c r="R161" s="9">
        <v>60178299</v>
      </c>
      <c r="S161" s="9">
        <v>60178299</v>
      </c>
      <c r="T161" s="9">
        <v>60178299</v>
      </c>
      <c r="U161" s="9">
        <v>60178299</v>
      </c>
      <c r="V161" s="9">
        <v>60178299</v>
      </c>
      <c r="W161" s="9">
        <v>60178299</v>
      </c>
      <c r="X161" s="9">
        <v>60178299</v>
      </c>
      <c r="Y161" s="9">
        <v>60178299</v>
      </c>
      <c r="Z161" s="9">
        <v>60178299</v>
      </c>
      <c r="AA161" s="9">
        <v>60178299</v>
      </c>
      <c r="AB161" s="31">
        <v>60178299</v>
      </c>
      <c r="AC161" s="9">
        <v>64727693</v>
      </c>
      <c r="AD161" s="9">
        <v>64727693</v>
      </c>
      <c r="AE161" s="9">
        <v>64727693</v>
      </c>
      <c r="AF161" s="9">
        <v>64727693</v>
      </c>
      <c r="AG161" s="9">
        <v>64727693</v>
      </c>
      <c r="AH161" s="9">
        <v>64727693</v>
      </c>
      <c r="AI161" s="9">
        <v>64727693</v>
      </c>
      <c r="AJ161" s="9">
        <v>64727693</v>
      </c>
      <c r="AK161" s="9">
        <v>64727693</v>
      </c>
      <c r="AL161" s="9">
        <v>64727693</v>
      </c>
      <c r="AM161" s="9">
        <v>64727693</v>
      </c>
      <c r="AN161" s="9">
        <v>64727693</v>
      </c>
      <c r="AO161" s="31">
        <v>64727693</v>
      </c>
      <c r="AP161" s="9">
        <v>83457399</v>
      </c>
      <c r="AQ161" s="9">
        <v>83457399</v>
      </c>
      <c r="AR161" s="9">
        <v>83457399</v>
      </c>
      <c r="AS161" s="9">
        <v>83457399</v>
      </c>
      <c r="AT161" s="9">
        <v>83457399</v>
      </c>
      <c r="AU161" s="9">
        <v>83457399</v>
      </c>
      <c r="AV161" s="9">
        <v>83457399</v>
      </c>
      <c r="AW161" s="9">
        <v>83457399</v>
      </c>
      <c r="AX161" s="9">
        <v>83457399</v>
      </c>
      <c r="AY161" s="9">
        <v>83457399</v>
      </c>
      <c r="AZ161" s="9">
        <v>83457399</v>
      </c>
      <c r="BA161" s="9">
        <v>83457399</v>
      </c>
      <c r="BB161" s="31">
        <v>83457399</v>
      </c>
      <c r="BC161" s="9">
        <v>63406388</v>
      </c>
      <c r="BD161" s="9">
        <v>63406388</v>
      </c>
      <c r="BE161" s="9">
        <v>63406388</v>
      </c>
      <c r="BF161" s="9">
        <v>63406388</v>
      </c>
      <c r="BG161" s="9">
        <v>63406388</v>
      </c>
      <c r="BH161" s="9">
        <v>63406388</v>
      </c>
      <c r="BI161" s="9">
        <v>63406388</v>
      </c>
      <c r="BJ161" s="9">
        <v>63406388</v>
      </c>
      <c r="BK161" s="9">
        <v>63406388</v>
      </c>
      <c r="BL161" s="9">
        <v>63406388</v>
      </c>
      <c r="BM161" s="9">
        <v>63406388</v>
      </c>
      <c r="BN161" s="9">
        <v>63406388</v>
      </c>
      <c r="BO161" s="31">
        <v>63406388</v>
      </c>
      <c r="BP161" s="9">
        <v>101293565</v>
      </c>
      <c r="BQ161" s="9">
        <v>101293565</v>
      </c>
      <c r="BR161" s="9">
        <v>101293565</v>
      </c>
      <c r="BS161" s="9">
        <v>101293565</v>
      </c>
      <c r="BT161" s="9">
        <v>101293565</v>
      </c>
      <c r="BU161" s="9">
        <v>101293565</v>
      </c>
      <c r="BV161" s="9">
        <v>101293565</v>
      </c>
      <c r="BW161" s="9">
        <v>101293565</v>
      </c>
      <c r="BX161" s="9">
        <v>101293565</v>
      </c>
      <c r="BY161" s="9">
        <v>101293565</v>
      </c>
      <c r="BZ161" s="9">
        <v>101293565</v>
      </c>
      <c r="CA161" s="9">
        <v>101293565</v>
      </c>
      <c r="CB161" s="31">
        <v>101293565</v>
      </c>
      <c r="CC161" s="9">
        <v>104020101</v>
      </c>
      <c r="CD161" s="9">
        <v>104020101</v>
      </c>
      <c r="CE161" s="9">
        <v>104020101</v>
      </c>
      <c r="CF161" s="9">
        <v>104020101</v>
      </c>
      <c r="CG161" s="9">
        <v>104020101</v>
      </c>
      <c r="CH161" s="9">
        <v>104020101</v>
      </c>
      <c r="CI161" s="9">
        <v>104020101</v>
      </c>
      <c r="CJ161" s="9">
        <v>104020101</v>
      </c>
      <c r="CK161" s="9">
        <v>104020101</v>
      </c>
      <c r="CL161" s="9">
        <v>104020101</v>
      </c>
      <c r="CM161" s="9">
        <v>104020101</v>
      </c>
      <c r="CN161" s="9">
        <v>104020101</v>
      </c>
      <c r="CO161" s="31">
        <v>104020101</v>
      </c>
      <c r="CP161" s="9">
        <v>110753672</v>
      </c>
      <c r="CQ161" s="9">
        <v>110753672</v>
      </c>
      <c r="CR161" s="9">
        <v>110753672</v>
      </c>
      <c r="CS161" s="9">
        <v>110753672</v>
      </c>
      <c r="CT161" s="9">
        <v>110753672</v>
      </c>
      <c r="CU161" s="9">
        <v>110753672</v>
      </c>
      <c r="CV161" s="9">
        <v>110753672</v>
      </c>
      <c r="CW161" s="9">
        <v>110753672</v>
      </c>
      <c r="CX161" s="9">
        <v>110753672</v>
      </c>
      <c r="CY161" s="9">
        <v>110753672</v>
      </c>
      <c r="CZ161" s="9">
        <v>110753672</v>
      </c>
      <c r="DA161" s="9">
        <v>110753672</v>
      </c>
      <c r="DB161" s="31">
        <v>110753672</v>
      </c>
      <c r="DC161" s="9">
        <v>107124855</v>
      </c>
      <c r="DD161" s="9">
        <v>107124855</v>
      </c>
      <c r="DE161" s="9">
        <v>107124855</v>
      </c>
      <c r="DF161" s="9">
        <v>107124855</v>
      </c>
      <c r="DG161" s="9">
        <v>107124855</v>
      </c>
      <c r="DH161" s="9">
        <v>107124855</v>
      </c>
      <c r="DI161" s="9">
        <v>107124855</v>
      </c>
      <c r="DJ161" s="9">
        <v>107124855</v>
      </c>
      <c r="DK161" s="9">
        <v>107124855</v>
      </c>
      <c r="DL161" s="9">
        <v>107124855</v>
      </c>
      <c r="DM161" s="9">
        <v>107124855</v>
      </c>
      <c r="DN161" s="9">
        <v>107124855</v>
      </c>
      <c r="DO161" s="31">
        <v>107124855</v>
      </c>
      <c r="DP161" s="9">
        <v>132146653</v>
      </c>
      <c r="DQ161" s="9">
        <v>132146653</v>
      </c>
      <c r="DR161" s="9">
        <v>132146653</v>
      </c>
      <c r="DS161" s="9">
        <v>132146653</v>
      </c>
      <c r="DT161" s="9">
        <v>132146653</v>
      </c>
      <c r="DU161" s="9">
        <v>132146653</v>
      </c>
      <c r="DV161" s="9">
        <v>132146653</v>
      </c>
      <c r="DW161" s="9">
        <v>132146653</v>
      </c>
      <c r="DX161" s="9">
        <v>132146653</v>
      </c>
      <c r="DY161" s="9">
        <v>132146653</v>
      </c>
      <c r="DZ161" s="9">
        <v>132146653</v>
      </c>
      <c r="EA161" s="9">
        <v>132146653</v>
      </c>
      <c r="EB161" s="31">
        <v>132146653</v>
      </c>
      <c r="EC161" s="9">
        <v>153857890</v>
      </c>
      <c r="ED161" s="9">
        <v>153857890</v>
      </c>
      <c r="EE161" s="9">
        <v>153857890</v>
      </c>
      <c r="EF161" s="9">
        <v>153857890</v>
      </c>
      <c r="EG161" s="9">
        <v>153857890</v>
      </c>
      <c r="EH161" s="9">
        <v>153857890</v>
      </c>
      <c r="EI161" s="9">
        <v>153857890</v>
      </c>
      <c r="EJ161" s="9">
        <v>153857890</v>
      </c>
      <c r="EK161" s="9">
        <v>153857890</v>
      </c>
      <c r="EL161" s="9">
        <v>153857890</v>
      </c>
      <c r="EM161" s="9">
        <v>153857890</v>
      </c>
      <c r="EN161" s="9">
        <v>153857890</v>
      </c>
      <c r="EO161" s="31">
        <v>153857890</v>
      </c>
      <c r="EP161" s="9">
        <v>204729212</v>
      </c>
      <c r="EQ161" s="9">
        <v>204729212</v>
      </c>
      <c r="ER161" s="9">
        <v>204729212</v>
      </c>
      <c r="ES161" s="9">
        <v>204729212</v>
      </c>
      <c r="ET161" s="9">
        <v>204729212</v>
      </c>
      <c r="EU161" s="9">
        <v>204729212</v>
      </c>
      <c r="EV161" s="9">
        <v>204729212</v>
      </c>
      <c r="EW161" s="9">
        <v>204729212</v>
      </c>
      <c r="EX161" s="9">
        <v>204729212</v>
      </c>
      <c r="EY161" s="9">
        <v>204729212</v>
      </c>
      <c r="EZ161" s="9">
        <v>204729212</v>
      </c>
      <c r="FA161" s="9">
        <v>204729212</v>
      </c>
      <c r="FB161" s="31">
        <v>204729212</v>
      </c>
      <c r="FC161" s="9">
        <v>253550567</v>
      </c>
      <c r="FD161" s="9">
        <v>253550567</v>
      </c>
      <c r="FE161" s="9">
        <v>253550567</v>
      </c>
      <c r="FF161" s="9">
        <v>253550567</v>
      </c>
      <c r="FG161" s="9">
        <v>253550567</v>
      </c>
      <c r="FH161" s="9">
        <v>253550567</v>
      </c>
      <c r="FI161" s="9">
        <v>253550567</v>
      </c>
      <c r="FJ161" s="9">
        <v>253550567</v>
      </c>
      <c r="FK161" s="9">
        <v>253550567</v>
      </c>
      <c r="FL161" s="9">
        <v>253550567</v>
      </c>
      <c r="FM161" s="9">
        <v>253550567</v>
      </c>
      <c r="FN161" s="9">
        <v>253550567</v>
      </c>
      <c r="FO161" s="31">
        <v>253550567</v>
      </c>
    </row>
    <row r="162" spans="2:171" x14ac:dyDescent="0.3">
      <c r="B162" s="7" t="s">
        <v>62</v>
      </c>
      <c r="C162" s="9">
        <v>12192340</v>
      </c>
      <c r="D162" s="9">
        <v>12192340</v>
      </c>
      <c r="E162" s="9">
        <v>12192340</v>
      </c>
      <c r="F162" s="9">
        <v>12192340</v>
      </c>
      <c r="G162" s="9">
        <v>12192340</v>
      </c>
      <c r="H162" s="9">
        <v>12192340</v>
      </c>
      <c r="I162" s="9">
        <v>12192340</v>
      </c>
      <c r="J162" s="9">
        <v>12192340</v>
      </c>
      <c r="K162" s="9">
        <v>12192340</v>
      </c>
      <c r="L162" s="9">
        <v>12192340</v>
      </c>
      <c r="M162" s="9">
        <v>12192340</v>
      </c>
      <c r="N162" s="9">
        <v>12192340</v>
      </c>
      <c r="O162" s="31">
        <v>12192340</v>
      </c>
      <c r="P162" s="9">
        <v>15881494</v>
      </c>
      <c r="Q162" s="9">
        <v>15881494</v>
      </c>
      <c r="R162" s="9">
        <v>15881494</v>
      </c>
      <c r="S162" s="9">
        <v>15881494</v>
      </c>
      <c r="T162" s="9">
        <v>15881494</v>
      </c>
      <c r="U162" s="9">
        <v>15881494</v>
      </c>
      <c r="V162" s="9">
        <v>15881494</v>
      </c>
      <c r="W162" s="9">
        <v>15881494</v>
      </c>
      <c r="X162" s="9">
        <v>15881494</v>
      </c>
      <c r="Y162" s="9">
        <v>15881494</v>
      </c>
      <c r="Z162" s="9">
        <v>15881494</v>
      </c>
      <c r="AA162" s="9">
        <v>15881494</v>
      </c>
      <c r="AB162" s="31">
        <v>15881494</v>
      </c>
      <c r="AC162" s="9">
        <v>13488471</v>
      </c>
      <c r="AD162" s="9">
        <v>13488471</v>
      </c>
      <c r="AE162" s="9">
        <v>13488471</v>
      </c>
      <c r="AF162" s="9">
        <v>13488471</v>
      </c>
      <c r="AG162" s="9">
        <v>13488471</v>
      </c>
      <c r="AH162" s="9">
        <v>13488471</v>
      </c>
      <c r="AI162" s="9">
        <v>13488471</v>
      </c>
      <c r="AJ162" s="9">
        <v>13488471</v>
      </c>
      <c r="AK162" s="9">
        <v>13488471</v>
      </c>
      <c r="AL162" s="9">
        <v>13488471</v>
      </c>
      <c r="AM162" s="9">
        <v>13488471</v>
      </c>
      <c r="AN162" s="9">
        <v>13488471</v>
      </c>
      <c r="AO162" s="31">
        <v>13488471</v>
      </c>
      <c r="AP162" s="9">
        <v>20553941</v>
      </c>
      <c r="AQ162" s="9">
        <v>20553941</v>
      </c>
      <c r="AR162" s="9">
        <v>20553941</v>
      </c>
      <c r="AS162" s="9">
        <v>20553941</v>
      </c>
      <c r="AT162" s="9">
        <v>20553941</v>
      </c>
      <c r="AU162" s="9">
        <v>20553941</v>
      </c>
      <c r="AV162" s="9">
        <v>20553941</v>
      </c>
      <c r="AW162" s="9">
        <v>20553941</v>
      </c>
      <c r="AX162" s="9">
        <v>20553941</v>
      </c>
      <c r="AY162" s="9">
        <v>20553941</v>
      </c>
      <c r="AZ162" s="9">
        <v>20553941</v>
      </c>
      <c r="BA162" s="9">
        <v>20553941</v>
      </c>
      <c r="BB162" s="31">
        <v>20553941</v>
      </c>
      <c r="BC162" s="9">
        <v>14998026</v>
      </c>
      <c r="BD162" s="9">
        <v>14998026</v>
      </c>
      <c r="BE162" s="9">
        <v>14998026</v>
      </c>
      <c r="BF162" s="9">
        <v>14998026</v>
      </c>
      <c r="BG162" s="9">
        <v>14998026</v>
      </c>
      <c r="BH162" s="9">
        <v>14998026</v>
      </c>
      <c r="BI162" s="9">
        <v>14998026</v>
      </c>
      <c r="BJ162" s="9">
        <v>14998026</v>
      </c>
      <c r="BK162" s="9">
        <v>14998026</v>
      </c>
      <c r="BL162" s="9">
        <v>14998026</v>
      </c>
      <c r="BM162" s="9">
        <v>14998026</v>
      </c>
      <c r="BN162" s="9">
        <v>14998026</v>
      </c>
      <c r="BO162" s="31">
        <v>14998026</v>
      </c>
      <c r="BP162" s="9">
        <v>17552312</v>
      </c>
      <c r="BQ162" s="9">
        <v>17552312</v>
      </c>
      <c r="BR162" s="9">
        <v>17552312</v>
      </c>
      <c r="BS162" s="9">
        <v>17552312</v>
      </c>
      <c r="BT162" s="9">
        <v>17552312</v>
      </c>
      <c r="BU162" s="9">
        <v>17552312</v>
      </c>
      <c r="BV162" s="9">
        <v>17552312</v>
      </c>
      <c r="BW162" s="9">
        <v>17552312</v>
      </c>
      <c r="BX162" s="9">
        <v>17552312</v>
      </c>
      <c r="BY162" s="9">
        <v>17552312</v>
      </c>
      <c r="BZ162" s="9">
        <v>17552312</v>
      </c>
      <c r="CA162" s="9">
        <v>17552312</v>
      </c>
      <c r="CB162" s="31">
        <v>17552312</v>
      </c>
      <c r="CC162" s="9">
        <v>18038079</v>
      </c>
      <c r="CD162" s="9">
        <v>18038079</v>
      </c>
      <c r="CE162" s="9">
        <v>18038079</v>
      </c>
      <c r="CF162" s="9">
        <v>18038079</v>
      </c>
      <c r="CG162" s="9">
        <v>18038079</v>
      </c>
      <c r="CH162" s="9">
        <v>18038079</v>
      </c>
      <c r="CI162" s="9">
        <v>18038079</v>
      </c>
      <c r="CJ162" s="9">
        <v>18038079</v>
      </c>
      <c r="CK162" s="9">
        <v>18038079</v>
      </c>
      <c r="CL162" s="9">
        <v>18038079</v>
      </c>
      <c r="CM162" s="9">
        <v>18038079</v>
      </c>
      <c r="CN162" s="9">
        <v>18038079</v>
      </c>
      <c r="CO162" s="31">
        <v>18038079</v>
      </c>
      <c r="CP162" s="9">
        <v>20751066</v>
      </c>
      <c r="CQ162" s="9">
        <v>20751066</v>
      </c>
      <c r="CR162" s="9">
        <v>20751066</v>
      </c>
      <c r="CS162" s="9">
        <v>20751066</v>
      </c>
      <c r="CT162" s="9">
        <v>20751066</v>
      </c>
      <c r="CU162" s="9">
        <v>20751066</v>
      </c>
      <c r="CV162" s="9">
        <v>20751066</v>
      </c>
      <c r="CW162" s="9">
        <v>20751066</v>
      </c>
      <c r="CX162" s="9">
        <v>20751066</v>
      </c>
      <c r="CY162" s="9">
        <v>20751066</v>
      </c>
      <c r="CZ162" s="9">
        <v>20751066</v>
      </c>
      <c r="DA162" s="9">
        <v>20751066</v>
      </c>
      <c r="DB162" s="31">
        <v>20751066</v>
      </c>
      <c r="DC162" s="9">
        <v>28166564</v>
      </c>
      <c r="DD162" s="9">
        <v>28166564</v>
      </c>
      <c r="DE162" s="9">
        <v>28166564</v>
      </c>
      <c r="DF162" s="9">
        <v>28166564</v>
      </c>
      <c r="DG162" s="9">
        <v>28166564</v>
      </c>
      <c r="DH162" s="9">
        <v>28166564</v>
      </c>
      <c r="DI162" s="9">
        <v>28166564</v>
      </c>
      <c r="DJ162" s="9">
        <v>28166564</v>
      </c>
      <c r="DK162" s="9">
        <v>28166564</v>
      </c>
      <c r="DL162" s="9">
        <v>28166564</v>
      </c>
      <c r="DM162" s="9">
        <v>28166564</v>
      </c>
      <c r="DN162" s="9">
        <v>28166564</v>
      </c>
      <c r="DO162" s="31">
        <v>28166564</v>
      </c>
      <c r="DP162" s="9">
        <v>52334886</v>
      </c>
      <c r="DQ162" s="9">
        <v>52334886</v>
      </c>
      <c r="DR162" s="9">
        <v>52334886</v>
      </c>
      <c r="DS162" s="9">
        <v>52334886</v>
      </c>
      <c r="DT162" s="9">
        <v>52334886</v>
      </c>
      <c r="DU162" s="9">
        <v>52334886</v>
      </c>
      <c r="DV162" s="9">
        <v>52334886</v>
      </c>
      <c r="DW162" s="9">
        <v>52334886</v>
      </c>
      <c r="DX162" s="9">
        <v>52334886</v>
      </c>
      <c r="DY162" s="9">
        <v>52334886</v>
      </c>
      <c r="DZ162" s="9">
        <v>52334886</v>
      </c>
      <c r="EA162" s="9">
        <v>52334886</v>
      </c>
      <c r="EB162" s="31">
        <v>52334886</v>
      </c>
      <c r="EC162" s="9">
        <v>33487034</v>
      </c>
      <c r="ED162" s="9">
        <v>33487034</v>
      </c>
      <c r="EE162" s="9">
        <v>33487034</v>
      </c>
      <c r="EF162" s="9">
        <v>33487034</v>
      </c>
      <c r="EG162" s="9">
        <v>33487034</v>
      </c>
      <c r="EH162" s="9">
        <v>33487034</v>
      </c>
      <c r="EI162" s="9">
        <v>33487034</v>
      </c>
      <c r="EJ162" s="9">
        <v>33487034</v>
      </c>
      <c r="EK162" s="9">
        <v>33487034</v>
      </c>
      <c r="EL162" s="9">
        <v>33487034</v>
      </c>
      <c r="EM162" s="9">
        <v>33487034</v>
      </c>
      <c r="EN162" s="9">
        <v>33487034</v>
      </c>
      <c r="EO162" s="31">
        <v>33487034</v>
      </c>
      <c r="EP162" s="9">
        <v>62332384</v>
      </c>
      <c r="EQ162" s="9">
        <v>62332384</v>
      </c>
      <c r="ER162" s="9">
        <v>62332384</v>
      </c>
      <c r="ES162" s="9">
        <v>62332384</v>
      </c>
      <c r="ET162" s="9">
        <v>62332384</v>
      </c>
      <c r="EU162" s="9">
        <v>62332384</v>
      </c>
      <c r="EV162" s="9">
        <v>62332384</v>
      </c>
      <c r="EW162" s="9">
        <v>62332384</v>
      </c>
      <c r="EX162" s="9">
        <v>62332384</v>
      </c>
      <c r="EY162" s="9">
        <v>62332384</v>
      </c>
      <c r="EZ162" s="9">
        <v>62332384</v>
      </c>
      <c r="FA162" s="9">
        <v>62332384</v>
      </c>
      <c r="FB162" s="31">
        <v>62332384</v>
      </c>
      <c r="FC162" s="9">
        <v>52358707</v>
      </c>
      <c r="FD162" s="9">
        <v>52358707</v>
      </c>
      <c r="FE162" s="9">
        <v>52358707</v>
      </c>
      <c r="FF162" s="9">
        <v>52358707</v>
      </c>
      <c r="FG162" s="9">
        <v>52358707</v>
      </c>
      <c r="FH162" s="9">
        <v>52358707</v>
      </c>
      <c r="FI162" s="9">
        <v>52358707</v>
      </c>
      <c r="FJ162" s="9">
        <v>52358707</v>
      </c>
      <c r="FK162" s="9">
        <v>52358707</v>
      </c>
      <c r="FL162" s="9">
        <v>52358707</v>
      </c>
      <c r="FM162" s="9">
        <v>52358707</v>
      </c>
      <c r="FN162" s="9">
        <v>52358707</v>
      </c>
      <c r="FO162" s="31">
        <v>52358707</v>
      </c>
    </row>
    <row r="163" spans="2:171" x14ac:dyDescent="0.3">
      <c r="B163" s="7" t="s">
        <v>63</v>
      </c>
      <c r="C163" s="9">
        <v>16731275</v>
      </c>
      <c r="D163" s="9">
        <v>16731275</v>
      </c>
      <c r="E163" s="9">
        <v>16731275</v>
      </c>
      <c r="F163" s="9">
        <v>16731275</v>
      </c>
      <c r="G163" s="9">
        <v>16731275</v>
      </c>
      <c r="H163" s="9">
        <v>16731275</v>
      </c>
      <c r="I163" s="9">
        <v>16731275</v>
      </c>
      <c r="J163" s="9">
        <v>16731275</v>
      </c>
      <c r="K163" s="9">
        <v>16731275</v>
      </c>
      <c r="L163" s="9">
        <v>16731275</v>
      </c>
      <c r="M163" s="9">
        <v>16731275</v>
      </c>
      <c r="N163" s="9">
        <v>16731275</v>
      </c>
      <c r="O163" s="31">
        <v>16731275</v>
      </c>
      <c r="P163" s="9">
        <v>18391236</v>
      </c>
      <c r="Q163" s="9">
        <v>18391236</v>
      </c>
      <c r="R163" s="9">
        <v>18391236</v>
      </c>
      <c r="S163" s="9">
        <v>18391236</v>
      </c>
      <c r="T163" s="9">
        <v>18391236</v>
      </c>
      <c r="U163" s="9">
        <v>18391236</v>
      </c>
      <c r="V163" s="9">
        <v>18391236</v>
      </c>
      <c r="W163" s="9">
        <v>18391236</v>
      </c>
      <c r="X163" s="9">
        <v>18391236</v>
      </c>
      <c r="Y163" s="9">
        <v>18391236</v>
      </c>
      <c r="Z163" s="9">
        <v>18391236</v>
      </c>
      <c r="AA163" s="9">
        <v>18391236</v>
      </c>
      <c r="AB163" s="31">
        <v>18391236</v>
      </c>
      <c r="AC163" s="9">
        <v>20599186</v>
      </c>
      <c r="AD163" s="9">
        <v>20599186</v>
      </c>
      <c r="AE163" s="9">
        <v>20599186</v>
      </c>
      <c r="AF163" s="9">
        <v>20599186</v>
      </c>
      <c r="AG163" s="9">
        <v>20599186</v>
      </c>
      <c r="AH163" s="9">
        <v>20599186</v>
      </c>
      <c r="AI163" s="9">
        <v>20599186</v>
      </c>
      <c r="AJ163" s="9">
        <v>20599186</v>
      </c>
      <c r="AK163" s="9">
        <v>20599186</v>
      </c>
      <c r="AL163" s="9">
        <v>20599186</v>
      </c>
      <c r="AM163" s="9">
        <v>20599186</v>
      </c>
      <c r="AN163" s="9">
        <v>20599186</v>
      </c>
      <c r="AO163" s="31">
        <v>20599186</v>
      </c>
      <c r="AP163" s="9">
        <v>16685178</v>
      </c>
      <c r="AQ163" s="9">
        <v>16685178</v>
      </c>
      <c r="AR163" s="9">
        <v>16685178</v>
      </c>
      <c r="AS163" s="9">
        <v>16685178</v>
      </c>
      <c r="AT163" s="9">
        <v>16685178</v>
      </c>
      <c r="AU163" s="9">
        <v>16685178</v>
      </c>
      <c r="AV163" s="9">
        <v>16685178</v>
      </c>
      <c r="AW163" s="9">
        <v>16685178</v>
      </c>
      <c r="AX163" s="9">
        <v>16685178</v>
      </c>
      <c r="AY163" s="9">
        <v>16685178</v>
      </c>
      <c r="AZ163" s="9">
        <v>16685178</v>
      </c>
      <c r="BA163" s="9">
        <v>16685178</v>
      </c>
      <c r="BB163" s="31">
        <v>16685178</v>
      </c>
      <c r="BC163" s="9">
        <v>21138373</v>
      </c>
      <c r="BD163" s="9">
        <v>21138373</v>
      </c>
      <c r="BE163" s="9">
        <v>21138373</v>
      </c>
      <c r="BF163" s="9">
        <v>21138373</v>
      </c>
      <c r="BG163" s="9">
        <v>21138373</v>
      </c>
      <c r="BH163" s="9">
        <v>21138373</v>
      </c>
      <c r="BI163" s="9">
        <v>21138373</v>
      </c>
      <c r="BJ163" s="9">
        <v>21138373</v>
      </c>
      <c r="BK163" s="9">
        <v>21138373</v>
      </c>
      <c r="BL163" s="9">
        <v>21138373</v>
      </c>
      <c r="BM163" s="9">
        <v>21138373</v>
      </c>
      <c r="BN163" s="9">
        <v>21138373</v>
      </c>
      <c r="BO163" s="31">
        <v>21138373</v>
      </c>
      <c r="BP163" s="9">
        <v>17594722</v>
      </c>
      <c r="BQ163" s="9">
        <v>17594722</v>
      </c>
      <c r="BR163" s="9">
        <v>17594722</v>
      </c>
      <c r="BS163" s="9">
        <v>17594722</v>
      </c>
      <c r="BT163" s="9">
        <v>17594722</v>
      </c>
      <c r="BU163" s="9">
        <v>17594722</v>
      </c>
      <c r="BV163" s="9">
        <v>17594722</v>
      </c>
      <c r="BW163" s="9">
        <v>17594722</v>
      </c>
      <c r="BX163" s="9">
        <v>17594722</v>
      </c>
      <c r="BY163" s="9">
        <v>17594722</v>
      </c>
      <c r="BZ163" s="9">
        <v>17594722</v>
      </c>
      <c r="CA163" s="9">
        <v>17594722</v>
      </c>
      <c r="CB163" s="31">
        <v>17594722</v>
      </c>
      <c r="CC163" s="9">
        <v>18084640</v>
      </c>
      <c r="CD163" s="9">
        <v>18084640</v>
      </c>
      <c r="CE163" s="9">
        <v>18084640</v>
      </c>
      <c r="CF163" s="9">
        <v>18084640</v>
      </c>
      <c r="CG163" s="9">
        <v>18084640</v>
      </c>
      <c r="CH163" s="9">
        <v>18084640</v>
      </c>
      <c r="CI163" s="9">
        <v>18084640</v>
      </c>
      <c r="CJ163" s="9">
        <v>18084640</v>
      </c>
      <c r="CK163" s="9">
        <v>18084640</v>
      </c>
      <c r="CL163" s="9">
        <v>18084640</v>
      </c>
      <c r="CM163" s="9">
        <v>18084640</v>
      </c>
      <c r="CN163" s="9">
        <v>18084640</v>
      </c>
      <c r="CO163" s="31">
        <v>18084640</v>
      </c>
      <c r="CP163" s="9">
        <v>20744457</v>
      </c>
      <c r="CQ163" s="9">
        <v>20744457</v>
      </c>
      <c r="CR163" s="9">
        <v>20744457</v>
      </c>
      <c r="CS163" s="9">
        <v>20744457</v>
      </c>
      <c r="CT163" s="9">
        <v>20744457</v>
      </c>
      <c r="CU163" s="9">
        <v>20744457</v>
      </c>
      <c r="CV163" s="9">
        <v>20744457</v>
      </c>
      <c r="CW163" s="9">
        <v>20744457</v>
      </c>
      <c r="CX163" s="9">
        <v>20744457</v>
      </c>
      <c r="CY163" s="9">
        <v>20744457</v>
      </c>
      <c r="CZ163" s="9">
        <v>20744457</v>
      </c>
      <c r="DA163" s="9">
        <v>20744457</v>
      </c>
      <c r="DB163" s="31">
        <v>20744457</v>
      </c>
      <c r="DC163" s="9">
        <v>52237769</v>
      </c>
      <c r="DD163" s="9">
        <v>52237769</v>
      </c>
      <c r="DE163" s="9">
        <v>52237769</v>
      </c>
      <c r="DF163" s="9">
        <v>52237769</v>
      </c>
      <c r="DG163" s="9">
        <v>52237769</v>
      </c>
      <c r="DH163" s="9">
        <v>52237769</v>
      </c>
      <c r="DI163" s="9">
        <v>52237769</v>
      </c>
      <c r="DJ163" s="9">
        <v>52237769</v>
      </c>
      <c r="DK163" s="9">
        <v>52237769</v>
      </c>
      <c r="DL163" s="9">
        <v>52237769</v>
      </c>
      <c r="DM163" s="9">
        <v>52237769</v>
      </c>
      <c r="DN163" s="9">
        <v>52237769</v>
      </c>
      <c r="DO163" s="31">
        <v>52237769</v>
      </c>
      <c r="DP163" s="9">
        <v>41497084</v>
      </c>
      <c r="DQ163" s="9">
        <v>41497084</v>
      </c>
      <c r="DR163" s="9">
        <v>41497084</v>
      </c>
      <c r="DS163" s="9">
        <v>41497084</v>
      </c>
      <c r="DT163" s="9">
        <v>41497084</v>
      </c>
      <c r="DU163" s="9">
        <v>41497084</v>
      </c>
      <c r="DV163" s="9">
        <v>41497084</v>
      </c>
      <c r="DW163" s="9">
        <v>41497084</v>
      </c>
      <c r="DX163" s="9">
        <v>41497084</v>
      </c>
      <c r="DY163" s="9">
        <v>41497084</v>
      </c>
      <c r="DZ163" s="9">
        <v>41497084</v>
      </c>
      <c r="EA163" s="9">
        <v>41497084</v>
      </c>
      <c r="EB163" s="31">
        <v>41497084</v>
      </c>
      <c r="EC163" s="9">
        <v>86021116</v>
      </c>
      <c r="ED163" s="9">
        <v>86021116</v>
      </c>
      <c r="EE163" s="9">
        <v>86021116</v>
      </c>
      <c r="EF163" s="9">
        <v>86021116</v>
      </c>
      <c r="EG163" s="9">
        <v>86021116</v>
      </c>
      <c r="EH163" s="9">
        <v>86021116</v>
      </c>
      <c r="EI163" s="9">
        <v>86021116</v>
      </c>
      <c r="EJ163" s="9">
        <v>86021116</v>
      </c>
      <c r="EK163" s="9">
        <v>86021116</v>
      </c>
      <c r="EL163" s="9">
        <v>86021116</v>
      </c>
      <c r="EM163" s="9">
        <v>86021116</v>
      </c>
      <c r="EN163" s="9">
        <v>86021116</v>
      </c>
      <c r="EO163" s="31">
        <v>86021116</v>
      </c>
      <c r="EP163" s="9">
        <v>122155247</v>
      </c>
      <c r="EQ163" s="9">
        <v>122155247</v>
      </c>
      <c r="ER163" s="9">
        <v>122155247</v>
      </c>
      <c r="ES163" s="9">
        <v>122155247</v>
      </c>
      <c r="ET163" s="9">
        <v>122155247</v>
      </c>
      <c r="EU163" s="9">
        <v>122155247</v>
      </c>
      <c r="EV163" s="9">
        <v>122155247</v>
      </c>
      <c r="EW163" s="9">
        <v>122155247</v>
      </c>
      <c r="EX163" s="9">
        <v>122155247</v>
      </c>
      <c r="EY163" s="9">
        <v>122155247</v>
      </c>
      <c r="EZ163" s="9">
        <v>122155247</v>
      </c>
      <c r="FA163" s="9">
        <v>122155247</v>
      </c>
      <c r="FB163" s="31">
        <v>122155247</v>
      </c>
      <c r="FC163" s="9">
        <v>77301509</v>
      </c>
      <c r="FD163" s="9">
        <v>77301509</v>
      </c>
      <c r="FE163" s="9">
        <v>77301509</v>
      </c>
      <c r="FF163" s="9">
        <v>77301509</v>
      </c>
      <c r="FG163" s="9">
        <v>77301509</v>
      </c>
      <c r="FH163" s="9">
        <v>77301509</v>
      </c>
      <c r="FI163" s="9">
        <v>77301509</v>
      </c>
      <c r="FJ163" s="9">
        <v>77301509</v>
      </c>
      <c r="FK163" s="9">
        <v>77301509</v>
      </c>
      <c r="FL163" s="9">
        <v>77301509</v>
      </c>
      <c r="FM163" s="9">
        <v>77301509</v>
      </c>
      <c r="FN163" s="9">
        <v>77301509</v>
      </c>
      <c r="FO163" s="31">
        <v>77301509</v>
      </c>
    </row>
    <row r="164" spans="2:171" x14ac:dyDescent="0.3">
      <c r="B164" s="11" t="s">
        <v>131</v>
      </c>
      <c r="C164" s="13">
        <f t="shared" ref="C164:AH164" si="36">SUM(C146:C163)</f>
        <v>880558044</v>
      </c>
      <c r="D164" s="13">
        <f t="shared" si="36"/>
        <v>880558044</v>
      </c>
      <c r="E164" s="13">
        <f t="shared" si="36"/>
        <v>912096484</v>
      </c>
      <c r="F164" s="13">
        <f t="shared" si="36"/>
        <v>912096484</v>
      </c>
      <c r="G164" s="13">
        <f t="shared" si="36"/>
        <v>912096484</v>
      </c>
      <c r="H164" s="13">
        <f t="shared" si="36"/>
        <v>912096484</v>
      </c>
      <c r="I164" s="13">
        <f t="shared" si="36"/>
        <v>912096484</v>
      </c>
      <c r="J164" s="13">
        <f t="shared" si="36"/>
        <v>912096484</v>
      </c>
      <c r="K164" s="13">
        <f t="shared" si="36"/>
        <v>912096484</v>
      </c>
      <c r="L164" s="13">
        <f t="shared" si="36"/>
        <v>912096484</v>
      </c>
      <c r="M164" s="13">
        <f t="shared" si="36"/>
        <v>912096484</v>
      </c>
      <c r="N164" s="13">
        <f t="shared" si="36"/>
        <v>912096484</v>
      </c>
      <c r="O164" s="13">
        <f t="shared" si="36"/>
        <v>912096484</v>
      </c>
      <c r="P164" s="13">
        <f t="shared" si="36"/>
        <v>1117371939</v>
      </c>
      <c r="Q164" s="13">
        <f t="shared" si="36"/>
        <v>1117371939</v>
      </c>
      <c r="R164" s="13">
        <f t="shared" si="36"/>
        <v>1117371939</v>
      </c>
      <c r="S164" s="13">
        <f t="shared" si="36"/>
        <v>1117371939</v>
      </c>
      <c r="T164" s="13">
        <f t="shared" si="36"/>
        <v>1117371939</v>
      </c>
      <c r="U164" s="13">
        <f t="shared" si="36"/>
        <v>1117371939</v>
      </c>
      <c r="V164" s="13">
        <f t="shared" si="36"/>
        <v>1117371939</v>
      </c>
      <c r="W164" s="13">
        <f t="shared" si="36"/>
        <v>1117371939</v>
      </c>
      <c r="X164" s="13">
        <f t="shared" si="36"/>
        <v>1117371939</v>
      </c>
      <c r="Y164" s="13">
        <f t="shared" si="36"/>
        <v>1117371939</v>
      </c>
      <c r="Z164" s="13">
        <f t="shared" si="36"/>
        <v>1117371939</v>
      </c>
      <c r="AA164" s="13">
        <f t="shared" si="36"/>
        <v>1117371939</v>
      </c>
      <c r="AB164" s="13">
        <f t="shared" si="36"/>
        <v>1117371939</v>
      </c>
      <c r="AC164" s="13">
        <f t="shared" si="36"/>
        <v>1308136145</v>
      </c>
      <c r="AD164" s="13">
        <f t="shared" si="36"/>
        <v>1308136145</v>
      </c>
      <c r="AE164" s="13">
        <f t="shared" si="36"/>
        <v>1308136145</v>
      </c>
      <c r="AF164" s="13">
        <f t="shared" si="36"/>
        <v>1308136145</v>
      </c>
      <c r="AG164" s="13">
        <f t="shared" si="36"/>
        <v>1308136145</v>
      </c>
      <c r="AH164" s="13">
        <f t="shared" si="36"/>
        <v>1308136145</v>
      </c>
      <c r="AI164" s="13">
        <f t="shared" ref="AI164:BN164" si="37">SUM(AI146:AI163)</f>
        <v>1308136145</v>
      </c>
      <c r="AJ164" s="13">
        <f t="shared" si="37"/>
        <v>1308136145</v>
      </c>
      <c r="AK164" s="13">
        <f t="shared" si="37"/>
        <v>1308136145</v>
      </c>
      <c r="AL164" s="13">
        <f t="shared" si="37"/>
        <v>1308136145</v>
      </c>
      <c r="AM164" s="13">
        <f t="shared" si="37"/>
        <v>1308136145</v>
      </c>
      <c r="AN164" s="13">
        <f t="shared" si="37"/>
        <v>1308136145</v>
      </c>
      <c r="AO164" s="13">
        <f t="shared" si="37"/>
        <v>1308136145</v>
      </c>
      <c r="AP164" s="13">
        <f t="shared" si="37"/>
        <v>1280609939</v>
      </c>
      <c r="AQ164" s="13">
        <f t="shared" si="37"/>
        <v>1280609939</v>
      </c>
      <c r="AR164" s="13">
        <f t="shared" si="37"/>
        <v>1280609939</v>
      </c>
      <c r="AS164" s="13">
        <f t="shared" si="37"/>
        <v>1280609939</v>
      </c>
      <c r="AT164" s="13">
        <f t="shared" si="37"/>
        <v>1280609939</v>
      </c>
      <c r="AU164" s="13">
        <f t="shared" si="37"/>
        <v>1280609939</v>
      </c>
      <c r="AV164" s="13">
        <f t="shared" si="37"/>
        <v>1280609939</v>
      </c>
      <c r="AW164" s="13">
        <f t="shared" si="37"/>
        <v>1280609939</v>
      </c>
      <c r="AX164" s="13">
        <f t="shared" si="37"/>
        <v>1280609939</v>
      </c>
      <c r="AY164" s="13">
        <f t="shared" si="37"/>
        <v>1280609939</v>
      </c>
      <c r="AZ164" s="13">
        <f t="shared" si="37"/>
        <v>1280609939</v>
      </c>
      <c r="BA164" s="13">
        <f t="shared" si="37"/>
        <v>1280609939</v>
      </c>
      <c r="BB164" s="13">
        <f t="shared" si="37"/>
        <v>1280609939</v>
      </c>
      <c r="BC164" s="13">
        <f t="shared" si="37"/>
        <v>1296682784</v>
      </c>
      <c r="BD164" s="13">
        <f t="shared" si="37"/>
        <v>1296682784</v>
      </c>
      <c r="BE164" s="13">
        <f t="shared" si="37"/>
        <v>1296682784</v>
      </c>
      <c r="BF164" s="13">
        <f t="shared" si="37"/>
        <v>1296682784</v>
      </c>
      <c r="BG164" s="13">
        <f t="shared" si="37"/>
        <v>1296682784</v>
      </c>
      <c r="BH164" s="13">
        <f t="shared" si="37"/>
        <v>1296682784</v>
      </c>
      <c r="BI164" s="13">
        <f t="shared" si="37"/>
        <v>1296682784</v>
      </c>
      <c r="BJ164" s="13">
        <f t="shared" si="37"/>
        <v>1296682784</v>
      </c>
      <c r="BK164" s="13">
        <f t="shared" si="37"/>
        <v>1296682784</v>
      </c>
      <c r="BL164" s="13">
        <f t="shared" si="37"/>
        <v>1296682784</v>
      </c>
      <c r="BM164" s="13">
        <f t="shared" si="37"/>
        <v>1296682784</v>
      </c>
      <c r="BN164" s="13">
        <f t="shared" si="37"/>
        <v>1296682784</v>
      </c>
      <c r="BO164" s="13">
        <f t="shared" ref="BO164:CT164" si="38">SUM(BO146:BO163)</f>
        <v>1296682784</v>
      </c>
      <c r="BP164" s="13">
        <f t="shared" si="38"/>
        <v>1487615608</v>
      </c>
      <c r="BQ164" s="13">
        <f t="shared" si="38"/>
        <v>1487615608</v>
      </c>
      <c r="BR164" s="13">
        <f t="shared" si="38"/>
        <v>1487615608</v>
      </c>
      <c r="BS164" s="13">
        <f t="shared" si="38"/>
        <v>1487615608</v>
      </c>
      <c r="BT164" s="13">
        <f t="shared" si="38"/>
        <v>1487615608</v>
      </c>
      <c r="BU164" s="13">
        <f t="shared" si="38"/>
        <v>1487615608</v>
      </c>
      <c r="BV164" s="13">
        <f t="shared" si="38"/>
        <v>1487615608</v>
      </c>
      <c r="BW164" s="13">
        <f t="shared" si="38"/>
        <v>1487615608</v>
      </c>
      <c r="BX164" s="13">
        <f t="shared" si="38"/>
        <v>1487615608</v>
      </c>
      <c r="BY164" s="13">
        <f t="shared" si="38"/>
        <v>1487615608</v>
      </c>
      <c r="BZ164" s="13">
        <f t="shared" si="38"/>
        <v>1487615608</v>
      </c>
      <c r="CA164" s="13">
        <f t="shared" si="38"/>
        <v>1487615608</v>
      </c>
      <c r="CB164" s="13">
        <f t="shared" si="38"/>
        <v>1487615608</v>
      </c>
      <c r="CC164" s="13">
        <f t="shared" si="38"/>
        <v>1557677212</v>
      </c>
      <c r="CD164" s="13">
        <f t="shared" si="38"/>
        <v>1557677212</v>
      </c>
      <c r="CE164" s="13">
        <f t="shared" si="38"/>
        <v>1557677212</v>
      </c>
      <c r="CF164" s="13">
        <f t="shared" si="38"/>
        <v>1557677212</v>
      </c>
      <c r="CG164" s="13">
        <f t="shared" si="38"/>
        <v>1557677212</v>
      </c>
      <c r="CH164" s="13">
        <f t="shared" si="38"/>
        <v>1557677212</v>
      </c>
      <c r="CI164" s="13">
        <f t="shared" si="38"/>
        <v>1557677212</v>
      </c>
      <c r="CJ164" s="13">
        <f t="shared" si="38"/>
        <v>1557677212</v>
      </c>
      <c r="CK164" s="13">
        <f t="shared" si="38"/>
        <v>1557677212</v>
      </c>
      <c r="CL164" s="13">
        <f t="shared" si="38"/>
        <v>1557677212</v>
      </c>
      <c r="CM164" s="13">
        <f t="shared" si="38"/>
        <v>1557677212</v>
      </c>
      <c r="CN164" s="13">
        <f t="shared" si="38"/>
        <v>1557677212</v>
      </c>
      <c r="CO164" s="13">
        <f t="shared" si="38"/>
        <v>1557677212</v>
      </c>
      <c r="CP164" s="13">
        <f t="shared" si="38"/>
        <v>1691444654</v>
      </c>
      <c r="CQ164" s="13">
        <f t="shared" si="38"/>
        <v>1691444654</v>
      </c>
      <c r="CR164" s="13">
        <f t="shared" si="38"/>
        <v>1691444654</v>
      </c>
      <c r="CS164" s="13">
        <f t="shared" si="38"/>
        <v>1691444654</v>
      </c>
      <c r="CT164" s="13">
        <f t="shared" si="38"/>
        <v>1691444654</v>
      </c>
      <c r="CU164" s="13">
        <f t="shared" ref="CU164:DZ164" si="39">SUM(CU146:CU163)</f>
        <v>1691444654</v>
      </c>
      <c r="CV164" s="13">
        <f t="shared" si="39"/>
        <v>1691444654</v>
      </c>
      <c r="CW164" s="13">
        <f t="shared" si="39"/>
        <v>1691444654</v>
      </c>
      <c r="CX164" s="13">
        <f t="shared" si="39"/>
        <v>1691444654</v>
      </c>
      <c r="CY164" s="13">
        <f t="shared" si="39"/>
        <v>1691444654</v>
      </c>
      <c r="CZ164" s="13">
        <f t="shared" si="39"/>
        <v>1691444654</v>
      </c>
      <c r="DA164" s="13">
        <f t="shared" si="39"/>
        <v>1691444654</v>
      </c>
      <c r="DB164" s="13">
        <f t="shared" si="39"/>
        <v>1691444654</v>
      </c>
      <c r="DC164" s="13">
        <f t="shared" si="39"/>
        <v>1981210073</v>
      </c>
      <c r="DD164" s="13">
        <f t="shared" si="39"/>
        <v>1981210073</v>
      </c>
      <c r="DE164" s="13">
        <f t="shared" si="39"/>
        <v>1981210073</v>
      </c>
      <c r="DF164" s="13">
        <f t="shared" si="39"/>
        <v>1981210073</v>
      </c>
      <c r="DG164" s="13">
        <f t="shared" si="39"/>
        <v>1981210073</v>
      </c>
      <c r="DH164" s="13">
        <f t="shared" si="39"/>
        <v>1981210073</v>
      </c>
      <c r="DI164" s="13">
        <f t="shared" si="39"/>
        <v>1981210073</v>
      </c>
      <c r="DJ164" s="13">
        <f t="shared" si="39"/>
        <v>1981210073</v>
      </c>
      <c r="DK164" s="13">
        <f t="shared" si="39"/>
        <v>1981210073</v>
      </c>
      <c r="DL164" s="13">
        <f t="shared" si="39"/>
        <v>1981210073</v>
      </c>
      <c r="DM164" s="13">
        <f t="shared" si="39"/>
        <v>1981210073</v>
      </c>
      <c r="DN164" s="13">
        <f t="shared" si="39"/>
        <v>1981210073</v>
      </c>
      <c r="DO164" s="13">
        <f t="shared" si="39"/>
        <v>1981210073</v>
      </c>
      <c r="DP164" s="13">
        <f t="shared" si="39"/>
        <v>2367597587</v>
      </c>
      <c r="DQ164" s="13">
        <f t="shared" si="39"/>
        <v>2367597587</v>
      </c>
      <c r="DR164" s="13">
        <f t="shared" si="39"/>
        <v>2367597587</v>
      </c>
      <c r="DS164" s="13">
        <f t="shared" si="39"/>
        <v>2367597587</v>
      </c>
      <c r="DT164" s="13">
        <f t="shared" si="39"/>
        <v>2367597587</v>
      </c>
      <c r="DU164" s="13">
        <f t="shared" si="39"/>
        <v>2367597587</v>
      </c>
      <c r="DV164" s="13">
        <f t="shared" si="39"/>
        <v>2367597587</v>
      </c>
      <c r="DW164" s="13">
        <f t="shared" si="39"/>
        <v>2367597587</v>
      </c>
      <c r="DX164" s="13">
        <f t="shared" si="39"/>
        <v>2367597587</v>
      </c>
      <c r="DY164" s="13">
        <f t="shared" si="39"/>
        <v>2367597587</v>
      </c>
      <c r="DZ164" s="13">
        <f t="shared" si="39"/>
        <v>2367597587</v>
      </c>
      <c r="EA164" s="13">
        <f t="shared" ref="EA164:FF164" si="40">SUM(EA146:EA163)</f>
        <v>2367597587</v>
      </c>
      <c r="EB164" s="13">
        <f t="shared" si="40"/>
        <v>2367597587</v>
      </c>
      <c r="EC164" s="13">
        <f t="shared" si="40"/>
        <v>2729162964</v>
      </c>
      <c r="ED164" s="13">
        <f t="shared" si="40"/>
        <v>2729162964</v>
      </c>
      <c r="EE164" s="13">
        <f t="shared" si="40"/>
        <v>2729162964</v>
      </c>
      <c r="EF164" s="13">
        <f t="shared" si="40"/>
        <v>2729162964</v>
      </c>
      <c r="EG164" s="13">
        <f t="shared" si="40"/>
        <v>2729162964</v>
      </c>
      <c r="EH164" s="13">
        <f t="shared" si="40"/>
        <v>2729162964</v>
      </c>
      <c r="EI164" s="13">
        <f t="shared" si="40"/>
        <v>2729162964</v>
      </c>
      <c r="EJ164" s="13">
        <f t="shared" si="40"/>
        <v>2729162964</v>
      </c>
      <c r="EK164" s="13">
        <f t="shared" si="40"/>
        <v>2729162964</v>
      </c>
      <c r="EL164" s="13">
        <f t="shared" si="40"/>
        <v>2729162964</v>
      </c>
      <c r="EM164" s="13">
        <f t="shared" si="40"/>
        <v>2729162964</v>
      </c>
      <c r="EN164" s="13">
        <f t="shared" si="40"/>
        <v>2729162964</v>
      </c>
      <c r="EO164" s="13">
        <f t="shared" si="40"/>
        <v>2729162964</v>
      </c>
      <c r="EP164" s="13">
        <f t="shared" si="40"/>
        <v>3213324447</v>
      </c>
      <c r="EQ164" s="13">
        <f t="shared" si="40"/>
        <v>3213324447</v>
      </c>
      <c r="ER164" s="13">
        <f t="shared" si="40"/>
        <v>3213324447</v>
      </c>
      <c r="ES164" s="13">
        <f t="shared" si="40"/>
        <v>3213324447</v>
      </c>
      <c r="ET164" s="13">
        <f t="shared" si="40"/>
        <v>3213324447</v>
      </c>
      <c r="EU164" s="13">
        <f t="shared" si="40"/>
        <v>3213324447</v>
      </c>
      <c r="EV164" s="13">
        <f t="shared" si="40"/>
        <v>3213324447</v>
      </c>
      <c r="EW164" s="13">
        <f t="shared" si="40"/>
        <v>3213324447</v>
      </c>
      <c r="EX164" s="13">
        <f t="shared" si="40"/>
        <v>3213324447</v>
      </c>
      <c r="EY164" s="13">
        <f t="shared" si="40"/>
        <v>3213324447</v>
      </c>
      <c r="EZ164" s="13">
        <f t="shared" si="40"/>
        <v>3213324447</v>
      </c>
      <c r="FA164" s="13">
        <f t="shared" si="40"/>
        <v>3213324447</v>
      </c>
      <c r="FB164" s="13">
        <f t="shared" si="40"/>
        <v>3213324447</v>
      </c>
      <c r="FC164" s="13">
        <f t="shared" si="40"/>
        <v>3680035337</v>
      </c>
      <c r="FD164" s="13">
        <f t="shared" si="40"/>
        <v>3680035337</v>
      </c>
      <c r="FE164" s="13">
        <f t="shared" si="40"/>
        <v>3680035337</v>
      </c>
      <c r="FF164" s="13">
        <f t="shared" si="40"/>
        <v>3680035337</v>
      </c>
      <c r="FG164" s="13">
        <f t="shared" ref="FG164:GL164" si="41">SUM(FG146:FG163)</f>
        <v>3680035337</v>
      </c>
      <c r="FH164" s="13">
        <f t="shared" si="41"/>
        <v>3680035337</v>
      </c>
      <c r="FI164" s="13">
        <f t="shared" si="41"/>
        <v>3680035337</v>
      </c>
      <c r="FJ164" s="13">
        <f t="shared" si="41"/>
        <v>3680035337</v>
      </c>
      <c r="FK164" s="13">
        <f t="shared" si="41"/>
        <v>3680035337</v>
      </c>
      <c r="FL164" s="13">
        <f t="shared" si="41"/>
        <v>3680035337</v>
      </c>
      <c r="FM164" s="13">
        <f t="shared" si="41"/>
        <v>3680035337</v>
      </c>
      <c r="FN164" s="13">
        <f t="shared" si="41"/>
        <v>3680035337</v>
      </c>
      <c r="FO164" s="13">
        <f t="shared" si="41"/>
        <v>3680035337</v>
      </c>
    </row>
    <row r="165" spans="2:171" x14ac:dyDescent="0.3">
      <c r="B165" s="5" t="s">
        <v>132</v>
      </c>
    </row>
    <row r="166" spans="2:171" x14ac:dyDescent="0.3">
      <c r="C166" s="49" t="s">
        <v>90</v>
      </c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49" t="s">
        <v>91</v>
      </c>
      <c r="Q166" s="50"/>
      <c r="R166" s="50"/>
      <c r="S166" s="50"/>
      <c r="T166" s="50"/>
      <c r="U166" s="50"/>
      <c r="V166" s="50"/>
      <c r="W166" s="50"/>
      <c r="X166" s="50"/>
      <c r="Y166" s="50"/>
      <c r="Z166" s="50"/>
      <c r="AA166" s="50"/>
      <c r="AB166" s="50"/>
      <c r="AC166" s="49" t="s">
        <v>92</v>
      </c>
      <c r="AD166" s="50"/>
      <c r="AE166" s="50"/>
      <c r="AF166" s="50"/>
      <c r="AG166" s="50"/>
      <c r="AH166" s="50"/>
      <c r="AI166" s="50"/>
      <c r="AJ166" s="50"/>
      <c r="AK166" s="50"/>
      <c r="AL166" s="50"/>
      <c r="AM166" s="50"/>
      <c r="AN166" s="50"/>
      <c r="AO166" s="50"/>
      <c r="AP166" s="49" t="s">
        <v>93</v>
      </c>
      <c r="AQ166" s="50"/>
      <c r="AR166" s="50"/>
      <c r="AS166" s="50"/>
      <c r="AT166" s="50"/>
      <c r="AU166" s="50"/>
      <c r="AV166" s="50"/>
      <c r="AW166" s="50"/>
      <c r="AX166" s="50"/>
      <c r="AY166" s="50"/>
      <c r="AZ166" s="50"/>
      <c r="BA166" s="50"/>
      <c r="BB166" s="50"/>
      <c r="BC166" s="49" t="s">
        <v>94</v>
      </c>
      <c r="BD166" s="50"/>
      <c r="BE166" s="50"/>
      <c r="BF166" s="50"/>
      <c r="BG166" s="50"/>
      <c r="BH166" s="50"/>
      <c r="BI166" s="50"/>
      <c r="BJ166" s="50"/>
      <c r="BK166" s="50"/>
      <c r="BL166" s="50"/>
      <c r="BM166" s="50"/>
      <c r="BN166" s="50"/>
      <c r="BO166" s="50"/>
      <c r="BP166" s="49" t="s">
        <v>95</v>
      </c>
      <c r="BQ166" s="50"/>
      <c r="BR166" s="50"/>
      <c r="BS166" s="50"/>
      <c r="BT166" s="50"/>
      <c r="BU166" s="50"/>
      <c r="BV166" s="50"/>
      <c r="BW166" s="50"/>
      <c r="BX166" s="50"/>
      <c r="BY166" s="50"/>
      <c r="BZ166" s="50"/>
      <c r="CA166" s="50"/>
      <c r="CB166" s="50"/>
      <c r="CC166" s="49" t="s">
        <v>96</v>
      </c>
      <c r="CD166" s="50"/>
      <c r="CE166" s="50"/>
      <c r="CF166" s="50"/>
      <c r="CG166" s="50"/>
      <c r="CH166" s="50"/>
      <c r="CI166" s="50"/>
      <c r="CJ166" s="50"/>
      <c r="CK166" s="50"/>
      <c r="CL166" s="50"/>
      <c r="CM166" s="50"/>
      <c r="CN166" s="50"/>
      <c r="CO166" s="50"/>
      <c r="CP166" s="49" t="s">
        <v>97</v>
      </c>
      <c r="CQ166" s="50"/>
      <c r="CR166" s="50"/>
      <c r="CS166" s="50"/>
      <c r="CT166" s="50"/>
      <c r="CU166" s="50"/>
      <c r="CV166" s="50"/>
      <c r="CW166" s="50"/>
      <c r="CX166" s="50"/>
      <c r="CY166" s="50"/>
      <c r="CZ166" s="50"/>
      <c r="DA166" s="50"/>
      <c r="DB166" s="50"/>
      <c r="DC166" s="49" t="s">
        <v>98</v>
      </c>
      <c r="DD166" s="50"/>
      <c r="DE166" s="50"/>
      <c r="DF166" s="50"/>
      <c r="DG166" s="50"/>
      <c r="DH166" s="50"/>
      <c r="DI166" s="50"/>
      <c r="DJ166" s="50"/>
      <c r="DK166" s="50"/>
      <c r="DL166" s="50"/>
      <c r="DM166" s="50"/>
      <c r="DN166" s="50"/>
      <c r="DO166" s="50"/>
      <c r="DP166" s="49" t="s">
        <v>99</v>
      </c>
      <c r="DQ166" s="50"/>
      <c r="DR166" s="50"/>
      <c r="DS166" s="50"/>
      <c r="DT166" s="50"/>
      <c r="DU166" s="50"/>
      <c r="DV166" s="50"/>
      <c r="DW166" s="50"/>
      <c r="DX166" s="50"/>
      <c r="DY166" s="50"/>
      <c r="DZ166" s="50"/>
      <c r="EA166" s="50"/>
      <c r="EB166" s="50"/>
      <c r="EC166" s="49" t="s">
        <v>100</v>
      </c>
      <c r="ED166" s="50"/>
      <c r="EE166" s="50"/>
      <c r="EF166" s="50"/>
      <c r="EG166" s="50"/>
      <c r="EH166" s="50"/>
      <c r="EI166" s="50"/>
      <c r="EJ166" s="50"/>
      <c r="EK166" s="50"/>
      <c r="EL166" s="50"/>
      <c r="EM166" s="50"/>
      <c r="EN166" s="50"/>
      <c r="EO166" s="50"/>
      <c r="EP166" s="49" t="s">
        <v>101</v>
      </c>
      <c r="EQ166" s="50"/>
      <c r="ER166" s="50"/>
      <c r="ES166" s="50"/>
      <c r="ET166" s="50"/>
      <c r="EU166" s="50"/>
      <c r="EV166" s="50"/>
      <c r="EW166" s="50"/>
      <c r="EX166" s="50"/>
      <c r="EY166" s="50"/>
      <c r="EZ166" s="50"/>
      <c r="FA166" s="50"/>
      <c r="FB166" s="50"/>
      <c r="FC166" s="49" t="s">
        <v>102</v>
      </c>
      <c r="FD166" s="50"/>
      <c r="FE166" s="50"/>
      <c r="FF166" s="50"/>
      <c r="FG166" s="50"/>
      <c r="FH166" s="50"/>
      <c r="FI166" s="50"/>
      <c r="FJ166" s="50"/>
      <c r="FK166" s="50"/>
      <c r="FL166" s="50"/>
      <c r="FM166" s="50"/>
      <c r="FN166" s="50"/>
      <c r="FO166" s="50"/>
    </row>
    <row r="167" spans="2:171" x14ac:dyDescent="0.3">
      <c r="B167" s="19" t="s">
        <v>103</v>
      </c>
      <c r="C167" s="30" t="s">
        <v>67</v>
      </c>
      <c r="D167" s="30" t="s">
        <v>68</v>
      </c>
      <c r="E167" s="30" t="s">
        <v>69</v>
      </c>
      <c r="F167" s="30" t="s">
        <v>70</v>
      </c>
      <c r="G167" s="30" t="s">
        <v>71</v>
      </c>
      <c r="H167" s="30" t="s">
        <v>72</v>
      </c>
      <c r="I167" s="30" t="s">
        <v>73</v>
      </c>
      <c r="J167" s="30" t="s">
        <v>74</v>
      </c>
      <c r="K167" s="30" t="s">
        <v>75</v>
      </c>
      <c r="L167" s="30" t="s">
        <v>76</v>
      </c>
      <c r="M167" s="30" t="s">
        <v>77</v>
      </c>
      <c r="N167" s="30" t="s">
        <v>78</v>
      </c>
      <c r="O167" s="30" t="s">
        <v>104</v>
      </c>
      <c r="P167" s="30" t="s">
        <v>67</v>
      </c>
      <c r="Q167" s="30" t="s">
        <v>68</v>
      </c>
      <c r="R167" s="30" t="s">
        <v>69</v>
      </c>
      <c r="S167" s="30" t="s">
        <v>70</v>
      </c>
      <c r="T167" s="30" t="s">
        <v>71</v>
      </c>
      <c r="U167" s="30" t="s">
        <v>72</v>
      </c>
      <c r="V167" s="30" t="s">
        <v>73</v>
      </c>
      <c r="W167" s="30" t="s">
        <v>74</v>
      </c>
      <c r="X167" s="30" t="s">
        <v>75</v>
      </c>
      <c r="Y167" s="30" t="s">
        <v>76</v>
      </c>
      <c r="Z167" s="30" t="s">
        <v>77</v>
      </c>
      <c r="AA167" s="30" t="s">
        <v>78</v>
      </c>
      <c r="AB167" s="30" t="s">
        <v>105</v>
      </c>
      <c r="AC167" s="30" t="s">
        <v>67</v>
      </c>
      <c r="AD167" s="30" t="s">
        <v>68</v>
      </c>
      <c r="AE167" s="30" t="s">
        <v>69</v>
      </c>
      <c r="AF167" s="30" t="s">
        <v>70</v>
      </c>
      <c r="AG167" s="30" t="s">
        <v>71</v>
      </c>
      <c r="AH167" s="30" t="s">
        <v>72</v>
      </c>
      <c r="AI167" s="30" t="s">
        <v>73</v>
      </c>
      <c r="AJ167" s="30" t="s">
        <v>74</v>
      </c>
      <c r="AK167" s="30" t="s">
        <v>75</v>
      </c>
      <c r="AL167" s="30" t="s">
        <v>76</v>
      </c>
      <c r="AM167" s="30" t="s">
        <v>77</v>
      </c>
      <c r="AN167" s="30" t="s">
        <v>78</v>
      </c>
      <c r="AO167" s="30" t="s">
        <v>106</v>
      </c>
      <c r="AP167" s="30" t="s">
        <v>67</v>
      </c>
      <c r="AQ167" s="30" t="s">
        <v>68</v>
      </c>
      <c r="AR167" s="30" t="s">
        <v>69</v>
      </c>
      <c r="AS167" s="30" t="s">
        <v>70</v>
      </c>
      <c r="AT167" s="30" t="s">
        <v>71</v>
      </c>
      <c r="AU167" s="30" t="s">
        <v>72</v>
      </c>
      <c r="AV167" s="30" t="s">
        <v>73</v>
      </c>
      <c r="AW167" s="30" t="s">
        <v>74</v>
      </c>
      <c r="AX167" s="30" t="s">
        <v>75</v>
      </c>
      <c r="AY167" s="30" t="s">
        <v>76</v>
      </c>
      <c r="AZ167" s="30" t="s">
        <v>77</v>
      </c>
      <c r="BA167" s="30" t="s">
        <v>78</v>
      </c>
      <c r="BB167" s="30" t="s">
        <v>107</v>
      </c>
      <c r="BC167" s="30" t="s">
        <v>67</v>
      </c>
      <c r="BD167" s="30" t="s">
        <v>68</v>
      </c>
      <c r="BE167" s="30" t="s">
        <v>69</v>
      </c>
      <c r="BF167" s="30" t="s">
        <v>70</v>
      </c>
      <c r="BG167" s="30" t="s">
        <v>71</v>
      </c>
      <c r="BH167" s="30" t="s">
        <v>72</v>
      </c>
      <c r="BI167" s="30" t="s">
        <v>73</v>
      </c>
      <c r="BJ167" s="30" t="s">
        <v>74</v>
      </c>
      <c r="BK167" s="30" t="s">
        <v>75</v>
      </c>
      <c r="BL167" s="30" t="s">
        <v>76</v>
      </c>
      <c r="BM167" s="30" t="s">
        <v>77</v>
      </c>
      <c r="BN167" s="30" t="s">
        <v>78</v>
      </c>
      <c r="BO167" s="30" t="s">
        <v>108</v>
      </c>
      <c r="BP167" s="30" t="s">
        <v>67</v>
      </c>
      <c r="BQ167" s="30" t="s">
        <v>68</v>
      </c>
      <c r="BR167" s="30" t="s">
        <v>69</v>
      </c>
      <c r="BS167" s="30" t="s">
        <v>70</v>
      </c>
      <c r="BT167" s="30" t="s">
        <v>71</v>
      </c>
      <c r="BU167" s="30" t="s">
        <v>72</v>
      </c>
      <c r="BV167" s="30" t="s">
        <v>73</v>
      </c>
      <c r="BW167" s="30" t="s">
        <v>74</v>
      </c>
      <c r="BX167" s="30" t="s">
        <v>75</v>
      </c>
      <c r="BY167" s="30" t="s">
        <v>76</v>
      </c>
      <c r="BZ167" s="30" t="s">
        <v>77</v>
      </c>
      <c r="CA167" s="30" t="s">
        <v>78</v>
      </c>
      <c r="CB167" s="30" t="s">
        <v>109</v>
      </c>
      <c r="CC167" s="30" t="s">
        <v>67</v>
      </c>
      <c r="CD167" s="30" t="s">
        <v>68</v>
      </c>
      <c r="CE167" s="30" t="s">
        <v>69</v>
      </c>
      <c r="CF167" s="30" t="s">
        <v>70</v>
      </c>
      <c r="CG167" s="30" t="s">
        <v>71</v>
      </c>
      <c r="CH167" s="30" t="s">
        <v>72</v>
      </c>
      <c r="CI167" s="30" t="s">
        <v>73</v>
      </c>
      <c r="CJ167" s="30" t="s">
        <v>74</v>
      </c>
      <c r="CK167" s="30" t="s">
        <v>75</v>
      </c>
      <c r="CL167" s="30" t="s">
        <v>76</v>
      </c>
      <c r="CM167" s="30" t="s">
        <v>77</v>
      </c>
      <c r="CN167" s="30" t="s">
        <v>78</v>
      </c>
      <c r="CO167" s="30" t="s">
        <v>110</v>
      </c>
      <c r="CP167" s="30" t="s">
        <v>67</v>
      </c>
      <c r="CQ167" s="30" t="s">
        <v>68</v>
      </c>
      <c r="CR167" s="30" t="s">
        <v>69</v>
      </c>
      <c r="CS167" s="30" t="s">
        <v>70</v>
      </c>
      <c r="CT167" s="30" t="s">
        <v>71</v>
      </c>
      <c r="CU167" s="30" t="s">
        <v>72</v>
      </c>
      <c r="CV167" s="30" t="s">
        <v>73</v>
      </c>
      <c r="CW167" s="30" t="s">
        <v>74</v>
      </c>
      <c r="CX167" s="30" t="s">
        <v>75</v>
      </c>
      <c r="CY167" s="30" t="s">
        <v>76</v>
      </c>
      <c r="CZ167" s="30" t="s">
        <v>77</v>
      </c>
      <c r="DA167" s="30" t="s">
        <v>78</v>
      </c>
      <c r="DB167" s="30" t="s">
        <v>111</v>
      </c>
      <c r="DC167" s="30" t="s">
        <v>67</v>
      </c>
      <c r="DD167" s="30" t="s">
        <v>68</v>
      </c>
      <c r="DE167" s="30" t="s">
        <v>69</v>
      </c>
      <c r="DF167" s="30" t="s">
        <v>70</v>
      </c>
      <c r="DG167" s="30" t="s">
        <v>71</v>
      </c>
      <c r="DH167" s="30" t="s">
        <v>72</v>
      </c>
      <c r="DI167" s="30" t="s">
        <v>73</v>
      </c>
      <c r="DJ167" s="30" t="s">
        <v>74</v>
      </c>
      <c r="DK167" s="30" t="s">
        <v>75</v>
      </c>
      <c r="DL167" s="30" t="s">
        <v>76</v>
      </c>
      <c r="DM167" s="30" t="s">
        <v>77</v>
      </c>
      <c r="DN167" s="30" t="s">
        <v>78</v>
      </c>
      <c r="DO167" s="30" t="s">
        <v>112</v>
      </c>
      <c r="DP167" s="30" t="s">
        <v>67</v>
      </c>
      <c r="DQ167" s="30" t="s">
        <v>68</v>
      </c>
      <c r="DR167" s="30" t="s">
        <v>69</v>
      </c>
      <c r="DS167" s="30" t="s">
        <v>70</v>
      </c>
      <c r="DT167" s="30" t="s">
        <v>71</v>
      </c>
      <c r="DU167" s="30" t="s">
        <v>72</v>
      </c>
      <c r="DV167" s="30" t="s">
        <v>73</v>
      </c>
      <c r="DW167" s="30" t="s">
        <v>74</v>
      </c>
      <c r="DX167" s="30" t="s">
        <v>75</v>
      </c>
      <c r="DY167" s="30" t="s">
        <v>76</v>
      </c>
      <c r="DZ167" s="30" t="s">
        <v>77</v>
      </c>
      <c r="EA167" s="30" t="s">
        <v>78</v>
      </c>
      <c r="EB167" s="30" t="s">
        <v>113</v>
      </c>
      <c r="EC167" s="30" t="s">
        <v>67</v>
      </c>
      <c r="ED167" s="30" t="s">
        <v>68</v>
      </c>
      <c r="EE167" s="30" t="s">
        <v>69</v>
      </c>
      <c r="EF167" s="30" t="s">
        <v>70</v>
      </c>
      <c r="EG167" s="30" t="s">
        <v>71</v>
      </c>
      <c r="EH167" s="30" t="s">
        <v>72</v>
      </c>
      <c r="EI167" s="30" t="s">
        <v>73</v>
      </c>
      <c r="EJ167" s="30" t="s">
        <v>74</v>
      </c>
      <c r="EK167" s="30" t="s">
        <v>75</v>
      </c>
      <c r="EL167" s="30" t="s">
        <v>76</v>
      </c>
      <c r="EM167" s="30" t="s">
        <v>77</v>
      </c>
      <c r="EN167" s="30" t="s">
        <v>78</v>
      </c>
      <c r="EO167" s="30" t="s">
        <v>114</v>
      </c>
      <c r="EP167" s="30" t="s">
        <v>67</v>
      </c>
      <c r="EQ167" s="30" t="s">
        <v>68</v>
      </c>
      <c r="ER167" s="30" t="s">
        <v>69</v>
      </c>
      <c r="ES167" s="30" t="s">
        <v>70</v>
      </c>
      <c r="ET167" s="30" t="s">
        <v>71</v>
      </c>
      <c r="EU167" s="30" t="s">
        <v>72</v>
      </c>
      <c r="EV167" s="30" t="s">
        <v>73</v>
      </c>
      <c r="EW167" s="30" t="s">
        <v>74</v>
      </c>
      <c r="EX167" s="30" t="s">
        <v>75</v>
      </c>
      <c r="EY167" s="30" t="s">
        <v>76</v>
      </c>
      <c r="EZ167" s="30" t="s">
        <v>77</v>
      </c>
      <c r="FA167" s="30" t="s">
        <v>78</v>
      </c>
      <c r="FB167" s="30" t="s">
        <v>115</v>
      </c>
      <c r="FC167" s="30" t="s">
        <v>67</v>
      </c>
      <c r="FD167" s="30" t="s">
        <v>68</v>
      </c>
      <c r="FE167" s="30" t="s">
        <v>69</v>
      </c>
      <c r="FF167" s="30" t="s">
        <v>70</v>
      </c>
      <c r="FG167" s="30" t="s">
        <v>71</v>
      </c>
      <c r="FH167" s="30" t="s">
        <v>72</v>
      </c>
      <c r="FI167" s="30" t="s">
        <v>73</v>
      </c>
      <c r="FJ167" s="30" t="s">
        <v>74</v>
      </c>
      <c r="FK167" s="30" t="s">
        <v>75</v>
      </c>
      <c r="FL167" s="30" t="s">
        <v>76</v>
      </c>
      <c r="FM167" s="30" t="s">
        <v>77</v>
      </c>
      <c r="FN167" s="30" t="s">
        <v>78</v>
      </c>
      <c r="FO167" s="30" t="s">
        <v>116</v>
      </c>
    </row>
    <row r="168" spans="2:171" x14ac:dyDescent="0.3">
      <c r="B168" s="7" t="s">
        <v>46</v>
      </c>
      <c r="C168" s="9">
        <v>71955439</v>
      </c>
      <c r="D168" s="9">
        <v>71955439</v>
      </c>
      <c r="E168" s="9">
        <v>101514261</v>
      </c>
      <c r="F168" s="9">
        <v>100017577</v>
      </c>
      <c r="G168" s="9">
        <v>100006849</v>
      </c>
      <c r="H168" s="9">
        <v>69015720</v>
      </c>
      <c r="I168" s="9">
        <v>69015720</v>
      </c>
      <c r="J168" s="9">
        <v>69445702</v>
      </c>
      <c r="K168" s="9">
        <v>69855741</v>
      </c>
      <c r="L168" s="9">
        <v>68175543</v>
      </c>
      <c r="M168" s="9">
        <v>69221719</v>
      </c>
      <c r="N168" s="9">
        <v>68662249</v>
      </c>
      <c r="O168" s="31">
        <v>68662249</v>
      </c>
      <c r="P168" s="9">
        <v>104593106</v>
      </c>
      <c r="Q168" s="9">
        <v>86333449</v>
      </c>
      <c r="R168" s="9">
        <v>97083857</v>
      </c>
      <c r="S168" s="9">
        <v>97083857</v>
      </c>
      <c r="T168" s="9">
        <v>97083857</v>
      </c>
      <c r="U168" s="9">
        <v>83160686</v>
      </c>
      <c r="V168" s="9">
        <v>83793646</v>
      </c>
      <c r="W168" s="9">
        <v>83793646</v>
      </c>
      <c r="X168" s="9">
        <v>83960768</v>
      </c>
      <c r="Y168" s="9">
        <v>83976050</v>
      </c>
      <c r="Z168" s="9">
        <v>82609843</v>
      </c>
      <c r="AA168" s="9">
        <v>88806678</v>
      </c>
      <c r="AB168" s="31">
        <v>88806678</v>
      </c>
      <c r="AC168" s="9">
        <v>116262764</v>
      </c>
      <c r="AD168" s="9">
        <v>111134886</v>
      </c>
      <c r="AE168" s="9">
        <v>111134886</v>
      </c>
      <c r="AF168" s="9">
        <v>111134886</v>
      </c>
      <c r="AG168" s="9">
        <v>109390445</v>
      </c>
      <c r="AH168" s="9">
        <v>106382977</v>
      </c>
      <c r="AI168" s="9">
        <v>107612689</v>
      </c>
      <c r="AJ168" s="9">
        <v>107487149</v>
      </c>
      <c r="AK168" s="9">
        <v>107425237</v>
      </c>
      <c r="AL168" s="9">
        <v>105620500</v>
      </c>
      <c r="AM168" s="9">
        <v>104918461</v>
      </c>
      <c r="AN168" s="9">
        <v>111614120</v>
      </c>
      <c r="AO168" s="31">
        <v>111614120</v>
      </c>
      <c r="AP168" s="9">
        <v>121955702</v>
      </c>
      <c r="AQ168" s="9">
        <v>101112063</v>
      </c>
      <c r="AR168" s="9">
        <v>102740737</v>
      </c>
      <c r="AS168" s="9">
        <v>102783997</v>
      </c>
      <c r="AT168" s="9">
        <v>102783997</v>
      </c>
      <c r="AU168" s="9">
        <v>98905212</v>
      </c>
      <c r="AV168" s="9">
        <v>98905212</v>
      </c>
      <c r="AW168" s="9">
        <v>98789923</v>
      </c>
      <c r="AX168" s="9">
        <v>98789923</v>
      </c>
      <c r="AY168" s="9">
        <v>97424004</v>
      </c>
      <c r="AZ168" s="9">
        <v>98066418</v>
      </c>
      <c r="BA168" s="9">
        <v>101227276</v>
      </c>
      <c r="BB168" s="31">
        <v>101227276</v>
      </c>
      <c r="BC168" s="9">
        <v>118063289</v>
      </c>
      <c r="BD168" s="9">
        <v>109393510</v>
      </c>
      <c r="BE168" s="9">
        <v>109393510</v>
      </c>
      <c r="BF168" s="9">
        <v>109393510</v>
      </c>
      <c r="BG168" s="9">
        <v>109393510</v>
      </c>
      <c r="BH168" s="9">
        <v>109393510</v>
      </c>
      <c r="BI168" s="9">
        <v>109485256</v>
      </c>
      <c r="BJ168" s="9">
        <v>111485256</v>
      </c>
      <c r="BK168" s="9">
        <v>111485256</v>
      </c>
      <c r="BL168" s="9">
        <v>111544732</v>
      </c>
      <c r="BM168" s="9">
        <v>114457564</v>
      </c>
      <c r="BN168" s="9">
        <v>114041616</v>
      </c>
      <c r="BO168" s="31">
        <v>114041616</v>
      </c>
      <c r="BP168" s="9">
        <v>119389210</v>
      </c>
      <c r="BQ168" s="9">
        <v>119389210</v>
      </c>
      <c r="BR168" s="9">
        <v>119873746</v>
      </c>
      <c r="BS168" s="9">
        <v>119873746</v>
      </c>
      <c r="BT168" s="9">
        <v>119873746</v>
      </c>
      <c r="BU168" s="9">
        <v>119873746</v>
      </c>
      <c r="BV168" s="9">
        <v>120791864</v>
      </c>
      <c r="BW168" s="9">
        <v>123195082</v>
      </c>
      <c r="BX168" s="9">
        <v>119873746</v>
      </c>
      <c r="BY168" s="9">
        <v>119389210</v>
      </c>
      <c r="BZ168" s="9">
        <v>119389210</v>
      </c>
      <c r="CA168" s="9">
        <v>134794041</v>
      </c>
      <c r="CB168" s="31">
        <v>134794041</v>
      </c>
      <c r="CC168" s="9">
        <v>140864809</v>
      </c>
      <c r="CD168" s="9">
        <v>140864809</v>
      </c>
      <c r="CE168" s="9">
        <v>140864809</v>
      </c>
      <c r="CF168" s="9">
        <v>140864809</v>
      </c>
      <c r="CG168" s="9">
        <v>139482872</v>
      </c>
      <c r="CH168" s="9">
        <v>139340992</v>
      </c>
      <c r="CI168" s="9">
        <v>138369522</v>
      </c>
      <c r="CJ168" s="9">
        <v>138369522</v>
      </c>
      <c r="CK168" s="9">
        <v>147602623</v>
      </c>
      <c r="CL168" s="9">
        <v>224292577</v>
      </c>
      <c r="CM168" s="9">
        <v>224340776</v>
      </c>
      <c r="CN168" s="9">
        <v>180383707</v>
      </c>
      <c r="CO168" s="31">
        <v>180383707</v>
      </c>
      <c r="CP168" s="9">
        <v>177369229</v>
      </c>
      <c r="CQ168" s="9">
        <v>177369229</v>
      </c>
      <c r="CR168" s="9">
        <v>177369229</v>
      </c>
      <c r="CS168" s="9">
        <v>175569574</v>
      </c>
      <c r="CT168" s="9">
        <v>204794475</v>
      </c>
      <c r="CU168" s="9">
        <v>204794475</v>
      </c>
      <c r="CV168" s="9">
        <v>204794475</v>
      </c>
      <c r="CW168" s="9">
        <v>212809140</v>
      </c>
      <c r="CX168" s="9">
        <v>212809140</v>
      </c>
      <c r="CY168" s="9">
        <v>209826261</v>
      </c>
      <c r="CZ168" s="9">
        <v>213755667</v>
      </c>
      <c r="DA168" s="9">
        <v>224405254</v>
      </c>
      <c r="DB168" s="31">
        <v>224405254</v>
      </c>
      <c r="DC168" s="9">
        <v>225560049</v>
      </c>
      <c r="DD168" s="9">
        <v>222189373</v>
      </c>
      <c r="DE168" s="9">
        <v>222189373</v>
      </c>
      <c r="DF168" s="9">
        <v>222189373</v>
      </c>
      <c r="DG168" s="9">
        <v>210439644</v>
      </c>
      <c r="DH168" s="9">
        <v>209980245</v>
      </c>
      <c r="DI168" s="9">
        <v>209811451</v>
      </c>
      <c r="DJ168" s="9">
        <v>207857276</v>
      </c>
      <c r="DK168" s="9">
        <v>204643276</v>
      </c>
      <c r="DL168" s="9">
        <v>204643276</v>
      </c>
      <c r="DM168" s="9">
        <v>202810669</v>
      </c>
      <c r="DN168" s="9">
        <v>199015330</v>
      </c>
      <c r="DO168" s="31">
        <v>199015330</v>
      </c>
      <c r="DP168" s="9">
        <v>261708490</v>
      </c>
      <c r="DQ168" s="9">
        <v>256214447</v>
      </c>
      <c r="DR168" s="9">
        <v>256214447</v>
      </c>
      <c r="DS168" s="9">
        <v>255696311</v>
      </c>
      <c r="DT168" s="9">
        <v>255634272</v>
      </c>
      <c r="DU168" s="9">
        <v>254448959</v>
      </c>
      <c r="DV168" s="9">
        <v>253487817</v>
      </c>
      <c r="DW168" s="9">
        <v>253487817</v>
      </c>
      <c r="DX168" s="9">
        <v>253487817</v>
      </c>
      <c r="DY168" s="9">
        <v>253019803</v>
      </c>
      <c r="DZ168" s="9">
        <v>244580966</v>
      </c>
      <c r="EA168" s="9">
        <v>219510229</v>
      </c>
      <c r="EB168" s="31">
        <v>219510229</v>
      </c>
      <c r="EC168" s="9">
        <v>259798881</v>
      </c>
      <c r="ED168" s="9">
        <v>259798881</v>
      </c>
      <c r="EE168" s="9">
        <v>253793858</v>
      </c>
      <c r="EF168" s="9">
        <v>253793858</v>
      </c>
      <c r="EG168" s="9">
        <v>251979629</v>
      </c>
      <c r="EH168" s="9">
        <v>251979629</v>
      </c>
      <c r="EI168" s="9">
        <v>250971976</v>
      </c>
      <c r="EJ168" s="9">
        <v>250971976</v>
      </c>
      <c r="EK168" s="9">
        <v>250971976</v>
      </c>
      <c r="EL168" s="9">
        <v>248314595</v>
      </c>
      <c r="EM168" s="9">
        <v>259414595</v>
      </c>
      <c r="EN168" s="9">
        <v>253260952</v>
      </c>
      <c r="EO168" s="31">
        <v>253260952</v>
      </c>
      <c r="EP168" s="9">
        <v>288622626</v>
      </c>
      <c r="EQ168" s="9">
        <v>281866986</v>
      </c>
      <c r="ER168" s="9">
        <v>279676204</v>
      </c>
      <c r="ES168" s="9">
        <v>278838975</v>
      </c>
      <c r="ET168" s="9">
        <v>278838975</v>
      </c>
      <c r="EU168" s="9">
        <v>276199607</v>
      </c>
      <c r="EV168" s="9">
        <v>290559537</v>
      </c>
      <c r="EW168" s="9">
        <v>290559537</v>
      </c>
      <c r="EX168" s="9">
        <v>290559537</v>
      </c>
      <c r="EY168" s="9">
        <v>311767170</v>
      </c>
      <c r="EZ168" s="9">
        <v>311767170</v>
      </c>
      <c r="FA168" s="9">
        <v>276265997</v>
      </c>
      <c r="FB168" s="31">
        <v>276265997</v>
      </c>
      <c r="FC168" s="9">
        <v>359934455</v>
      </c>
      <c r="FD168" s="9">
        <v>360334455</v>
      </c>
      <c r="FE168" s="9">
        <v>360334455</v>
      </c>
      <c r="FF168" s="9">
        <v>360334455</v>
      </c>
      <c r="FG168" s="9">
        <v>360334455</v>
      </c>
      <c r="FH168" s="9">
        <v>343615247</v>
      </c>
      <c r="FI168" s="9">
        <v>339013387</v>
      </c>
      <c r="FJ168" s="9">
        <v>339013387</v>
      </c>
      <c r="FK168" s="9">
        <v>339013387</v>
      </c>
      <c r="FL168" s="9">
        <v>339013387</v>
      </c>
      <c r="FM168" s="9">
        <v>339013387</v>
      </c>
      <c r="FN168" s="9">
        <v>339013387</v>
      </c>
      <c r="FO168" s="31">
        <v>339013387</v>
      </c>
    </row>
    <row r="169" spans="2:171" x14ac:dyDescent="0.3">
      <c r="B169" s="7" t="s">
        <v>47</v>
      </c>
      <c r="C169" s="9">
        <v>0</v>
      </c>
      <c r="D169" s="9">
        <v>0</v>
      </c>
      <c r="E169" s="9">
        <v>0</v>
      </c>
      <c r="F169" s="9">
        <v>0</v>
      </c>
      <c r="G169" s="9">
        <v>0</v>
      </c>
      <c r="H169" s="9">
        <v>0</v>
      </c>
      <c r="I169" s="9">
        <v>0</v>
      </c>
      <c r="J169" s="9">
        <v>0</v>
      </c>
      <c r="K169" s="9">
        <v>0</v>
      </c>
      <c r="L169" s="9">
        <v>0</v>
      </c>
      <c r="M169" s="9">
        <v>0</v>
      </c>
      <c r="N169" s="9">
        <v>0</v>
      </c>
      <c r="O169" s="31">
        <v>0</v>
      </c>
      <c r="P169" s="9">
        <v>0</v>
      </c>
      <c r="Q169" s="9">
        <v>0</v>
      </c>
      <c r="R169" s="9">
        <v>0</v>
      </c>
      <c r="S169" s="9">
        <v>0</v>
      </c>
      <c r="T169" s="9">
        <v>0</v>
      </c>
      <c r="U169" s="9">
        <v>0</v>
      </c>
      <c r="V169" s="9">
        <v>0</v>
      </c>
      <c r="W169" s="9">
        <v>0</v>
      </c>
      <c r="X169" s="9">
        <v>0</v>
      </c>
      <c r="Y169" s="9">
        <v>0</v>
      </c>
      <c r="Z169" s="9">
        <v>0</v>
      </c>
      <c r="AA169" s="9">
        <v>0</v>
      </c>
      <c r="AB169" s="31">
        <v>0</v>
      </c>
      <c r="AC169" s="9">
        <v>0</v>
      </c>
      <c r="AD169" s="9">
        <v>0</v>
      </c>
      <c r="AE169" s="9">
        <v>0</v>
      </c>
      <c r="AF169" s="9">
        <v>0</v>
      </c>
      <c r="AG169" s="9">
        <v>0</v>
      </c>
      <c r="AH169" s="9">
        <v>0</v>
      </c>
      <c r="AI169" s="9">
        <v>0</v>
      </c>
      <c r="AJ169" s="9">
        <v>0</v>
      </c>
      <c r="AK169" s="9">
        <v>0</v>
      </c>
      <c r="AL169" s="9">
        <v>0</v>
      </c>
      <c r="AM169" s="9">
        <v>0</v>
      </c>
      <c r="AN169" s="9">
        <v>0</v>
      </c>
      <c r="AO169" s="31">
        <v>0</v>
      </c>
      <c r="AP169" s="9">
        <v>0</v>
      </c>
      <c r="AQ169" s="9">
        <v>0</v>
      </c>
      <c r="AR169" s="9">
        <v>0</v>
      </c>
      <c r="AS169" s="9">
        <v>0</v>
      </c>
      <c r="AT169" s="9">
        <v>0</v>
      </c>
      <c r="AU169" s="9">
        <v>0</v>
      </c>
      <c r="AV169" s="9">
        <v>0</v>
      </c>
      <c r="AW169" s="9">
        <v>0</v>
      </c>
      <c r="AX169" s="9">
        <v>0</v>
      </c>
      <c r="AY169" s="9">
        <v>0</v>
      </c>
      <c r="AZ169" s="9">
        <v>0</v>
      </c>
      <c r="BA169" s="9">
        <v>0</v>
      </c>
      <c r="BB169" s="31">
        <v>0</v>
      </c>
      <c r="BC169" s="9">
        <v>0</v>
      </c>
      <c r="BD169" s="9">
        <v>0</v>
      </c>
      <c r="BE169" s="9">
        <v>0</v>
      </c>
      <c r="BF169" s="9">
        <v>0</v>
      </c>
      <c r="BG169" s="9">
        <v>0</v>
      </c>
      <c r="BH169" s="9">
        <v>0</v>
      </c>
      <c r="BI169" s="9">
        <v>0</v>
      </c>
      <c r="BJ169" s="9">
        <v>0</v>
      </c>
      <c r="BK169" s="9">
        <v>0</v>
      </c>
      <c r="BL169" s="9">
        <v>0</v>
      </c>
      <c r="BM169" s="9">
        <v>0</v>
      </c>
      <c r="BN169" s="9">
        <v>0</v>
      </c>
      <c r="BO169" s="31">
        <v>0</v>
      </c>
      <c r="BP169" s="9">
        <v>0</v>
      </c>
      <c r="BQ169" s="9">
        <v>0</v>
      </c>
      <c r="BR169" s="9">
        <v>0</v>
      </c>
      <c r="BS169" s="9">
        <v>0</v>
      </c>
      <c r="BT169" s="9">
        <v>0</v>
      </c>
      <c r="BU169" s="9">
        <v>0</v>
      </c>
      <c r="BV169" s="9">
        <v>0</v>
      </c>
      <c r="BW169" s="9">
        <v>0</v>
      </c>
      <c r="BX169" s="9">
        <v>0</v>
      </c>
      <c r="BY169" s="9">
        <v>0</v>
      </c>
      <c r="BZ169" s="9">
        <v>0</v>
      </c>
      <c r="CA169" s="9">
        <v>0</v>
      </c>
      <c r="CB169" s="31">
        <v>0</v>
      </c>
      <c r="CC169" s="9">
        <v>0</v>
      </c>
      <c r="CD169" s="9">
        <v>0</v>
      </c>
      <c r="CE169" s="9">
        <v>0</v>
      </c>
      <c r="CF169" s="9">
        <v>0</v>
      </c>
      <c r="CG169" s="9">
        <v>0</v>
      </c>
      <c r="CH169" s="9">
        <v>0</v>
      </c>
      <c r="CI169" s="9">
        <v>0</v>
      </c>
      <c r="CJ169" s="9">
        <v>0</v>
      </c>
      <c r="CK169" s="9">
        <v>0</v>
      </c>
      <c r="CL169" s="9">
        <v>0</v>
      </c>
      <c r="CM169" s="9">
        <v>0</v>
      </c>
      <c r="CN169" s="9">
        <v>0</v>
      </c>
      <c r="CO169" s="31">
        <v>0</v>
      </c>
      <c r="CP169" s="9">
        <v>0</v>
      </c>
      <c r="CQ169" s="9">
        <v>0</v>
      </c>
      <c r="CR169" s="9">
        <v>0</v>
      </c>
      <c r="CS169" s="9">
        <v>0</v>
      </c>
      <c r="CT169" s="9">
        <v>0</v>
      </c>
      <c r="CU169" s="9">
        <v>0</v>
      </c>
      <c r="CV169" s="9">
        <v>0</v>
      </c>
      <c r="CW169" s="9">
        <v>0</v>
      </c>
      <c r="CX169" s="9">
        <v>0</v>
      </c>
      <c r="CY169" s="9">
        <v>0</v>
      </c>
      <c r="CZ169" s="9">
        <v>0</v>
      </c>
      <c r="DA169" s="9">
        <v>0</v>
      </c>
      <c r="DB169" s="31">
        <v>0</v>
      </c>
      <c r="DC169" s="9">
        <v>0</v>
      </c>
      <c r="DD169" s="9">
        <v>0</v>
      </c>
      <c r="DE169" s="9">
        <v>0</v>
      </c>
      <c r="DF169" s="9">
        <v>0</v>
      </c>
      <c r="DG169" s="9">
        <v>0</v>
      </c>
      <c r="DH169" s="9">
        <v>0</v>
      </c>
      <c r="DI169" s="9">
        <v>0</v>
      </c>
      <c r="DJ169" s="9">
        <v>0</v>
      </c>
      <c r="DK169" s="9">
        <v>0</v>
      </c>
      <c r="DL169" s="9">
        <v>0</v>
      </c>
      <c r="DM169" s="9">
        <v>0</v>
      </c>
      <c r="DN169" s="9">
        <v>0</v>
      </c>
      <c r="DO169" s="31">
        <v>0</v>
      </c>
      <c r="DP169" s="9">
        <v>0</v>
      </c>
      <c r="DQ169" s="9">
        <v>0</v>
      </c>
      <c r="DR169" s="9">
        <v>0</v>
      </c>
      <c r="DS169" s="9">
        <v>0</v>
      </c>
      <c r="DT169" s="9">
        <v>0</v>
      </c>
      <c r="DU169" s="9">
        <v>0</v>
      </c>
      <c r="DV169" s="9">
        <v>0</v>
      </c>
      <c r="DW169" s="9">
        <v>0</v>
      </c>
      <c r="DX169" s="9">
        <v>0</v>
      </c>
      <c r="DY169" s="9">
        <v>0</v>
      </c>
      <c r="DZ169" s="9">
        <v>0</v>
      </c>
      <c r="EA169" s="9">
        <v>0</v>
      </c>
      <c r="EB169" s="31">
        <v>0</v>
      </c>
      <c r="EC169" s="9">
        <v>0</v>
      </c>
      <c r="ED169" s="9">
        <v>0</v>
      </c>
      <c r="EE169" s="9">
        <v>0</v>
      </c>
      <c r="EF169" s="9">
        <v>0</v>
      </c>
      <c r="EG169" s="9">
        <v>0</v>
      </c>
      <c r="EH169" s="9">
        <v>0</v>
      </c>
      <c r="EI169" s="9">
        <v>0</v>
      </c>
      <c r="EJ169" s="9">
        <v>0</v>
      </c>
      <c r="EK169" s="9">
        <v>0</v>
      </c>
      <c r="EL169" s="9">
        <v>0</v>
      </c>
      <c r="EM169" s="9">
        <v>0</v>
      </c>
      <c r="EN169" s="9">
        <v>0</v>
      </c>
      <c r="EO169" s="31">
        <v>0</v>
      </c>
      <c r="EP169" s="9">
        <v>0</v>
      </c>
      <c r="EQ169" s="9">
        <v>0</v>
      </c>
      <c r="ER169" s="9">
        <v>0</v>
      </c>
      <c r="ES169" s="9">
        <v>0</v>
      </c>
      <c r="ET169" s="9">
        <v>0</v>
      </c>
      <c r="EU169" s="9">
        <v>0</v>
      </c>
      <c r="EV169" s="9">
        <v>0</v>
      </c>
      <c r="EW169" s="9">
        <v>0</v>
      </c>
      <c r="EX169" s="9">
        <v>0</v>
      </c>
      <c r="EY169" s="9">
        <v>0</v>
      </c>
      <c r="EZ169" s="9">
        <v>0</v>
      </c>
      <c r="FA169" s="9">
        <v>0</v>
      </c>
      <c r="FB169" s="31">
        <v>0</v>
      </c>
      <c r="FC169" s="9">
        <v>0</v>
      </c>
      <c r="FD169" s="9">
        <v>0</v>
      </c>
      <c r="FE169" s="9">
        <v>0</v>
      </c>
      <c r="FF169" s="9">
        <v>0</v>
      </c>
      <c r="FG169" s="9">
        <v>0</v>
      </c>
      <c r="FH169" s="9">
        <v>0</v>
      </c>
      <c r="FI169" s="9">
        <v>0</v>
      </c>
      <c r="FJ169" s="9">
        <v>0</v>
      </c>
      <c r="FK169" s="9">
        <v>0</v>
      </c>
      <c r="FL169" s="9">
        <v>0</v>
      </c>
      <c r="FM169" s="9">
        <v>0</v>
      </c>
      <c r="FN169" s="9">
        <v>0</v>
      </c>
      <c r="FO169" s="31">
        <v>0</v>
      </c>
    </row>
    <row r="170" spans="2:171" x14ac:dyDescent="0.3">
      <c r="B170" s="7" t="s">
        <v>48</v>
      </c>
      <c r="C170" s="9">
        <v>8297885</v>
      </c>
      <c r="D170" s="9">
        <v>8297885</v>
      </c>
      <c r="E170" s="9">
        <v>8297885</v>
      </c>
      <c r="F170" s="9">
        <v>8297885</v>
      </c>
      <c r="G170" s="9">
        <v>8297885</v>
      </c>
      <c r="H170" s="9">
        <v>8297885</v>
      </c>
      <c r="I170" s="9">
        <v>8297885</v>
      </c>
      <c r="J170" s="9">
        <v>8518500</v>
      </c>
      <c r="K170" s="9">
        <v>7985505</v>
      </c>
      <c r="L170" s="9">
        <v>7985505</v>
      </c>
      <c r="M170" s="9">
        <v>8932715</v>
      </c>
      <c r="N170" s="9">
        <v>9276374</v>
      </c>
      <c r="O170" s="31">
        <v>9276374</v>
      </c>
      <c r="P170" s="9">
        <v>28356652</v>
      </c>
      <c r="Q170" s="9">
        <v>28427267</v>
      </c>
      <c r="R170" s="9">
        <v>28427267</v>
      </c>
      <c r="S170" s="9">
        <v>28427267</v>
      </c>
      <c r="T170" s="9">
        <v>28427267</v>
      </c>
      <c r="U170" s="9">
        <v>20589289</v>
      </c>
      <c r="V170" s="9">
        <v>20589289</v>
      </c>
      <c r="W170" s="9">
        <v>20589289</v>
      </c>
      <c r="X170" s="9">
        <v>20589289</v>
      </c>
      <c r="Y170" s="9">
        <v>20589289</v>
      </c>
      <c r="Z170" s="9">
        <v>20592189</v>
      </c>
      <c r="AA170" s="9">
        <v>22092189</v>
      </c>
      <c r="AB170" s="31">
        <v>22092189</v>
      </c>
      <c r="AC170" s="9">
        <v>35733043</v>
      </c>
      <c r="AD170" s="9">
        <v>35838965</v>
      </c>
      <c r="AE170" s="9">
        <v>35838965</v>
      </c>
      <c r="AF170" s="9">
        <v>48030193</v>
      </c>
      <c r="AG170" s="9">
        <v>48030193</v>
      </c>
      <c r="AH170" s="9">
        <v>34099892</v>
      </c>
      <c r="AI170" s="9">
        <v>34038892</v>
      </c>
      <c r="AJ170" s="9">
        <v>34083892</v>
      </c>
      <c r="AK170" s="9">
        <v>34083892</v>
      </c>
      <c r="AL170" s="9">
        <v>34083892</v>
      </c>
      <c r="AM170" s="9">
        <v>34086892</v>
      </c>
      <c r="AN170" s="9">
        <v>36177929</v>
      </c>
      <c r="AO170" s="31">
        <v>36177929</v>
      </c>
      <c r="AP170" s="9">
        <v>12944625</v>
      </c>
      <c r="AQ170" s="9">
        <v>12944625</v>
      </c>
      <c r="AR170" s="9">
        <v>12944625</v>
      </c>
      <c r="AS170" s="9">
        <v>12944625</v>
      </c>
      <c r="AT170" s="9">
        <v>12944625</v>
      </c>
      <c r="AU170" s="9">
        <v>16843805</v>
      </c>
      <c r="AV170" s="9">
        <v>16843805</v>
      </c>
      <c r="AW170" s="9">
        <v>20638822</v>
      </c>
      <c r="AX170" s="9">
        <v>20638822</v>
      </c>
      <c r="AY170" s="9">
        <v>20588822</v>
      </c>
      <c r="AZ170" s="9">
        <v>20569072</v>
      </c>
      <c r="BA170" s="9">
        <v>20259024</v>
      </c>
      <c r="BB170" s="31">
        <v>20259024</v>
      </c>
      <c r="BC170" s="9">
        <v>12563770</v>
      </c>
      <c r="BD170" s="9">
        <v>12634384</v>
      </c>
      <c r="BE170" s="9">
        <v>12634384</v>
      </c>
      <c r="BF170" s="9">
        <v>12634384</v>
      </c>
      <c r="BG170" s="9">
        <v>12634384</v>
      </c>
      <c r="BH170" s="9">
        <v>12634384</v>
      </c>
      <c r="BI170" s="9">
        <v>12634384</v>
      </c>
      <c r="BJ170" s="9">
        <v>11765951</v>
      </c>
      <c r="BK170" s="9">
        <v>14841151</v>
      </c>
      <c r="BL170" s="9">
        <v>15399883</v>
      </c>
      <c r="BM170" s="9">
        <v>15399883</v>
      </c>
      <c r="BN170" s="9">
        <v>11370931</v>
      </c>
      <c r="BO170" s="31">
        <v>11370931</v>
      </c>
      <c r="BP170" s="9">
        <v>20737295</v>
      </c>
      <c r="BQ170" s="9">
        <v>20737295</v>
      </c>
      <c r="BR170" s="9">
        <v>20813829</v>
      </c>
      <c r="BS170" s="9">
        <v>20813829</v>
      </c>
      <c r="BT170" s="9">
        <v>20813829</v>
      </c>
      <c r="BU170" s="9">
        <v>20813829</v>
      </c>
      <c r="BV170" s="9">
        <v>18552076</v>
      </c>
      <c r="BW170" s="9">
        <v>29520542</v>
      </c>
      <c r="BX170" s="9">
        <v>22380083</v>
      </c>
      <c r="BY170" s="9">
        <v>22380083</v>
      </c>
      <c r="BZ170" s="9">
        <v>22380083</v>
      </c>
      <c r="CA170" s="9">
        <v>26977948</v>
      </c>
      <c r="CB170" s="31">
        <v>26977948</v>
      </c>
      <c r="CC170" s="9">
        <v>21329416</v>
      </c>
      <c r="CD170" s="9">
        <v>21329416</v>
      </c>
      <c r="CE170" s="9">
        <v>21329416</v>
      </c>
      <c r="CF170" s="9">
        <v>51329416</v>
      </c>
      <c r="CG170" s="9">
        <v>38894198</v>
      </c>
      <c r="CH170" s="9">
        <v>38894198</v>
      </c>
      <c r="CI170" s="9">
        <v>38894198</v>
      </c>
      <c r="CJ170" s="9">
        <v>38894198</v>
      </c>
      <c r="CK170" s="9">
        <v>38944198</v>
      </c>
      <c r="CL170" s="9">
        <v>54051041</v>
      </c>
      <c r="CM170" s="9">
        <v>54057041</v>
      </c>
      <c r="CN170" s="9">
        <v>56185557</v>
      </c>
      <c r="CO170" s="31">
        <v>56185557</v>
      </c>
      <c r="CP170" s="9">
        <v>28635739</v>
      </c>
      <c r="CQ170" s="9">
        <v>28635739</v>
      </c>
      <c r="CR170" s="9">
        <v>28675739</v>
      </c>
      <c r="CS170" s="9">
        <v>33880010</v>
      </c>
      <c r="CT170" s="9">
        <v>30529155</v>
      </c>
      <c r="CU170" s="9">
        <v>30529155</v>
      </c>
      <c r="CV170" s="9">
        <v>30529155</v>
      </c>
      <c r="CW170" s="9">
        <v>29330781</v>
      </c>
      <c r="CX170" s="9">
        <v>29330781</v>
      </c>
      <c r="CY170" s="9">
        <v>29330781</v>
      </c>
      <c r="CZ170" s="9">
        <v>29330781</v>
      </c>
      <c r="DA170" s="9">
        <v>31499910</v>
      </c>
      <c r="DB170" s="31">
        <v>31499910</v>
      </c>
      <c r="DC170" s="9">
        <v>39356191</v>
      </c>
      <c r="DD170" s="9">
        <v>40557843</v>
      </c>
      <c r="DE170" s="9">
        <v>40557843</v>
      </c>
      <c r="DF170" s="9">
        <v>40557843</v>
      </c>
      <c r="DG170" s="9">
        <v>40557843</v>
      </c>
      <c r="DH170" s="9">
        <v>40557843</v>
      </c>
      <c r="DI170" s="9">
        <v>40557843</v>
      </c>
      <c r="DJ170" s="9">
        <v>40557843</v>
      </c>
      <c r="DK170" s="9">
        <v>40547843</v>
      </c>
      <c r="DL170" s="9">
        <v>40547843</v>
      </c>
      <c r="DM170" s="9">
        <v>40547843</v>
      </c>
      <c r="DN170" s="9">
        <v>39145795</v>
      </c>
      <c r="DO170" s="31">
        <v>39145795</v>
      </c>
      <c r="DP170" s="9">
        <v>78240619</v>
      </c>
      <c r="DQ170" s="9">
        <v>78280619</v>
      </c>
      <c r="DR170" s="9">
        <v>78280619</v>
      </c>
      <c r="DS170" s="9">
        <v>78280619</v>
      </c>
      <c r="DT170" s="9">
        <v>78280619</v>
      </c>
      <c r="DU170" s="9">
        <v>78280619</v>
      </c>
      <c r="DV170" s="9">
        <v>78280619</v>
      </c>
      <c r="DW170" s="9">
        <v>78280619</v>
      </c>
      <c r="DX170" s="9">
        <v>78280619</v>
      </c>
      <c r="DY170" s="9">
        <v>78280619</v>
      </c>
      <c r="DZ170" s="9">
        <v>78280619</v>
      </c>
      <c r="EA170" s="9">
        <v>78315638</v>
      </c>
      <c r="EB170" s="31">
        <v>78315638</v>
      </c>
      <c r="EC170" s="9">
        <v>70228343</v>
      </c>
      <c r="ED170" s="9">
        <v>70228343</v>
      </c>
      <c r="EE170" s="9">
        <v>70468343</v>
      </c>
      <c r="EF170" s="9">
        <v>70468343</v>
      </c>
      <c r="EG170" s="9">
        <v>70468343</v>
      </c>
      <c r="EH170" s="9">
        <v>70468343</v>
      </c>
      <c r="EI170" s="9">
        <v>74227631</v>
      </c>
      <c r="EJ170" s="9">
        <v>74227631</v>
      </c>
      <c r="EK170" s="9">
        <v>75227631</v>
      </c>
      <c r="EL170" s="9">
        <v>80777707</v>
      </c>
      <c r="EM170" s="9">
        <v>82777707</v>
      </c>
      <c r="EN170" s="9">
        <v>83210671</v>
      </c>
      <c r="EO170" s="31">
        <v>83210671</v>
      </c>
      <c r="EP170" s="9">
        <v>102230033</v>
      </c>
      <c r="EQ170" s="9">
        <v>102307191</v>
      </c>
      <c r="ER170" s="9">
        <v>102307191</v>
      </c>
      <c r="ES170" s="9">
        <v>102307191</v>
      </c>
      <c r="ET170" s="9">
        <v>102307191</v>
      </c>
      <c r="EU170" s="9">
        <v>102307191</v>
      </c>
      <c r="EV170" s="9">
        <v>102157891</v>
      </c>
      <c r="EW170" s="9">
        <v>102157891</v>
      </c>
      <c r="EX170" s="9">
        <v>102157891</v>
      </c>
      <c r="EY170" s="9">
        <v>101822139</v>
      </c>
      <c r="EZ170" s="9">
        <v>100752314</v>
      </c>
      <c r="FA170" s="9">
        <v>98783726</v>
      </c>
      <c r="FB170" s="31">
        <v>98783726</v>
      </c>
      <c r="FC170" s="9">
        <v>109150858</v>
      </c>
      <c r="FD170" s="9">
        <v>106800858</v>
      </c>
      <c r="FE170" s="9">
        <v>106800858</v>
      </c>
      <c r="FF170" s="9">
        <v>106800858</v>
      </c>
      <c r="FG170" s="9">
        <v>106800858</v>
      </c>
      <c r="FH170" s="9">
        <v>107371045</v>
      </c>
      <c r="FI170" s="9">
        <v>107371045</v>
      </c>
      <c r="FJ170" s="9">
        <v>107371045</v>
      </c>
      <c r="FK170" s="9">
        <v>107371045</v>
      </c>
      <c r="FL170" s="9">
        <v>107371045</v>
      </c>
      <c r="FM170" s="9">
        <v>107371045</v>
      </c>
      <c r="FN170" s="9">
        <v>107371045</v>
      </c>
      <c r="FO170" s="31">
        <v>107371045</v>
      </c>
    </row>
    <row r="171" spans="2:171" x14ac:dyDescent="0.3">
      <c r="B171" s="7" t="s">
        <v>49</v>
      </c>
      <c r="C171" s="9">
        <v>17352369</v>
      </c>
      <c r="D171" s="9">
        <v>17352369</v>
      </c>
      <c r="E171" s="9">
        <v>17510973</v>
      </c>
      <c r="F171" s="9">
        <v>17510973</v>
      </c>
      <c r="G171" s="9">
        <v>17510973</v>
      </c>
      <c r="H171" s="9">
        <v>17752095</v>
      </c>
      <c r="I171" s="9">
        <v>17752095</v>
      </c>
      <c r="J171" s="9">
        <v>17958701</v>
      </c>
      <c r="K171" s="9">
        <v>18458391</v>
      </c>
      <c r="L171" s="9">
        <v>18458391</v>
      </c>
      <c r="M171" s="9">
        <v>18923482</v>
      </c>
      <c r="N171" s="9">
        <v>18458521</v>
      </c>
      <c r="O171" s="31">
        <v>18458521</v>
      </c>
      <c r="P171" s="9">
        <v>27145515</v>
      </c>
      <c r="Q171" s="9">
        <v>23819627</v>
      </c>
      <c r="R171" s="9">
        <v>23819627</v>
      </c>
      <c r="S171" s="9">
        <v>21366679</v>
      </c>
      <c r="T171" s="9">
        <v>21366679</v>
      </c>
      <c r="U171" s="9">
        <v>32614139</v>
      </c>
      <c r="V171" s="9">
        <v>32614139</v>
      </c>
      <c r="W171" s="9">
        <v>32614139</v>
      </c>
      <c r="X171" s="9">
        <v>33620273</v>
      </c>
      <c r="Y171" s="9">
        <v>30729285</v>
      </c>
      <c r="Z171" s="9">
        <v>31341395</v>
      </c>
      <c r="AA171" s="9">
        <v>38427269</v>
      </c>
      <c r="AB171" s="31">
        <v>38427269</v>
      </c>
      <c r="AC171" s="9">
        <v>72904850</v>
      </c>
      <c r="AD171" s="9">
        <v>73407156</v>
      </c>
      <c r="AE171" s="9">
        <v>73407156</v>
      </c>
      <c r="AF171" s="9">
        <v>73387967</v>
      </c>
      <c r="AG171" s="9">
        <v>64769881</v>
      </c>
      <c r="AH171" s="9">
        <v>63725573</v>
      </c>
      <c r="AI171" s="9">
        <v>61078873</v>
      </c>
      <c r="AJ171" s="9">
        <v>60940878</v>
      </c>
      <c r="AK171" s="9">
        <v>60940878</v>
      </c>
      <c r="AL171" s="9">
        <v>60941792</v>
      </c>
      <c r="AM171" s="9">
        <v>60671792</v>
      </c>
      <c r="AN171" s="9">
        <v>55193869</v>
      </c>
      <c r="AO171" s="31">
        <v>55193869</v>
      </c>
      <c r="AP171" s="9">
        <v>50960967</v>
      </c>
      <c r="AQ171" s="9">
        <v>51378065</v>
      </c>
      <c r="AR171" s="9">
        <v>51378065</v>
      </c>
      <c r="AS171" s="9">
        <v>51378065</v>
      </c>
      <c r="AT171" s="9">
        <v>51378065</v>
      </c>
      <c r="AU171" s="9">
        <v>46288518</v>
      </c>
      <c r="AV171" s="9">
        <v>46288518</v>
      </c>
      <c r="AW171" s="9">
        <v>46288518</v>
      </c>
      <c r="AX171" s="9">
        <v>46288518</v>
      </c>
      <c r="AY171" s="9">
        <v>46188518</v>
      </c>
      <c r="AZ171" s="9">
        <v>43335293</v>
      </c>
      <c r="BA171" s="9">
        <v>44001824</v>
      </c>
      <c r="BB171" s="31">
        <v>44001824</v>
      </c>
      <c r="BC171" s="9">
        <v>51316746</v>
      </c>
      <c r="BD171" s="9">
        <v>51833646</v>
      </c>
      <c r="BE171" s="9">
        <v>51833646</v>
      </c>
      <c r="BF171" s="9">
        <v>51833646</v>
      </c>
      <c r="BG171" s="9">
        <v>51833646</v>
      </c>
      <c r="BH171" s="9">
        <v>51833646</v>
      </c>
      <c r="BI171" s="9">
        <v>51833646</v>
      </c>
      <c r="BJ171" s="9">
        <v>49659174</v>
      </c>
      <c r="BK171" s="9">
        <v>49659174</v>
      </c>
      <c r="BL171" s="9">
        <v>44024202</v>
      </c>
      <c r="BM171" s="9">
        <v>44024202</v>
      </c>
      <c r="BN171" s="9">
        <v>39817150</v>
      </c>
      <c r="BO171" s="31">
        <v>39817150</v>
      </c>
      <c r="BP171" s="9">
        <v>39657232</v>
      </c>
      <c r="BQ171" s="9">
        <v>39657232</v>
      </c>
      <c r="BR171" s="9">
        <v>39657232</v>
      </c>
      <c r="BS171" s="9">
        <v>39657232</v>
      </c>
      <c r="BT171" s="9">
        <v>39657232</v>
      </c>
      <c r="BU171" s="9">
        <v>39657232</v>
      </c>
      <c r="BV171" s="9">
        <v>34500534</v>
      </c>
      <c r="BW171" s="9">
        <v>34540534</v>
      </c>
      <c r="BX171" s="9">
        <v>34295995</v>
      </c>
      <c r="BY171" s="9">
        <v>34295995</v>
      </c>
      <c r="BZ171" s="9">
        <v>34295995</v>
      </c>
      <c r="CA171" s="9">
        <v>34365515</v>
      </c>
      <c r="CB171" s="31">
        <v>34365515</v>
      </c>
      <c r="CC171" s="9">
        <v>40726333</v>
      </c>
      <c r="CD171" s="9">
        <v>40726333</v>
      </c>
      <c r="CE171" s="9">
        <v>40726333</v>
      </c>
      <c r="CF171" s="9">
        <v>68766333</v>
      </c>
      <c r="CG171" s="9">
        <v>52106796</v>
      </c>
      <c r="CH171" s="9">
        <v>49870314</v>
      </c>
      <c r="CI171" s="9">
        <v>46087314</v>
      </c>
      <c r="CJ171" s="9">
        <v>46087314</v>
      </c>
      <c r="CK171" s="9">
        <v>46087314</v>
      </c>
      <c r="CL171" s="9">
        <v>41202493</v>
      </c>
      <c r="CM171" s="9">
        <v>41193493</v>
      </c>
      <c r="CN171" s="9">
        <v>38711768</v>
      </c>
      <c r="CO171" s="31">
        <v>38711768</v>
      </c>
      <c r="CP171" s="9">
        <v>49281590</v>
      </c>
      <c r="CQ171" s="9">
        <v>49281590</v>
      </c>
      <c r="CR171" s="9">
        <v>49321590</v>
      </c>
      <c r="CS171" s="9">
        <v>49868346</v>
      </c>
      <c r="CT171" s="9">
        <v>46285227</v>
      </c>
      <c r="CU171" s="9">
        <v>46285227</v>
      </c>
      <c r="CV171" s="9">
        <v>46285227</v>
      </c>
      <c r="CW171" s="9">
        <v>46085227</v>
      </c>
      <c r="CX171" s="9">
        <v>46020466</v>
      </c>
      <c r="CY171" s="9">
        <v>46107696</v>
      </c>
      <c r="CZ171" s="9">
        <v>49092696</v>
      </c>
      <c r="DA171" s="9">
        <v>39382594</v>
      </c>
      <c r="DB171" s="31">
        <v>39382594</v>
      </c>
      <c r="DC171" s="9">
        <v>65497216</v>
      </c>
      <c r="DD171" s="9">
        <v>67599285</v>
      </c>
      <c r="DE171" s="9">
        <v>67599285</v>
      </c>
      <c r="DF171" s="9">
        <v>67599285</v>
      </c>
      <c r="DG171" s="9">
        <v>67599285</v>
      </c>
      <c r="DH171" s="9">
        <v>67599285</v>
      </c>
      <c r="DI171" s="9">
        <v>67599285</v>
      </c>
      <c r="DJ171" s="9">
        <v>68069285</v>
      </c>
      <c r="DK171" s="9">
        <v>86329960</v>
      </c>
      <c r="DL171" s="9">
        <v>86329960</v>
      </c>
      <c r="DM171" s="9">
        <v>86329960</v>
      </c>
      <c r="DN171" s="9">
        <v>85934589</v>
      </c>
      <c r="DO171" s="31">
        <v>85934589</v>
      </c>
      <c r="DP171" s="9">
        <v>88307532</v>
      </c>
      <c r="DQ171" s="9">
        <v>84409286</v>
      </c>
      <c r="DR171" s="9">
        <v>84409286</v>
      </c>
      <c r="DS171" s="9">
        <v>84409286</v>
      </c>
      <c r="DT171" s="9">
        <v>84469825</v>
      </c>
      <c r="DU171" s="9">
        <v>93469825</v>
      </c>
      <c r="DV171" s="9">
        <v>93469825</v>
      </c>
      <c r="DW171" s="9">
        <v>93469825</v>
      </c>
      <c r="DX171" s="9">
        <v>93469825</v>
      </c>
      <c r="DY171" s="9">
        <v>93469825</v>
      </c>
      <c r="DZ171" s="9">
        <v>93996307</v>
      </c>
      <c r="EA171" s="9">
        <v>91826366</v>
      </c>
      <c r="EB171" s="31">
        <v>91826366</v>
      </c>
      <c r="EC171" s="9">
        <v>97459423</v>
      </c>
      <c r="ED171" s="9">
        <v>97459423</v>
      </c>
      <c r="EE171" s="9">
        <v>98169304</v>
      </c>
      <c r="EF171" s="9">
        <v>98169304</v>
      </c>
      <c r="EG171" s="9">
        <v>98320593</v>
      </c>
      <c r="EH171" s="9">
        <v>98320593</v>
      </c>
      <c r="EI171" s="9">
        <v>98320593</v>
      </c>
      <c r="EJ171" s="9">
        <v>98320593</v>
      </c>
      <c r="EK171" s="9">
        <v>98320593</v>
      </c>
      <c r="EL171" s="9">
        <v>88269707</v>
      </c>
      <c r="EM171" s="9">
        <v>88269707</v>
      </c>
      <c r="EN171" s="9">
        <v>81745804</v>
      </c>
      <c r="EO171" s="31">
        <v>81745804</v>
      </c>
      <c r="EP171" s="9">
        <v>125360133</v>
      </c>
      <c r="EQ171" s="9">
        <v>125442633</v>
      </c>
      <c r="ER171" s="9">
        <v>125482633</v>
      </c>
      <c r="ES171" s="9">
        <v>125482633</v>
      </c>
      <c r="ET171" s="9">
        <v>125482633</v>
      </c>
      <c r="EU171" s="9">
        <v>136297860</v>
      </c>
      <c r="EV171" s="9">
        <v>135281204</v>
      </c>
      <c r="EW171" s="9">
        <v>135281204</v>
      </c>
      <c r="EX171" s="9">
        <v>135281204</v>
      </c>
      <c r="EY171" s="9">
        <v>130217135</v>
      </c>
      <c r="EZ171" s="9">
        <v>129351635</v>
      </c>
      <c r="FA171" s="9">
        <v>119605336</v>
      </c>
      <c r="FB171" s="31">
        <v>119605336</v>
      </c>
      <c r="FC171" s="9">
        <v>124147527</v>
      </c>
      <c r="FD171" s="9">
        <v>122147527</v>
      </c>
      <c r="FE171" s="9">
        <v>122147527</v>
      </c>
      <c r="FF171" s="9">
        <v>122147527</v>
      </c>
      <c r="FG171" s="9">
        <v>122147527</v>
      </c>
      <c r="FH171" s="9">
        <v>122698381</v>
      </c>
      <c r="FI171" s="9">
        <v>122698381</v>
      </c>
      <c r="FJ171" s="9">
        <v>122698381</v>
      </c>
      <c r="FK171" s="9">
        <v>122698381</v>
      </c>
      <c r="FL171" s="9">
        <v>122698381</v>
      </c>
      <c r="FM171" s="9">
        <v>122698381</v>
      </c>
      <c r="FN171" s="9">
        <v>122698381</v>
      </c>
      <c r="FO171" s="31">
        <v>122698381</v>
      </c>
    </row>
    <row r="172" spans="2:171" x14ac:dyDescent="0.3">
      <c r="B172" s="7" t="s">
        <v>50</v>
      </c>
      <c r="C172" s="9">
        <v>16777800</v>
      </c>
      <c r="D172" s="9">
        <v>16777800</v>
      </c>
      <c r="E172" s="9">
        <v>17230544</v>
      </c>
      <c r="F172" s="9">
        <v>17230544</v>
      </c>
      <c r="G172" s="9">
        <v>17230544</v>
      </c>
      <c r="H172" s="9">
        <v>18159521</v>
      </c>
      <c r="I172" s="9">
        <v>18159521</v>
      </c>
      <c r="J172" s="9">
        <v>18305443</v>
      </c>
      <c r="K172" s="9">
        <v>17514442</v>
      </c>
      <c r="L172" s="9">
        <v>17514442</v>
      </c>
      <c r="M172" s="9">
        <v>17514442</v>
      </c>
      <c r="N172" s="9">
        <v>17221140</v>
      </c>
      <c r="O172" s="31">
        <v>17221140</v>
      </c>
      <c r="P172" s="9">
        <v>20783966</v>
      </c>
      <c r="Q172" s="9">
        <v>21687905</v>
      </c>
      <c r="R172" s="9">
        <v>21687905</v>
      </c>
      <c r="S172" s="9">
        <v>21687905</v>
      </c>
      <c r="T172" s="9">
        <v>21687905</v>
      </c>
      <c r="U172" s="9">
        <v>21938540</v>
      </c>
      <c r="V172" s="9">
        <v>22055020</v>
      </c>
      <c r="W172" s="9">
        <v>22055020</v>
      </c>
      <c r="X172" s="9">
        <v>22309449</v>
      </c>
      <c r="Y172" s="9">
        <v>22309449</v>
      </c>
      <c r="Z172" s="9">
        <v>22309449</v>
      </c>
      <c r="AA172" s="9">
        <v>22950451</v>
      </c>
      <c r="AB172" s="31">
        <v>22950451</v>
      </c>
      <c r="AC172" s="9">
        <v>24062875</v>
      </c>
      <c r="AD172" s="9">
        <v>24522320</v>
      </c>
      <c r="AE172" s="9">
        <v>24522320</v>
      </c>
      <c r="AF172" s="9">
        <v>24522320</v>
      </c>
      <c r="AG172" s="9">
        <v>24522320</v>
      </c>
      <c r="AH172" s="9">
        <v>20933821</v>
      </c>
      <c r="AI172" s="9">
        <v>20933821</v>
      </c>
      <c r="AJ172" s="9">
        <v>20933821</v>
      </c>
      <c r="AK172" s="9">
        <v>20933821</v>
      </c>
      <c r="AL172" s="9">
        <v>22739493</v>
      </c>
      <c r="AM172" s="9">
        <v>26153777</v>
      </c>
      <c r="AN172" s="9">
        <v>26596371</v>
      </c>
      <c r="AO172" s="31">
        <v>26596371</v>
      </c>
      <c r="AP172" s="9">
        <v>19872709</v>
      </c>
      <c r="AQ172" s="9">
        <v>20271456</v>
      </c>
      <c r="AR172" s="9">
        <v>20271456</v>
      </c>
      <c r="AS172" s="9">
        <v>20271456</v>
      </c>
      <c r="AT172" s="9">
        <v>20271456</v>
      </c>
      <c r="AU172" s="9">
        <v>23087637</v>
      </c>
      <c r="AV172" s="9">
        <v>26501469</v>
      </c>
      <c r="AW172" s="9">
        <v>26501469</v>
      </c>
      <c r="AX172" s="9">
        <v>26501469</v>
      </c>
      <c r="AY172" s="9">
        <v>28401469</v>
      </c>
      <c r="AZ172" s="9">
        <v>28401469</v>
      </c>
      <c r="BA172" s="9">
        <v>29969288</v>
      </c>
      <c r="BB172" s="31">
        <v>29969288</v>
      </c>
      <c r="BC172" s="9">
        <v>16850923</v>
      </c>
      <c r="BD172" s="9">
        <v>17354764</v>
      </c>
      <c r="BE172" s="9">
        <v>17354764</v>
      </c>
      <c r="BF172" s="9">
        <v>17354764</v>
      </c>
      <c r="BG172" s="9">
        <v>17354764</v>
      </c>
      <c r="BH172" s="9">
        <v>18554764</v>
      </c>
      <c r="BI172" s="9">
        <v>22554764</v>
      </c>
      <c r="BJ172" s="9">
        <v>24104764</v>
      </c>
      <c r="BK172" s="9">
        <v>24104764</v>
      </c>
      <c r="BL172" s="9">
        <v>22592651</v>
      </c>
      <c r="BM172" s="9">
        <v>22592651</v>
      </c>
      <c r="BN172" s="9">
        <v>21994209</v>
      </c>
      <c r="BO172" s="31">
        <v>21994209</v>
      </c>
      <c r="BP172" s="9">
        <v>29301813</v>
      </c>
      <c r="BQ172" s="9">
        <v>29301813</v>
      </c>
      <c r="BR172" s="9">
        <v>29423925</v>
      </c>
      <c r="BS172" s="9">
        <v>29423925</v>
      </c>
      <c r="BT172" s="9">
        <v>29423925</v>
      </c>
      <c r="BU172" s="9">
        <v>29423925</v>
      </c>
      <c r="BV172" s="9">
        <v>34150651</v>
      </c>
      <c r="BW172" s="9">
        <v>33514931</v>
      </c>
      <c r="BX172" s="9">
        <v>36153363</v>
      </c>
      <c r="BY172" s="9">
        <v>36153363</v>
      </c>
      <c r="BZ172" s="9">
        <v>36153363</v>
      </c>
      <c r="CA172" s="9">
        <v>36155409</v>
      </c>
      <c r="CB172" s="31">
        <v>36155409</v>
      </c>
      <c r="CC172" s="9">
        <v>30116117</v>
      </c>
      <c r="CD172" s="9">
        <v>30116117</v>
      </c>
      <c r="CE172" s="9">
        <v>35404694</v>
      </c>
      <c r="CF172" s="9">
        <v>40404694</v>
      </c>
      <c r="CG172" s="9">
        <v>30616132</v>
      </c>
      <c r="CH172" s="9">
        <v>30616132</v>
      </c>
      <c r="CI172" s="9">
        <v>30656132</v>
      </c>
      <c r="CJ172" s="9">
        <v>30656132</v>
      </c>
      <c r="CK172" s="9">
        <v>30736132</v>
      </c>
      <c r="CL172" s="9">
        <v>44112696</v>
      </c>
      <c r="CM172" s="9">
        <v>44096797</v>
      </c>
      <c r="CN172" s="9">
        <v>47638383</v>
      </c>
      <c r="CO172" s="31">
        <v>47638383</v>
      </c>
      <c r="CP172" s="9">
        <v>33675173</v>
      </c>
      <c r="CQ172" s="9">
        <v>42175173</v>
      </c>
      <c r="CR172" s="9">
        <v>42175173</v>
      </c>
      <c r="CS172" s="9">
        <v>42175173</v>
      </c>
      <c r="CT172" s="9">
        <v>42088198</v>
      </c>
      <c r="CU172" s="9">
        <v>42088198</v>
      </c>
      <c r="CV172" s="9">
        <v>42088198</v>
      </c>
      <c r="CW172" s="9">
        <v>41488198</v>
      </c>
      <c r="CX172" s="9">
        <v>41488198</v>
      </c>
      <c r="CY172" s="9">
        <v>41591072</v>
      </c>
      <c r="CZ172" s="9">
        <v>47046072</v>
      </c>
      <c r="DA172" s="9">
        <v>47720605</v>
      </c>
      <c r="DB172" s="31">
        <v>47720605</v>
      </c>
      <c r="DC172" s="9">
        <v>44146114</v>
      </c>
      <c r="DD172" s="9">
        <v>46124389</v>
      </c>
      <c r="DE172" s="9">
        <v>46124389</v>
      </c>
      <c r="DF172" s="9">
        <v>46124389</v>
      </c>
      <c r="DG172" s="9">
        <v>46124389</v>
      </c>
      <c r="DH172" s="9">
        <v>46124389</v>
      </c>
      <c r="DI172" s="9">
        <v>46124389</v>
      </c>
      <c r="DJ172" s="9">
        <v>51439389</v>
      </c>
      <c r="DK172" s="9">
        <v>52484389</v>
      </c>
      <c r="DL172" s="9">
        <v>52484389</v>
      </c>
      <c r="DM172" s="9">
        <v>52484389</v>
      </c>
      <c r="DN172" s="9">
        <v>58540799</v>
      </c>
      <c r="DO172" s="31">
        <v>58540799</v>
      </c>
      <c r="DP172" s="9">
        <v>66736778</v>
      </c>
      <c r="DQ172" s="9">
        <v>66736778</v>
      </c>
      <c r="DR172" s="9">
        <v>66736778</v>
      </c>
      <c r="DS172" s="9">
        <v>66736778</v>
      </c>
      <c r="DT172" s="9">
        <v>66736778</v>
      </c>
      <c r="DU172" s="9">
        <v>68736778</v>
      </c>
      <c r="DV172" s="9">
        <v>68736778</v>
      </c>
      <c r="DW172" s="9">
        <v>68736778</v>
      </c>
      <c r="DX172" s="9">
        <v>68736778</v>
      </c>
      <c r="DY172" s="9">
        <v>68736778</v>
      </c>
      <c r="DZ172" s="9">
        <v>88036778</v>
      </c>
      <c r="EA172" s="9">
        <v>87935808</v>
      </c>
      <c r="EB172" s="31">
        <v>87935808</v>
      </c>
      <c r="EC172" s="9">
        <v>57746379</v>
      </c>
      <c r="ED172" s="9">
        <v>57746379</v>
      </c>
      <c r="EE172" s="9">
        <v>60035977</v>
      </c>
      <c r="EF172" s="9">
        <v>60035977</v>
      </c>
      <c r="EG172" s="9">
        <v>60035977</v>
      </c>
      <c r="EH172" s="9">
        <v>60035977</v>
      </c>
      <c r="EI172" s="9">
        <v>65135396</v>
      </c>
      <c r="EJ172" s="9">
        <v>65135396</v>
      </c>
      <c r="EK172" s="9">
        <v>65135396</v>
      </c>
      <c r="EL172" s="9">
        <v>65622774</v>
      </c>
      <c r="EM172" s="9">
        <v>65622774</v>
      </c>
      <c r="EN172" s="9">
        <v>73119497</v>
      </c>
      <c r="EO172" s="31">
        <v>73119497</v>
      </c>
      <c r="EP172" s="9">
        <v>72789613</v>
      </c>
      <c r="EQ172" s="9">
        <v>75348740</v>
      </c>
      <c r="ER172" s="9">
        <v>75348740</v>
      </c>
      <c r="ES172" s="9">
        <v>75348740</v>
      </c>
      <c r="ET172" s="9">
        <v>75348740</v>
      </c>
      <c r="EU172" s="9">
        <v>75348740</v>
      </c>
      <c r="EV172" s="9">
        <v>74364706</v>
      </c>
      <c r="EW172" s="9">
        <v>74364706</v>
      </c>
      <c r="EX172" s="9">
        <v>74364706</v>
      </c>
      <c r="EY172" s="9">
        <v>75891821</v>
      </c>
      <c r="EZ172" s="9">
        <v>75944276</v>
      </c>
      <c r="FA172" s="9">
        <v>79415239</v>
      </c>
      <c r="FB172" s="31">
        <v>79415239</v>
      </c>
      <c r="FC172" s="9">
        <v>132477179</v>
      </c>
      <c r="FD172" s="9">
        <v>129977179</v>
      </c>
      <c r="FE172" s="9">
        <v>129977179</v>
      </c>
      <c r="FF172" s="9">
        <v>129977179</v>
      </c>
      <c r="FG172" s="9">
        <v>129977179</v>
      </c>
      <c r="FH172" s="9">
        <v>130121882</v>
      </c>
      <c r="FI172" s="9">
        <v>130121882</v>
      </c>
      <c r="FJ172" s="9">
        <v>130121882</v>
      </c>
      <c r="FK172" s="9">
        <v>130121882</v>
      </c>
      <c r="FL172" s="9">
        <v>130121882</v>
      </c>
      <c r="FM172" s="9">
        <v>130121882</v>
      </c>
      <c r="FN172" s="9">
        <v>130121882</v>
      </c>
      <c r="FO172" s="31">
        <v>130121882</v>
      </c>
    </row>
    <row r="173" spans="2:171" x14ac:dyDescent="0.3">
      <c r="B173" s="7" t="s">
        <v>51</v>
      </c>
      <c r="C173" s="9">
        <v>9037920</v>
      </c>
      <c r="D173" s="9">
        <v>9037920</v>
      </c>
      <c r="E173" s="9">
        <v>9037920</v>
      </c>
      <c r="F173" s="9">
        <v>9037920</v>
      </c>
      <c r="G173" s="9">
        <v>9037920</v>
      </c>
      <c r="H173" s="9">
        <v>9094829</v>
      </c>
      <c r="I173" s="9">
        <v>9094829</v>
      </c>
      <c r="J173" s="9">
        <v>9225444</v>
      </c>
      <c r="K173" s="9">
        <v>8936524</v>
      </c>
      <c r="L173" s="9">
        <v>8936524</v>
      </c>
      <c r="M173" s="9">
        <v>12188602</v>
      </c>
      <c r="N173" s="9">
        <v>12133249</v>
      </c>
      <c r="O173" s="31">
        <v>12133249</v>
      </c>
      <c r="P173" s="9">
        <v>10713591</v>
      </c>
      <c r="Q173" s="9">
        <v>10748898</v>
      </c>
      <c r="R173" s="9">
        <v>10748898</v>
      </c>
      <c r="S173" s="9">
        <v>10748898</v>
      </c>
      <c r="T173" s="9">
        <v>10748898</v>
      </c>
      <c r="U173" s="9">
        <v>10525949</v>
      </c>
      <c r="V173" s="9">
        <v>10941949</v>
      </c>
      <c r="W173" s="9">
        <v>10941949</v>
      </c>
      <c r="X173" s="9">
        <v>11191949</v>
      </c>
      <c r="Y173" s="9">
        <v>11191949</v>
      </c>
      <c r="Z173" s="9">
        <v>11226949</v>
      </c>
      <c r="AA173" s="9">
        <v>15652024</v>
      </c>
      <c r="AB173" s="31">
        <v>15652024</v>
      </c>
      <c r="AC173" s="9">
        <v>37951186</v>
      </c>
      <c r="AD173" s="9">
        <v>38057108</v>
      </c>
      <c r="AE173" s="9">
        <v>38057108</v>
      </c>
      <c r="AF173" s="9">
        <v>37719164</v>
      </c>
      <c r="AG173" s="9">
        <v>37719164</v>
      </c>
      <c r="AH173" s="9">
        <v>35301329</v>
      </c>
      <c r="AI173" s="9">
        <v>35301329</v>
      </c>
      <c r="AJ173" s="9">
        <v>30951329</v>
      </c>
      <c r="AK173" s="9">
        <v>30951329</v>
      </c>
      <c r="AL173" s="9">
        <v>30951329</v>
      </c>
      <c r="AM173" s="9">
        <v>32821787</v>
      </c>
      <c r="AN173" s="9">
        <v>36992936</v>
      </c>
      <c r="AO173" s="31">
        <v>36992936</v>
      </c>
      <c r="AP173" s="9">
        <v>28983034</v>
      </c>
      <c r="AQ173" s="9">
        <v>28983034</v>
      </c>
      <c r="AR173" s="9">
        <v>28983034</v>
      </c>
      <c r="AS173" s="9">
        <v>28983034</v>
      </c>
      <c r="AT173" s="9">
        <v>28983034</v>
      </c>
      <c r="AU173" s="9">
        <v>37719689</v>
      </c>
      <c r="AV173" s="9">
        <v>37719689</v>
      </c>
      <c r="AW173" s="9">
        <v>37719689</v>
      </c>
      <c r="AX173" s="9">
        <v>37719689</v>
      </c>
      <c r="AY173" s="9">
        <v>37719689</v>
      </c>
      <c r="AZ173" s="9">
        <v>37719689</v>
      </c>
      <c r="BA173" s="9">
        <v>37527242</v>
      </c>
      <c r="BB173" s="31">
        <v>37527242</v>
      </c>
      <c r="BC173" s="9">
        <v>19451231</v>
      </c>
      <c r="BD173" s="9">
        <v>19451231</v>
      </c>
      <c r="BE173" s="9">
        <v>19451231</v>
      </c>
      <c r="BF173" s="9">
        <v>19451231</v>
      </c>
      <c r="BG173" s="9">
        <v>19451231</v>
      </c>
      <c r="BH173" s="9">
        <v>20560229</v>
      </c>
      <c r="BI173" s="9">
        <v>20686163</v>
      </c>
      <c r="BJ173" s="9">
        <v>21777866</v>
      </c>
      <c r="BK173" s="9">
        <v>21777866</v>
      </c>
      <c r="BL173" s="9">
        <v>21317866</v>
      </c>
      <c r="BM173" s="9">
        <v>21317866</v>
      </c>
      <c r="BN173" s="9">
        <v>21856287</v>
      </c>
      <c r="BO173" s="31">
        <v>21856287</v>
      </c>
      <c r="BP173" s="9">
        <v>17969652</v>
      </c>
      <c r="BQ173" s="9">
        <v>17969652</v>
      </c>
      <c r="BR173" s="9">
        <v>18046186</v>
      </c>
      <c r="BS173" s="9">
        <v>18046186</v>
      </c>
      <c r="BT173" s="9">
        <v>18046186</v>
      </c>
      <c r="BU173" s="9">
        <v>18046186</v>
      </c>
      <c r="BV173" s="9">
        <v>20966937</v>
      </c>
      <c r="BW173" s="9">
        <v>22433737</v>
      </c>
      <c r="BX173" s="9">
        <v>22461487</v>
      </c>
      <c r="BY173" s="9">
        <v>22461487</v>
      </c>
      <c r="BZ173" s="9">
        <v>22461487</v>
      </c>
      <c r="CA173" s="9">
        <v>31801236</v>
      </c>
      <c r="CB173" s="31">
        <v>31801236</v>
      </c>
      <c r="CC173" s="9">
        <v>18496244</v>
      </c>
      <c r="CD173" s="9">
        <v>18496244</v>
      </c>
      <c r="CE173" s="9">
        <v>18496244</v>
      </c>
      <c r="CF173" s="9">
        <v>18536244</v>
      </c>
      <c r="CG173" s="9">
        <v>14045598</v>
      </c>
      <c r="CH173" s="9">
        <v>14045598</v>
      </c>
      <c r="CI173" s="9">
        <v>19828598</v>
      </c>
      <c r="CJ173" s="9">
        <v>19828598</v>
      </c>
      <c r="CK173" s="9">
        <v>19948598</v>
      </c>
      <c r="CL173" s="9">
        <v>25211747</v>
      </c>
      <c r="CM173" s="9">
        <v>25217747</v>
      </c>
      <c r="CN173" s="9">
        <v>33384509</v>
      </c>
      <c r="CO173" s="31">
        <v>33384509</v>
      </c>
      <c r="CP173" s="9">
        <v>20770537</v>
      </c>
      <c r="CQ173" s="9">
        <v>20770537</v>
      </c>
      <c r="CR173" s="9">
        <v>20770537</v>
      </c>
      <c r="CS173" s="9">
        <v>20770537</v>
      </c>
      <c r="CT173" s="9">
        <v>22991303</v>
      </c>
      <c r="CU173" s="9">
        <v>22991303</v>
      </c>
      <c r="CV173" s="9">
        <v>22991303</v>
      </c>
      <c r="CW173" s="9">
        <v>23496966</v>
      </c>
      <c r="CX173" s="9">
        <v>23496966</v>
      </c>
      <c r="CY173" s="9">
        <v>23496966</v>
      </c>
      <c r="CZ173" s="9">
        <v>27494466</v>
      </c>
      <c r="DA173" s="9">
        <v>33796645</v>
      </c>
      <c r="DB173" s="31">
        <v>33796645</v>
      </c>
      <c r="DC173" s="9">
        <v>33226672</v>
      </c>
      <c r="DD173" s="9">
        <v>34482164</v>
      </c>
      <c r="DE173" s="9">
        <v>34482164</v>
      </c>
      <c r="DF173" s="9">
        <v>34482164</v>
      </c>
      <c r="DG173" s="9">
        <v>34482164</v>
      </c>
      <c r="DH173" s="9">
        <v>34482164</v>
      </c>
      <c r="DI173" s="9">
        <v>34482164</v>
      </c>
      <c r="DJ173" s="9">
        <v>34482164</v>
      </c>
      <c r="DK173" s="9">
        <v>37352194</v>
      </c>
      <c r="DL173" s="9">
        <v>37352194</v>
      </c>
      <c r="DM173" s="9">
        <v>37352194</v>
      </c>
      <c r="DN173" s="9">
        <v>38796255</v>
      </c>
      <c r="DO173" s="31">
        <v>38796255</v>
      </c>
      <c r="DP173" s="9">
        <v>47626282</v>
      </c>
      <c r="DQ173" s="9">
        <v>47666282</v>
      </c>
      <c r="DR173" s="9">
        <v>47666282</v>
      </c>
      <c r="DS173" s="9">
        <v>47666282</v>
      </c>
      <c r="DT173" s="9">
        <v>47666282</v>
      </c>
      <c r="DU173" s="9">
        <v>47718353</v>
      </c>
      <c r="DV173" s="9">
        <v>47838457</v>
      </c>
      <c r="DW173" s="9">
        <v>47838457</v>
      </c>
      <c r="DX173" s="9">
        <v>47838457</v>
      </c>
      <c r="DY173" s="9">
        <v>47838457</v>
      </c>
      <c r="DZ173" s="9">
        <v>43442777</v>
      </c>
      <c r="EA173" s="9">
        <v>43946778</v>
      </c>
      <c r="EB173" s="31">
        <v>43946778</v>
      </c>
      <c r="EC173" s="9">
        <v>53240790</v>
      </c>
      <c r="ED173" s="9">
        <v>53240790</v>
      </c>
      <c r="EE173" s="9">
        <v>53240790</v>
      </c>
      <c r="EF173" s="9">
        <v>53240790</v>
      </c>
      <c r="EG173" s="9">
        <v>53240790</v>
      </c>
      <c r="EH173" s="9">
        <v>53240790</v>
      </c>
      <c r="EI173" s="9">
        <v>53240790</v>
      </c>
      <c r="EJ173" s="9">
        <v>53240790</v>
      </c>
      <c r="EK173" s="9">
        <v>53240790</v>
      </c>
      <c r="EL173" s="9">
        <v>52395853</v>
      </c>
      <c r="EM173" s="9">
        <v>52395853</v>
      </c>
      <c r="EN173" s="9">
        <v>50339570</v>
      </c>
      <c r="EO173" s="31">
        <v>50339570</v>
      </c>
      <c r="EP173" s="9">
        <v>92931481</v>
      </c>
      <c r="EQ173" s="9">
        <v>93131497</v>
      </c>
      <c r="ER173" s="9">
        <v>93131497</v>
      </c>
      <c r="ES173" s="9">
        <v>93319045</v>
      </c>
      <c r="ET173" s="9">
        <v>93319045</v>
      </c>
      <c r="EU173" s="9">
        <v>93319045</v>
      </c>
      <c r="EV173" s="9">
        <v>92558948</v>
      </c>
      <c r="EW173" s="9">
        <v>92558948</v>
      </c>
      <c r="EX173" s="9">
        <v>92558948</v>
      </c>
      <c r="EY173" s="9">
        <v>93089284</v>
      </c>
      <c r="EZ173" s="9">
        <v>93118579</v>
      </c>
      <c r="FA173" s="9">
        <v>92604764</v>
      </c>
      <c r="FB173" s="31">
        <v>92604764</v>
      </c>
      <c r="FC173" s="9">
        <v>89750044</v>
      </c>
      <c r="FD173" s="9">
        <v>88000044</v>
      </c>
      <c r="FE173" s="9">
        <v>88000044</v>
      </c>
      <c r="FF173" s="9">
        <v>88000044</v>
      </c>
      <c r="FG173" s="9">
        <v>88000044</v>
      </c>
      <c r="FH173" s="9">
        <v>88764542</v>
      </c>
      <c r="FI173" s="9">
        <v>88764542</v>
      </c>
      <c r="FJ173" s="9">
        <v>88764542</v>
      </c>
      <c r="FK173" s="9">
        <v>88764542</v>
      </c>
      <c r="FL173" s="9">
        <v>88764542</v>
      </c>
      <c r="FM173" s="9">
        <v>88764542</v>
      </c>
      <c r="FN173" s="9">
        <v>88764542</v>
      </c>
      <c r="FO173" s="31">
        <v>88764542</v>
      </c>
    </row>
    <row r="174" spans="2:171" x14ac:dyDescent="0.3">
      <c r="B174" s="7" t="s">
        <v>52</v>
      </c>
      <c r="C174" s="9">
        <v>24875265</v>
      </c>
      <c r="D174" s="9">
        <v>24875265</v>
      </c>
      <c r="E174" s="9">
        <v>25995780</v>
      </c>
      <c r="F174" s="9">
        <v>26328166</v>
      </c>
      <c r="G174" s="9">
        <v>26328166</v>
      </c>
      <c r="H174" s="9">
        <v>23999231</v>
      </c>
      <c r="I174" s="9">
        <v>23999231</v>
      </c>
      <c r="J174" s="9">
        <v>24049231</v>
      </c>
      <c r="K174" s="9">
        <v>26621615</v>
      </c>
      <c r="L174" s="9">
        <v>26621615</v>
      </c>
      <c r="M174" s="9">
        <v>29185997</v>
      </c>
      <c r="N174" s="9">
        <v>29806984</v>
      </c>
      <c r="O174" s="31">
        <v>29806984</v>
      </c>
      <c r="P174" s="9">
        <v>37865699</v>
      </c>
      <c r="Q174" s="9">
        <v>39135625</v>
      </c>
      <c r="R174" s="9">
        <v>37818683</v>
      </c>
      <c r="S174" s="9">
        <v>37818683</v>
      </c>
      <c r="T174" s="9">
        <v>37818683</v>
      </c>
      <c r="U174" s="9">
        <v>31458325</v>
      </c>
      <c r="V174" s="9">
        <v>31458325</v>
      </c>
      <c r="W174" s="9">
        <v>31409365</v>
      </c>
      <c r="X174" s="9">
        <v>32909365</v>
      </c>
      <c r="Y174" s="9">
        <v>33308285</v>
      </c>
      <c r="Z174" s="9">
        <v>33318285</v>
      </c>
      <c r="AA174" s="9">
        <v>38031866</v>
      </c>
      <c r="AB174" s="31">
        <v>38031866</v>
      </c>
      <c r="AC174" s="9">
        <v>59663790</v>
      </c>
      <c r="AD174" s="9">
        <v>60762418</v>
      </c>
      <c r="AE174" s="9">
        <v>60691585</v>
      </c>
      <c r="AF174" s="9">
        <v>60691585</v>
      </c>
      <c r="AG174" s="9">
        <v>60691585</v>
      </c>
      <c r="AH174" s="9">
        <v>62249701</v>
      </c>
      <c r="AI174" s="9">
        <v>62249701</v>
      </c>
      <c r="AJ174" s="9">
        <v>62249701</v>
      </c>
      <c r="AK174" s="9">
        <v>62249701</v>
      </c>
      <c r="AL174" s="9">
        <v>62655801</v>
      </c>
      <c r="AM174" s="9">
        <v>63451429</v>
      </c>
      <c r="AN174" s="9">
        <v>54137910</v>
      </c>
      <c r="AO174" s="31">
        <v>54137910</v>
      </c>
      <c r="AP174" s="9">
        <v>69195011</v>
      </c>
      <c r="AQ174" s="9">
        <v>70370067</v>
      </c>
      <c r="AR174" s="9">
        <v>70370067</v>
      </c>
      <c r="AS174" s="9">
        <v>70370067</v>
      </c>
      <c r="AT174" s="9">
        <v>70370067</v>
      </c>
      <c r="AU174" s="9">
        <v>68098203</v>
      </c>
      <c r="AV174" s="9">
        <v>68098203</v>
      </c>
      <c r="AW174" s="9">
        <v>68098203</v>
      </c>
      <c r="AX174" s="9">
        <v>68098203</v>
      </c>
      <c r="AY174" s="9">
        <v>62359435</v>
      </c>
      <c r="AZ174" s="9">
        <v>64359435</v>
      </c>
      <c r="BA174" s="9">
        <v>65288622</v>
      </c>
      <c r="BB174" s="31">
        <v>65288622</v>
      </c>
      <c r="BC174" s="9">
        <v>76892719</v>
      </c>
      <c r="BD174" s="9">
        <v>77355654</v>
      </c>
      <c r="BE174" s="9">
        <v>77355654</v>
      </c>
      <c r="BF174" s="9">
        <v>77355654</v>
      </c>
      <c r="BG174" s="9">
        <v>77355654</v>
      </c>
      <c r="BH174" s="9">
        <v>77355654</v>
      </c>
      <c r="BI174" s="9">
        <v>77355654</v>
      </c>
      <c r="BJ174" s="9">
        <v>76935255</v>
      </c>
      <c r="BK174" s="9">
        <v>76935255</v>
      </c>
      <c r="BL174" s="9">
        <v>77535255</v>
      </c>
      <c r="BM174" s="9">
        <v>77535255</v>
      </c>
      <c r="BN174" s="9">
        <v>77615475</v>
      </c>
      <c r="BO174" s="31">
        <v>77615475</v>
      </c>
      <c r="BP174" s="9">
        <v>75782905</v>
      </c>
      <c r="BQ174" s="9">
        <v>75782905</v>
      </c>
      <c r="BR174" s="9">
        <v>75897706</v>
      </c>
      <c r="BS174" s="9">
        <v>75897706</v>
      </c>
      <c r="BT174" s="9">
        <v>75897706</v>
      </c>
      <c r="BU174" s="9">
        <v>75897706</v>
      </c>
      <c r="BV174" s="9">
        <v>74304785</v>
      </c>
      <c r="BW174" s="9">
        <v>74304785</v>
      </c>
      <c r="BX174" s="9">
        <v>70605480</v>
      </c>
      <c r="BY174" s="9">
        <v>70605480</v>
      </c>
      <c r="BZ174" s="9">
        <v>70605480</v>
      </c>
      <c r="CA174" s="9">
        <v>64696303</v>
      </c>
      <c r="CB174" s="31">
        <v>64696303</v>
      </c>
      <c r="CC174" s="9">
        <v>78065990</v>
      </c>
      <c r="CD174" s="9">
        <v>78065990</v>
      </c>
      <c r="CE174" s="9">
        <v>78065990</v>
      </c>
      <c r="CF174" s="9">
        <v>78145990</v>
      </c>
      <c r="CG174" s="9">
        <v>59214109</v>
      </c>
      <c r="CH174" s="9">
        <v>59214109</v>
      </c>
      <c r="CI174" s="9">
        <v>59214109</v>
      </c>
      <c r="CJ174" s="9">
        <v>59214109</v>
      </c>
      <c r="CK174" s="9">
        <v>59214109</v>
      </c>
      <c r="CL174" s="9">
        <v>67269946</v>
      </c>
      <c r="CM174" s="9">
        <v>66138455</v>
      </c>
      <c r="CN174" s="9">
        <v>47380726</v>
      </c>
      <c r="CO174" s="31">
        <v>47380726</v>
      </c>
      <c r="CP174" s="9">
        <v>91254878</v>
      </c>
      <c r="CQ174" s="9">
        <v>91254878</v>
      </c>
      <c r="CR174" s="9">
        <v>91414878</v>
      </c>
      <c r="CS174" s="9">
        <v>91686489</v>
      </c>
      <c r="CT174" s="9">
        <v>89060668</v>
      </c>
      <c r="CU174" s="9">
        <v>89060668</v>
      </c>
      <c r="CV174" s="9">
        <v>89060668</v>
      </c>
      <c r="CW174" s="9">
        <v>72006668</v>
      </c>
      <c r="CX174" s="9">
        <v>72006668</v>
      </c>
      <c r="CY174" s="9">
        <v>72006668</v>
      </c>
      <c r="CZ174" s="9">
        <v>71994668</v>
      </c>
      <c r="DA174" s="9">
        <v>70578277</v>
      </c>
      <c r="DB174" s="31">
        <v>70578277</v>
      </c>
      <c r="DC174" s="9">
        <v>68909036</v>
      </c>
      <c r="DD174" s="9">
        <v>80347934</v>
      </c>
      <c r="DE174" s="9">
        <v>80347934</v>
      </c>
      <c r="DF174" s="9">
        <v>80347934</v>
      </c>
      <c r="DG174" s="9">
        <v>81001058</v>
      </c>
      <c r="DH174" s="9">
        <v>81001058</v>
      </c>
      <c r="DI174" s="9">
        <v>81001058</v>
      </c>
      <c r="DJ174" s="9">
        <v>81001058</v>
      </c>
      <c r="DK174" s="9">
        <v>77945058</v>
      </c>
      <c r="DL174" s="9">
        <v>77945058</v>
      </c>
      <c r="DM174" s="9">
        <v>78163500</v>
      </c>
      <c r="DN174" s="9">
        <v>73598403</v>
      </c>
      <c r="DO174" s="31">
        <v>73598403</v>
      </c>
      <c r="DP174" s="9">
        <v>107813988</v>
      </c>
      <c r="DQ174" s="9">
        <v>108396494</v>
      </c>
      <c r="DR174" s="9">
        <v>108396494</v>
      </c>
      <c r="DS174" s="9">
        <v>108396494</v>
      </c>
      <c r="DT174" s="9">
        <v>108396494</v>
      </c>
      <c r="DU174" s="9">
        <v>108605292</v>
      </c>
      <c r="DV174" s="9">
        <v>108995695</v>
      </c>
      <c r="DW174" s="9">
        <v>108995695</v>
      </c>
      <c r="DX174" s="9">
        <v>108995695</v>
      </c>
      <c r="DY174" s="9">
        <v>108995695</v>
      </c>
      <c r="DZ174" s="9">
        <v>88222070</v>
      </c>
      <c r="EA174" s="9">
        <v>95712461</v>
      </c>
      <c r="EB174" s="31">
        <v>95712461</v>
      </c>
      <c r="EC174" s="9">
        <v>123704390</v>
      </c>
      <c r="ED174" s="9">
        <v>123704390</v>
      </c>
      <c r="EE174" s="9">
        <v>125327726</v>
      </c>
      <c r="EF174" s="9">
        <v>125327726</v>
      </c>
      <c r="EG174" s="9">
        <v>125578117</v>
      </c>
      <c r="EH174" s="9">
        <v>125578117</v>
      </c>
      <c r="EI174" s="9">
        <v>125578117</v>
      </c>
      <c r="EJ174" s="9">
        <v>125578117</v>
      </c>
      <c r="EK174" s="9">
        <v>125578117</v>
      </c>
      <c r="EL174" s="9">
        <v>115253698</v>
      </c>
      <c r="EM174" s="9">
        <v>115253698</v>
      </c>
      <c r="EN174" s="9">
        <v>107360177</v>
      </c>
      <c r="EO174" s="31">
        <v>107360177</v>
      </c>
      <c r="EP174" s="9">
        <v>145360457</v>
      </c>
      <c r="EQ174" s="9">
        <v>145360457</v>
      </c>
      <c r="ER174" s="9">
        <v>145818224</v>
      </c>
      <c r="ES174" s="9">
        <v>147604105</v>
      </c>
      <c r="ET174" s="9">
        <v>147604105</v>
      </c>
      <c r="EU174" s="9">
        <v>147604105</v>
      </c>
      <c r="EV174" s="9">
        <v>137115059</v>
      </c>
      <c r="EW174" s="9">
        <v>137115059</v>
      </c>
      <c r="EX174" s="9">
        <v>137115059</v>
      </c>
      <c r="EY174" s="9">
        <v>127848797</v>
      </c>
      <c r="EZ174" s="9">
        <v>126672597</v>
      </c>
      <c r="FA174" s="9">
        <v>122802073</v>
      </c>
      <c r="FB174" s="31">
        <v>122802073</v>
      </c>
      <c r="FC174" s="9">
        <v>135508027</v>
      </c>
      <c r="FD174" s="9">
        <v>132508027</v>
      </c>
      <c r="FE174" s="9">
        <v>132508027</v>
      </c>
      <c r="FF174" s="9">
        <v>132508027</v>
      </c>
      <c r="FG174" s="9">
        <v>132508027</v>
      </c>
      <c r="FH174" s="9">
        <v>133330696</v>
      </c>
      <c r="FI174" s="9">
        <v>133985654</v>
      </c>
      <c r="FJ174" s="9">
        <v>133985654</v>
      </c>
      <c r="FK174" s="9">
        <v>133985654</v>
      </c>
      <c r="FL174" s="9">
        <v>133985654</v>
      </c>
      <c r="FM174" s="9">
        <v>133985654</v>
      </c>
      <c r="FN174" s="9">
        <v>133985654</v>
      </c>
      <c r="FO174" s="31">
        <v>133985654</v>
      </c>
    </row>
    <row r="175" spans="2:171" x14ac:dyDescent="0.3">
      <c r="B175" s="7" t="s">
        <v>53</v>
      </c>
      <c r="C175" s="9">
        <v>83941248</v>
      </c>
      <c r="D175" s="9">
        <v>83941248</v>
      </c>
      <c r="E175" s="9">
        <v>84487306</v>
      </c>
      <c r="F175" s="9">
        <v>84487306</v>
      </c>
      <c r="G175" s="9">
        <v>84487306</v>
      </c>
      <c r="H175" s="9">
        <v>74754146</v>
      </c>
      <c r="I175" s="9">
        <v>74754146</v>
      </c>
      <c r="J175" s="9">
        <v>75149764</v>
      </c>
      <c r="K175" s="9">
        <v>72894561</v>
      </c>
      <c r="L175" s="9">
        <v>72908561</v>
      </c>
      <c r="M175" s="9">
        <v>85961208</v>
      </c>
      <c r="N175" s="9">
        <v>85381719</v>
      </c>
      <c r="O175" s="31">
        <v>85381719</v>
      </c>
      <c r="P175" s="9">
        <v>128371216</v>
      </c>
      <c r="Q175" s="9">
        <v>129660289</v>
      </c>
      <c r="R175" s="9">
        <v>129660289</v>
      </c>
      <c r="S175" s="9">
        <v>129295025</v>
      </c>
      <c r="T175" s="9">
        <v>129295025</v>
      </c>
      <c r="U175" s="9">
        <v>99613179</v>
      </c>
      <c r="V175" s="9">
        <v>99613179</v>
      </c>
      <c r="W175" s="9">
        <v>99613179</v>
      </c>
      <c r="X175" s="9">
        <v>100134002</v>
      </c>
      <c r="Y175" s="9">
        <v>100134002</v>
      </c>
      <c r="Z175" s="9">
        <v>100266002</v>
      </c>
      <c r="AA175" s="9">
        <v>100726882</v>
      </c>
      <c r="AB175" s="31">
        <v>100726882</v>
      </c>
      <c r="AC175" s="9">
        <v>110507630</v>
      </c>
      <c r="AD175" s="9">
        <v>111263811</v>
      </c>
      <c r="AE175" s="9">
        <v>111263811</v>
      </c>
      <c r="AF175" s="9">
        <v>108463811</v>
      </c>
      <c r="AG175" s="9">
        <v>108513811</v>
      </c>
      <c r="AH175" s="9">
        <v>110042588</v>
      </c>
      <c r="AI175" s="9">
        <v>108390338</v>
      </c>
      <c r="AJ175" s="9">
        <v>108420338</v>
      </c>
      <c r="AK175" s="9">
        <v>108420338</v>
      </c>
      <c r="AL175" s="9">
        <v>108677338</v>
      </c>
      <c r="AM175" s="9">
        <v>108697338</v>
      </c>
      <c r="AN175" s="9">
        <v>111440330</v>
      </c>
      <c r="AO175" s="31">
        <v>111440330</v>
      </c>
      <c r="AP175" s="9">
        <v>94638016</v>
      </c>
      <c r="AQ175" s="9">
        <v>95033087</v>
      </c>
      <c r="AR175" s="9">
        <v>95408213</v>
      </c>
      <c r="AS175" s="9">
        <v>95408213</v>
      </c>
      <c r="AT175" s="9">
        <v>95408213</v>
      </c>
      <c r="AU175" s="9">
        <v>95766559</v>
      </c>
      <c r="AV175" s="9">
        <v>95766559</v>
      </c>
      <c r="AW175" s="9">
        <v>96375509</v>
      </c>
      <c r="AX175" s="9">
        <v>96375509</v>
      </c>
      <c r="AY175" s="9">
        <v>97065509</v>
      </c>
      <c r="AZ175" s="9">
        <v>98714165</v>
      </c>
      <c r="BA175" s="9">
        <v>103342563</v>
      </c>
      <c r="BB175" s="31">
        <v>103342563</v>
      </c>
      <c r="BC175" s="9">
        <v>123230266</v>
      </c>
      <c r="BD175" s="9">
        <v>123479169</v>
      </c>
      <c r="BE175" s="9">
        <v>123479169</v>
      </c>
      <c r="BF175" s="9">
        <v>123479169</v>
      </c>
      <c r="BG175" s="9">
        <v>123479169</v>
      </c>
      <c r="BH175" s="9">
        <v>123479169</v>
      </c>
      <c r="BI175" s="9">
        <v>123596560</v>
      </c>
      <c r="BJ175" s="9">
        <v>120596560</v>
      </c>
      <c r="BK175" s="9">
        <v>120596560</v>
      </c>
      <c r="BL175" s="9">
        <v>119096560</v>
      </c>
      <c r="BM175" s="9">
        <v>119096560</v>
      </c>
      <c r="BN175" s="9">
        <v>116574659</v>
      </c>
      <c r="BO175" s="31">
        <v>116574659</v>
      </c>
      <c r="BP175" s="9">
        <v>113787823</v>
      </c>
      <c r="BQ175" s="9">
        <v>113787823</v>
      </c>
      <c r="BR175" s="9">
        <v>114588177</v>
      </c>
      <c r="BS175" s="9">
        <v>114588177</v>
      </c>
      <c r="BT175" s="9">
        <v>114588177</v>
      </c>
      <c r="BU175" s="9">
        <v>114588177</v>
      </c>
      <c r="BV175" s="9">
        <v>117262894</v>
      </c>
      <c r="BW175" s="9">
        <v>116782894</v>
      </c>
      <c r="BX175" s="9">
        <v>121852894</v>
      </c>
      <c r="BY175" s="9">
        <v>121852894</v>
      </c>
      <c r="BZ175" s="9">
        <v>121852894</v>
      </c>
      <c r="CA175" s="9">
        <v>130846480</v>
      </c>
      <c r="CB175" s="31">
        <v>130846480</v>
      </c>
      <c r="CC175" s="9">
        <v>116864448</v>
      </c>
      <c r="CD175" s="9">
        <v>116864448</v>
      </c>
      <c r="CE175" s="9">
        <v>116864448</v>
      </c>
      <c r="CF175" s="9">
        <v>145485658</v>
      </c>
      <c r="CG175" s="9">
        <v>110239868</v>
      </c>
      <c r="CH175" s="9">
        <v>110239868</v>
      </c>
      <c r="CI175" s="9">
        <v>110239868</v>
      </c>
      <c r="CJ175" s="9">
        <v>110239868</v>
      </c>
      <c r="CK175" s="9">
        <v>110639868</v>
      </c>
      <c r="CL175" s="9">
        <v>136192071</v>
      </c>
      <c r="CM175" s="9">
        <v>136198071</v>
      </c>
      <c r="CN175" s="9">
        <v>134531330</v>
      </c>
      <c r="CO175" s="31">
        <v>134531330</v>
      </c>
      <c r="CP175" s="9">
        <v>124411299</v>
      </c>
      <c r="CQ175" s="9">
        <v>124411299</v>
      </c>
      <c r="CR175" s="9">
        <v>124419299</v>
      </c>
      <c r="CS175" s="9">
        <v>124840169</v>
      </c>
      <c r="CT175" s="9">
        <v>124951527</v>
      </c>
      <c r="CU175" s="9">
        <v>124951527</v>
      </c>
      <c r="CV175" s="9">
        <v>124951527</v>
      </c>
      <c r="CW175" s="9">
        <v>139838527</v>
      </c>
      <c r="CX175" s="9">
        <v>139838527</v>
      </c>
      <c r="CY175" s="9">
        <v>139947527</v>
      </c>
      <c r="CZ175" s="9">
        <v>139922527</v>
      </c>
      <c r="DA175" s="9">
        <v>135541831</v>
      </c>
      <c r="DB175" s="31">
        <v>135541831</v>
      </c>
      <c r="DC175" s="9">
        <v>166182827</v>
      </c>
      <c r="DD175" s="9">
        <v>176712602</v>
      </c>
      <c r="DE175" s="9">
        <v>176712602</v>
      </c>
      <c r="DF175" s="9">
        <v>176712602</v>
      </c>
      <c r="DG175" s="9">
        <v>176712602</v>
      </c>
      <c r="DH175" s="9">
        <v>176712602</v>
      </c>
      <c r="DI175" s="9">
        <v>176712602</v>
      </c>
      <c r="DJ175" s="9">
        <v>176712602</v>
      </c>
      <c r="DK175" s="9">
        <v>189372602</v>
      </c>
      <c r="DL175" s="9">
        <v>189372602</v>
      </c>
      <c r="DM175" s="9">
        <v>189574580</v>
      </c>
      <c r="DN175" s="9">
        <v>186565323</v>
      </c>
      <c r="DO175" s="31">
        <v>186565323</v>
      </c>
      <c r="DP175" s="9">
        <v>199830432</v>
      </c>
      <c r="DQ175" s="9">
        <v>200242044</v>
      </c>
      <c r="DR175" s="9">
        <v>200242044</v>
      </c>
      <c r="DS175" s="9">
        <v>200512403</v>
      </c>
      <c r="DT175" s="9">
        <v>200512403</v>
      </c>
      <c r="DU175" s="9">
        <v>208512403</v>
      </c>
      <c r="DV175" s="9">
        <v>208512403</v>
      </c>
      <c r="DW175" s="9">
        <v>208512403</v>
      </c>
      <c r="DX175" s="9">
        <v>208512403</v>
      </c>
      <c r="DY175" s="9">
        <v>208512403</v>
      </c>
      <c r="DZ175" s="9">
        <v>194685163</v>
      </c>
      <c r="EA175" s="9">
        <v>194165737</v>
      </c>
      <c r="EB175" s="31">
        <v>194165737</v>
      </c>
      <c r="EC175" s="9">
        <v>225771051</v>
      </c>
      <c r="ED175" s="9">
        <v>225771051</v>
      </c>
      <c r="EE175" s="9">
        <v>226444734</v>
      </c>
      <c r="EF175" s="9">
        <v>226444734</v>
      </c>
      <c r="EG175" s="9">
        <v>226444734</v>
      </c>
      <c r="EH175" s="9">
        <v>226444734</v>
      </c>
      <c r="EI175" s="9">
        <v>227008185</v>
      </c>
      <c r="EJ175" s="9">
        <v>269598971</v>
      </c>
      <c r="EK175" s="9">
        <v>269598971</v>
      </c>
      <c r="EL175" s="9">
        <v>268086083</v>
      </c>
      <c r="EM175" s="9">
        <v>268086083</v>
      </c>
      <c r="EN175" s="9">
        <v>226125474</v>
      </c>
      <c r="EO175" s="31">
        <v>226125474</v>
      </c>
      <c r="EP175" s="9">
        <v>286562984</v>
      </c>
      <c r="EQ175" s="9">
        <v>330490553</v>
      </c>
      <c r="ER175" s="9">
        <v>330490553</v>
      </c>
      <c r="ES175" s="9">
        <v>330490553</v>
      </c>
      <c r="ET175" s="9">
        <v>330490553</v>
      </c>
      <c r="EU175" s="9">
        <v>330544553</v>
      </c>
      <c r="EV175" s="9">
        <v>325783217</v>
      </c>
      <c r="EW175" s="9">
        <v>325783217</v>
      </c>
      <c r="EX175" s="9">
        <v>325783217</v>
      </c>
      <c r="EY175" s="9">
        <v>314639115</v>
      </c>
      <c r="EZ175" s="9">
        <v>319715115</v>
      </c>
      <c r="FA175" s="9">
        <v>287629766</v>
      </c>
      <c r="FB175" s="31">
        <v>287629766</v>
      </c>
      <c r="FC175" s="9">
        <v>303922147</v>
      </c>
      <c r="FD175" s="9">
        <v>299922147</v>
      </c>
      <c r="FE175" s="9">
        <v>299922147</v>
      </c>
      <c r="FF175" s="9">
        <v>299922147</v>
      </c>
      <c r="FG175" s="9">
        <v>299603973</v>
      </c>
      <c r="FH175" s="9">
        <v>299576213</v>
      </c>
      <c r="FI175" s="9">
        <v>299775335</v>
      </c>
      <c r="FJ175" s="9">
        <v>299775335</v>
      </c>
      <c r="FK175" s="9">
        <v>299775335</v>
      </c>
      <c r="FL175" s="9">
        <v>299775335</v>
      </c>
      <c r="FM175" s="9">
        <v>299775335</v>
      </c>
      <c r="FN175" s="9">
        <v>299775335</v>
      </c>
      <c r="FO175" s="31">
        <v>299775335</v>
      </c>
    </row>
    <row r="176" spans="2:171" x14ac:dyDescent="0.3">
      <c r="B176" s="7" t="s">
        <v>54</v>
      </c>
      <c r="C176" s="9">
        <v>240699010</v>
      </c>
      <c r="D176" s="9">
        <v>240699010</v>
      </c>
      <c r="E176" s="9">
        <v>233204680</v>
      </c>
      <c r="F176" s="9">
        <v>233204680</v>
      </c>
      <c r="G176" s="9">
        <v>233204680</v>
      </c>
      <c r="H176" s="9">
        <v>216692903</v>
      </c>
      <c r="I176" s="9">
        <v>216692903</v>
      </c>
      <c r="J176" s="9">
        <v>217534103</v>
      </c>
      <c r="K176" s="9">
        <v>259074862</v>
      </c>
      <c r="L176" s="9">
        <v>250282293</v>
      </c>
      <c r="M176" s="9">
        <v>251032584</v>
      </c>
      <c r="N176" s="9">
        <v>262068706</v>
      </c>
      <c r="O176" s="31">
        <v>262068706</v>
      </c>
      <c r="P176" s="9">
        <v>257903024</v>
      </c>
      <c r="Q176" s="9">
        <v>266543748</v>
      </c>
      <c r="R176" s="9">
        <v>255740261</v>
      </c>
      <c r="S176" s="9">
        <v>255740261</v>
      </c>
      <c r="T176" s="9">
        <v>255740261</v>
      </c>
      <c r="U176" s="9">
        <v>264420470</v>
      </c>
      <c r="V176" s="9">
        <v>263255030</v>
      </c>
      <c r="W176" s="9">
        <v>263255030</v>
      </c>
      <c r="X176" s="9">
        <v>262241626</v>
      </c>
      <c r="Y176" s="9">
        <v>262241626</v>
      </c>
      <c r="Z176" s="9">
        <v>262346626</v>
      </c>
      <c r="AA176" s="9">
        <v>256633923</v>
      </c>
      <c r="AB176" s="31">
        <v>256633923</v>
      </c>
      <c r="AC176" s="9">
        <v>290438181</v>
      </c>
      <c r="AD176" s="9">
        <v>286751793</v>
      </c>
      <c r="AE176" s="9">
        <v>286751793</v>
      </c>
      <c r="AF176" s="9">
        <v>277751793</v>
      </c>
      <c r="AG176" s="9">
        <v>276490907</v>
      </c>
      <c r="AH176" s="9">
        <v>268964912</v>
      </c>
      <c r="AI176" s="9">
        <v>268964912</v>
      </c>
      <c r="AJ176" s="9">
        <v>267959620</v>
      </c>
      <c r="AK176" s="9">
        <v>266706026</v>
      </c>
      <c r="AL176" s="9">
        <v>267098474</v>
      </c>
      <c r="AM176" s="9">
        <v>258707532</v>
      </c>
      <c r="AN176" s="9">
        <v>236240336</v>
      </c>
      <c r="AO176" s="31">
        <v>236240336</v>
      </c>
      <c r="AP176" s="9">
        <v>270594022</v>
      </c>
      <c r="AQ176" s="9">
        <v>276032508</v>
      </c>
      <c r="AR176" s="9">
        <v>274403834</v>
      </c>
      <c r="AS176" s="9">
        <v>268898859</v>
      </c>
      <c r="AT176" s="9">
        <v>264303859</v>
      </c>
      <c r="AU176" s="9">
        <v>238333280</v>
      </c>
      <c r="AV176" s="9">
        <v>238333280</v>
      </c>
      <c r="AW176" s="9">
        <v>238388280</v>
      </c>
      <c r="AX176" s="9">
        <v>238388280</v>
      </c>
      <c r="AY176" s="9">
        <v>230488280</v>
      </c>
      <c r="AZ176" s="9">
        <v>230488280</v>
      </c>
      <c r="BA176" s="9">
        <v>249067739</v>
      </c>
      <c r="BB176" s="31">
        <v>249067739</v>
      </c>
      <c r="BC176" s="9">
        <v>271308769</v>
      </c>
      <c r="BD176" s="9">
        <v>273688666</v>
      </c>
      <c r="BE176" s="9">
        <v>273688666</v>
      </c>
      <c r="BF176" s="9">
        <v>273688666</v>
      </c>
      <c r="BG176" s="9">
        <v>273688666</v>
      </c>
      <c r="BH176" s="9">
        <v>273688666</v>
      </c>
      <c r="BI176" s="9">
        <v>269792952</v>
      </c>
      <c r="BJ176" s="9">
        <v>273223922</v>
      </c>
      <c r="BK176" s="9">
        <v>273223922</v>
      </c>
      <c r="BL176" s="9">
        <v>281637934</v>
      </c>
      <c r="BM176" s="9">
        <v>281904404</v>
      </c>
      <c r="BN176" s="9">
        <v>288258593</v>
      </c>
      <c r="BO176" s="31">
        <v>288258593</v>
      </c>
      <c r="BP176" s="9">
        <v>315455128</v>
      </c>
      <c r="BQ176" s="9">
        <v>315455128</v>
      </c>
      <c r="BR176" s="9">
        <v>315707611</v>
      </c>
      <c r="BS176" s="9">
        <v>318437860</v>
      </c>
      <c r="BT176" s="9">
        <v>318437860</v>
      </c>
      <c r="BU176" s="9">
        <v>318437860</v>
      </c>
      <c r="BV176" s="9">
        <v>324402837</v>
      </c>
      <c r="BW176" s="9">
        <v>317096327</v>
      </c>
      <c r="BX176" s="9">
        <v>339935662</v>
      </c>
      <c r="BY176" s="9">
        <v>339935662</v>
      </c>
      <c r="BZ176" s="9">
        <v>340309742</v>
      </c>
      <c r="CA176" s="9">
        <v>340404681</v>
      </c>
      <c r="CB176" s="31">
        <v>340404681</v>
      </c>
      <c r="CC176" s="9">
        <v>323949338</v>
      </c>
      <c r="CD176" s="9">
        <v>323949338</v>
      </c>
      <c r="CE176" s="9">
        <v>323949338</v>
      </c>
      <c r="CF176" s="9">
        <v>324319338</v>
      </c>
      <c r="CG176" s="9">
        <v>243944710</v>
      </c>
      <c r="CH176" s="9">
        <v>243944710</v>
      </c>
      <c r="CI176" s="9">
        <v>243944710</v>
      </c>
      <c r="CJ176" s="9">
        <v>243944710</v>
      </c>
      <c r="CK176" s="9">
        <v>243520395</v>
      </c>
      <c r="CL176" s="9">
        <v>291997320</v>
      </c>
      <c r="CM176" s="9">
        <v>291981320</v>
      </c>
      <c r="CN176" s="9">
        <v>304424514</v>
      </c>
      <c r="CO176" s="31">
        <v>304424514</v>
      </c>
      <c r="CP176" s="9">
        <v>332881709</v>
      </c>
      <c r="CQ176" s="9">
        <v>332881709</v>
      </c>
      <c r="CR176" s="9">
        <v>332881709</v>
      </c>
      <c r="CS176" s="9">
        <v>334118228</v>
      </c>
      <c r="CT176" s="9">
        <v>322562732</v>
      </c>
      <c r="CU176" s="9">
        <v>322562732</v>
      </c>
      <c r="CV176" s="9">
        <v>322562732</v>
      </c>
      <c r="CW176" s="9">
        <v>321453941</v>
      </c>
      <c r="CX176" s="9">
        <v>322412109</v>
      </c>
      <c r="CY176" s="9">
        <v>323806044</v>
      </c>
      <c r="CZ176" s="9">
        <v>350855497</v>
      </c>
      <c r="DA176" s="9">
        <v>370793232</v>
      </c>
      <c r="DB176" s="31">
        <v>370793232</v>
      </c>
      <c r="DC176" s="9">
        <v>406538500</v>
      </c>
      <c r="DD176" s="9">
        <v>441626360</v>
      </c>
      <c r="DE176" s="9">
        <v>441626360</v>
      </c>
      <c r="DF176" s="9">
        <v>439111845</v>
      </c>
      <c r="DG176" s="9">
        <v>439492557</v>
      </c>
      <c r="DH176" s="9">
        <v>439492557</v>
      </c>
      <c r="DI176" s="9">
        <v>439492557</v>
      </c>
      <c r="DJ176" s="9">
        <v>439735414</v>
      </c>
      <c r="DK176" s="9">
        <v>467217631</v>
      </c>
      <c r="DL176" s="9">
        <v>438008416</v>
      </c>
      <c r="DM176" s="9">
        <v>438088416</v>
      </c>
      <c r="DN176" s="9">
        <v>520035480</v>
      </c>
      <c r="DO176" s="31">
        <v>520035480</v>
      </c>
      <c r="DP176" s="9">
        <v>387419275</v>
      </c>
      <c r="DQ176" s="9">
        <v>389208436</v>
      </c>
      <c r="DR176" s="9">
        <v>389208436</v>
      </c>
      <c r="DS176" s="9">
        <v>389208436</v>
      </c>
      <c r="DT176" s="9">
        <v>389208436</v>
      </c>
      <c r="DU176" s="9">
        <v>412671410</v>
      </c>
      <c r="DV176" s="9">
        <v>412671410</v>
      </c>
      <c r="DW176" s="9">
        <v>412671410</v>
      </c>
      <c r="DX176" s="9">
        <v>412671410</v>
      </c>
      <c r="DY176" s="9">
        <v>413134384</v>
      </c>
      <c r="DZ176" s="9">
        <v>453383732</v>
      </c>
      <c r="EA176" s="9">
        <v>479058544</v>
      </c>
      <c r="EB176" s="31">
        <v>479058544</v>
      </c>
      <c r="EC176" s="9">
        <v>467857630</v>
      </c>
      <c r="ED176" s="9">
        <v>467857630</v>
      </c>
      <c r="EE176" s="9">
        <v>469655094</v>
      </c>
      <c r="EF176" s="9">
        <v>469655094</v>
      </c>
      <c r="EG176" s="9">
        <v>469655094</v>
      </c>
      <c r="EH176" s="9">
        <v>469655094</v>
      </c>
      <c r="EI176" s="9">
        <v>469655094</v>
      </c>
      <c r="EJ176" s="9">
        <v>469655094</v>
      </c>
      <c r="EK176" s="9">
        <v>491655094</v>
      </c>
      <c r="EL176" s="9">
        <v>526150582</v>
      </c>
      <c r="EM176" s="9">
        <v>544848582</v>
      </c>
      <c r="EN176" s="9">
        <v>536507887</v>
      </c>
      <c r="EO176" s="31">
        <v>536507887</v>
      </c>
      <c r="EP176" s="9">
        <v>371219703</v>
      </c>
      <c r="EQ176" s="9">
        <v>371219703</v>
      </c>
      <c r="ER176" s="9">
        <v>371219703</v>
      </c>
      <c r="ES176" s="9">
        <v>371219703</v>
      </c>
      <c r="ET176" s="9">
        <v>371219703</v>
      </c>
      <c r="EU176" s="9">
        <v>373154196</v>
      </c>
      <c r="EV176" s="9">
        <v>401615007</v>
      </c>
      <c r="EW176" s="9">
        <v>401615007</v>
      </c>
      <c r="EX176" s="9">
        <v>401615007</v>
      </c>
      <c r="EY176" s="9">
        <v>471641998</v>
      </c>
      <c r="EZ176" s="9">
        <v>483642998</v>
      </c>
      <c r="FA176" s="9">
        <v>540684218</v>
      </c>
      <c r="FB176" s="31">
        <v>540684218</v>
      </c>
      <c r="FC176" s="9">
        <v>776352146</v>
      </c>
      <c r="FD176" s="9">
        <v>757502146</v>
      </c>
      <c r="FE176" s="9">
        <v>757502146</v>
      </c>
      <c r="FF176" s="9">
        <v>757502146</v>
      </c>
      <c r="FG176" s="9">
        <v>757502146</v>
      </c>
      <c r="FH176" s="9">
        <v>758331938</v>
      </c>
      <c r="FI176" s="9">
        <v>759411467</v>
      </c>
      <c r="FJ176" s="9">
        <v>759411467</v>
      </c>
      <c r="FK176" s="9">
        <v>759411467</v>
      </c>
      <c r="FL176" s="9">
        <v>759411467</v>
      </c>
      <c r="FM176" s="9">
        <v>759411467</v>
      </c>
      <c r="FN176" s="9">
        <v>759411467</v>
      </c>
      <c r="FO176" s="31">
        <v>759411467</v>
      </c>
    </row>
    <row r="177" spans="2:171" x14ac:dyDescent="0.3">
      <c r="B177" s="7" t="s">
        <v>55</v>
      </c>
      <c r="C177" s="9">
        <v>72739352</v>
      </c>
      <c r="D177" s="9">
        <v>72739352</v>
      </c>
      <c r="E177" s="9">
        <v>73455801</v>
      </c>
      <c r="F177" s="9">
        <v>73455801</v>
      </c>
      <c r="G177" s="9">
        <v>73455801</v>
      </c>
      <c r="H177" s="9">
        <v>76683204</v>
      </c>
      <c r="I177" s="9">
        <v>76683204</v>
      </c>
      <c r="J177" s="9">
        <v>76753819</v>
      </c>
      <c r="K177" s="9">
        <v>73489590</v>
      </c>
      <c r="L177" s="9">
        <v>73489590</v>
      </c>
      <c r="M177" s="9">
        <v>84345550</v>
      </c>
      <c r="N177" s="9">
        <v>85990859</v>
      </c>
      <c r="O177" s="31">
        <v>85990859</v>
      </c>
      <c r="P177" s="9">
        <v>66281634</v>
      </c>
      <c r="Q177" s="9">
        <v>67800017</v>
      </c>
      <c r="R177" s="9">
        <v>67800017</v>
      </c>
      <c r="S177" s="9">
        <v>67543534</v>
      </c>
      <c r="T177" s="9">
        <v>67543534</v>
      </c>
      <c r="U177" s="9">
        <v>69547921</v>
      </c>
      <c r="V177" s="9">
        <v>69547921</v>
      </c>
      <c r="W177" s="9">
        <v>69547921</v>
      </c>
      <c r="X177" s="9">
        <v>68725272</v>
      </c>
      <c r="Y177" s="9">
        <v>68725272</v>
      </c>
      <c r="Z177" s="9">
        <v>68759272</v>
      </c>
      <c r="AA177" s="9">
        <v>68691017</v>
      </c>
      <c r="AB177" s="31">
        <v>68691017</v>
      </c>
      <c r="AC177" s="9">
        <v>71432638</v>
      </c>
      <c r="AD177" s="9">
        <v>72057467</v>
      </c>
      <c r="AE177" s="9">
        <v>72057467</v>
      </c>
      <c r="AF177" s="9">
        <v>72057467</v>
      </c>
      <c r="AG177" s="9">
        <v>72167467</v>
      </c>
      <c r="AH177" s="9">
        <v>72282374</v>
      </c>
      <c r="AI177" s="9">
        <v>72282374</v>
      </c>
      <c r="AJ177" s="9">
        <v>69221670</v>
      </c>
      <c r="AK177" s="9">
        <v>69221670</v>
      </c>
      <c r="AL177" s="9">
        <v>69221670</v>
      </c>
      <c r="AM177" s="9">
        <v>68640542</v>
      </c>
      <c r="AN177" s="9">
        <v>74083967</v>
      </c>
      <c r="AO177" s="31">
        <v>74083967</v>
      </c>
      <c r="AP177" s="9">
        <v>61503845</v>
      </c>
      <c r="AQ177" s="9">
        <v>61732947</v>
      </c>
      <c r="AR177" s="9">
        <v>61732947</v>
      </c>
      <c r="AS177" s="9">
        <v>61732947</v>
      </c>
      <c r="AT177" s="9">
        <v>61732947</v>
      </c>
      <c r="AU177" s="9">
        <v>62395810</v>
      </c>
      <c r="AV177" s="9">
        <v>62395810</v>
      </c>
      <c r="AW177" s="9">
        <v>62090544</v>
      </c>
      <c r="AX177" s="9">
        <v>62090544</v>
      </c>
      <c r="AY177" s="9">
        <v>69591264</v>
      </c>
      <c r="AZ177" s="9">
        <v>73911264</v>
      </c>
      <c r="BA177" s="9">
        <v>74524042</v>
      </c>
      <c r="BB177" s="31">
        <v>74524042</v>
      </c>
      <c r="BC177" s="9">
        <v>67089204</v>
      </c>
      <c r="BD177" s="9">
        <v>67328510</v>
      </c>
      <c r="BE177" s="9">
        <v>67328510</v>
      </c>
      <c r="BF177" s="9">
        <v>67328510</v>
      </c>
      <c r="BG177" s="9">
        <v>67328510</v>
      </c>
      <c r="BH177" s="9">
        <v>67328510</v>
      </c>
      <c r="BI177" s="9">
        <v>67328510</v>
      </c>
      <c r="BJ177" s="9">
        <v>67401371</v>
      </c>
      <c r="BK177" s="9">
        <v>67401371</v>
      </c>
      <c r="BL177" s="9">
        <v>66404371</v>
      </c>
      <c r="BM177" s="9">
        <v>66404371</v>
      </c>
      <c r="BN177" s="9">
        <v>68687957</v>
      </c>
      <c r="BO177" s="31">
        <v>68687957</v>
      </c>
      <c r="BP177" s="9">
        <v>58270832</v>
      </c>
      <c r="BQ177" s="9">
        <v>58270832</v>
      </c>
      <c r="BR177" s="9">
        <v>58982581</v>
      </c>
      <c r="BS177" s="9">
        <v>58982581</v>
      </c>
      <c r="BT177" s="9">
        <v>58982581</v>
      </c>
      <c r="BU177" s="9">
        <v>58982581</v>
      </c>
      <c r="BV177" s="9">
        <v>60878239</v>
      </c>
      <c r="BW177" s="9">
        <v>68049810</v>
      </c>
      <c r="BX177" s="9">
        <v>84115289</v>
      </c>
      <c r="BY177" s="9">
        <v>84115289</v>
      </c>
      <c r="BZ177" s="9">
        <v>84115289</v>
      </c>
      <c r="CA177" s="9">
        <v>82692344</v>
      </c>
      <c r="CB177" s="31">
        <v>82692344</v>
      </c>
      <c r="CC177" s="9">
        <v>59866885</v>
      </c>
      <c r="CD177" s="9">
        <v>59866885</v>
      </c>
      <c r="CE177" s="9">
        <v>59866885</v>
      </c>
      <c r="CF177" s="9">
        <v>67272503</v>
      </c>
      <c r="CG177" s="9">
        <v>50974865</v>
      </c>
      <c r="CH177" s="9">
        <v>50974865</v>
      </c>
      <c r="CI177" s="9">
        <v>50974865</v>
      </c>
      <c r="CJ177" s="9">
        <v>50974865</v>
      </c>
      <c r="CK177" s="9">
        <v>51134865</v>
      </c>
      <c r="CL177" s="9">
        <v>53976792</v>
      </c>
      <c r="CM177" s="9">
        <v>53982792</v>
      </c>
      <c r="CN177" s="9">
        <v>58150047</v>
      </c>
      <c r="CO177" s="31">
        <v>58150047</v>
      </c>
      <c r="CP177" s="9">
        <v>71654272</v>
      </c>
      <c r="CQ177" s="9">
        <v>71654272</v>
      </c>
      <c r="CR177" s="9">
        <v>71654272</v>
      </c>
      <c r="CS177" s="9">
        <v>71654272</v>
      </c>
      <c r="CT177" s="9">
        <v>68504970</v>
      </c>
      <c r="CU177" s="9">
        <v>68504970</v>
      </c>
      <c r="CV177" s="9">
        <v>68504970</v>
      </c>
      <c r="CW177" s="9">
        <v>99481570</v>
      </c>
      <c r="CX177" s="9">
        <v>99481570</v>
      </c>
      <c r="CY177" s="9">
        <v>103557209</v>
      </c>
      <c r="CZ177" s="9">
        <v>115540209</v>
      </c>
      <c r="DA177" s="9">
        <v>117188222</v>
      </c>
      <c r="DB177" s="31">
        <v>117188222</v>
      </c>
      <c r="DC177" s="9">
        <v>77138039</v>
      </c>
      <c r="DD177" s="9">
        <v>83569182</v>
      </c>
      <c r="DE177" s="9">
        <v>82479467</v>
      </c>
      <c r="DF177" s="9">
        <v>82479467</v>
      </c>
      <c r="DG177" s="9">
        <v>82479467</v>
      </c>
      <c r="DH177" s="9">
        <v>82479467</v>
      </c>
      <c r="DI177" s="9">
        <v>82479467</v>
      </c>
      <c r="DJ177" s="9">
        <v>82479467</v>
      </c>
      <c r="DK177" s="9">
        <v>108393467</v>
      </c>
      <c r="DL177" s="9">
        <v>108393467</v>
      </c>
      <c r="DM177" s="9">
        <v>108473467</v>
      </c>
      <c r="DN177" s="9">
        <v>98456018</v>
      </c>
      <c r="DO177" s="31">
        <v>98456018</v>
      </c>
      <c r="DP177" s="9">
        <v>130494761</v>
      </c>
      <c r="DQ177" s="9">
        <v>130614761</v>
      </c>
      <c r="DR177" s="9">
        <v>130614761</v>
      </c>
      <c r="DS177" s="9">
        <v>130614761</v>
      </c>
      <c r="DT177" s="9">
        <v>130614761</v>
      </c>
      <c r="DU177" s="9">
        <v>130893605</v>
      </c>
      <c r="DV177" s="9">
        <v>131280030</v>
      </c>
      <c r="DW177" s="9">
        <v>131280030</v>
      </c>
      <c r="DX177" s="9">
        <v>131280030</v>
      </c>
      <c r="DY177" s="9">
        <v>131280030</v>
      </c>
      <c r="DZ177" s="9">
        <v>121369140</v>
      </c>
      <c r="EA177" s="9">
        <v>115468655</v>
      </c>
      <c r="EB177" s="31">
        <v>115468655</v>
      </c>
      <c r="EC177" s="9">
        <v>164160945</v>
      </c>
      <c r="ED177" s="9">
        <v>164160945</v>
      </c>
      <c r="EE177" s="9">
        <v>164788137</v>
      </c>
      <c r="EF177" s="9">
        <v>164788137</v>
      </c>
      <c r="EG177" s="9">
        <v>164810704</v>
      </c>
      <c r="EH177" s="9">
        <v>164810704</v>
      </c>
      <c r="EI177" s="9">
        <v>165176824</v>
      </c>
      <c r="EJ177" s="9">
        <v>165176824</v>
      </c>
      <c r="EK177" s="9">
        <v>167176824</v>
      </c>
      <c r="EL177" s="9">
        <v>173976760</v>
      </c>
      <c r="EM177" s="9">
        <v>173976760</v>
      </c>
      <c r="EN177" s="9">
        <v>172944682</v>
      </c>
      <c r="EO177" s="31">
        <v>172944682</v>
      </c>
      <c r="EP177" s="9">
        <v>192275210</v>
      </c>
      <c r="EQ177" s="9">
        <v>192275210</v>
      </c>
      <c r="ER177" s="9">
        <v>192523010</v>
      </c>
      <c r="ES177" s="9">
        <v>192523010</v>
      </c>
      <c r="ET177" s="9">
        <v>192523010</v>
      </c>
      <c r="EU177" s="9">
        <v>192523010</v>
      </c>
      <c r="EV177" s="9">
        <v>201434593</v>
      </c>
      <c r="EW177" s="9">
        <v>201434593</v>
      </c>
      <c r="EX177" s="9">
        <v>201434593</v>
      </c>
      <c r="EY177" s="9">
        <v>179316698</v>
      </c>
      <c r="EZ177" s="9">
        <v>175464498</v>
      </c>
      <c r="FA177" s="9">
        <v>162893531</v>
      </c>
      <c r="FB177" s="31">
        <v>162893531</v>
      </c>
      <c r="FC177" s="9">
        <v>196116811</v>
      </c>
      <c r="FD177" s="9">
        <v>192116811</v>
      </c>
      <c r="FE177" s="9">
        <v>192116811</v>
      </c>
      <c r="FF177" s="9">
        <v>192116811</v>
      </c>
      <c r="FG177" s="9">
        <v>192116811</v>
      </c>
      <c r="FH177" s="9">
        <v>193385572</v>
      </c>
      <c r="FI177" s="9">
        <v>193385572</v>
      </c>
      <c r="FJ177" s="9">
        <v>193385572</v>
      </c>
      <c r="FK177" s="9">
        <v>193385572</v>
      </c>
      <c r="FL177" s="9">
        <v>193385572</v>
      </c>
      <c r="FM177" s="9">
        <v>193385572</v>
      </c>
      <c r="FN177" s="9">
        <v>193385572</v>
      </c>
      <c r="FO177" s="31">
        <v>193385572</v>
      </c>
    </row>
    <row r="178" spans="2:171" x14ac:dyDescent="0.3">
      <c r="B178" s="7" t="s">
        <v>56</v>
      </c>
      <c r="C178" s="9">
        <v>78925459</v>
      </c>
      <c r="D178" s="9">
        <v>78925459</v>
      </c>
      <c r="E178" s="9">
        <v>79663962</v>
      </c>
      <c r="F178" s="9">
        <v>79663962</v>
      </c>
      <c r="G178" s="9">
        <v>79663962</v>
      </c>
      <c r="H178" s="9">
        <v>100679930</v>
      </c>
      <c r="I178" s="9">
        <v>100679930</v>
      </c>
      <c r="J178" s="9">
        <v>100962686</v>
      </c>
      <c r="K178" s="9">
        <v>112969267</v>
      </c>
      <c r="L178" s="9">
        <v>112969267</v>
      </c>
      <c r="M178" s="9">
        <v>128853800</v>
      </c>
      <c r="N178" s="9">
        <v>129332765</v>
      </c>
      <c r="O178" s="31">
        <v>129332765</v>
      </c>
      <c r="P178" s="9">
        <v>84901921</v>
      </c>
      <c r="Q178" s="9">
        <v>86074227</v>
      </c>
      <c r="R178" s="9">
        <v>86074227</v>
      </c>
      <c r="S178" s="9">
        <v>86074227</v>
      </c>
      <c r="T178" s="9">
        <v>86074227</v>
      </c>
      <c r="U178" s="9">
        <v>98189850</v>
      </c>
      <c r="V178" s="9">
        <v>98189850</v>
      </c>
      <c r="W178" s="9">
        <v>103462530</v>
      </c>
      <c r="X178" s="9">
        <v>102716595</v>
      </c>
      <c r="Y178" s="9">
        <v>106420202</v>
      </c>
      <c r="Z178" s="9">
        <v>106430202</v>
      </c>
      <c r="AA178" s="9">
        <v>115797147</v>
      </c>
      <c r="AB178" s="31">
        <v>115797147</v>
      </c>
      <c r="AC178" s="9">
        <v>108577051</v>
      </c>
      <c r="AD178" s="9">
        <v>110901457</v>
      </c>
      <c r="AE178" s="9">
        <v>110901457</v>
      </c>
      <c r="AF178" s="9">
        <v>110771197</v>
      </c>
      <c r="AG178" s="9">
        <v>110771197</v>
      </c>
      <c r="AH178" s="9">
        <v>119561014</v>
      </c>
      <c r="AI178" s="9">
        <v>119561014</v>
      </c>
      <c r="AJ178" s="9">
        <v>119573237</v>
      </c>
      <c r="AK178" s="9">
        <v>119573237</v>
      </c>
      <c r="AL178" s="9">
        <v>119683930</v>
      </c>
      <c r="AM178" s="9">
        <v>119683930</v>
      </c>
      <c r="AN178" s="9">
        <v>120378026</v>
      </c>
      <c r="AO178" s="31">
        <v>120378026</v>
      </c>
      <c r="AP178" s="9">
        <v>111168013</v>
      </c>
      <c r="AQ178" s="9">
        <v>113136203</v>
      </c>
      <c r="AR178" s="9">
        <v>113136203</v>
      </c>
      <c r="AS178" s="9">
        <v>113136203</v>
      </c>
      <c r="AT178" s="9">
        <v>113136203</v>
      </c>
      <c r="AU178" s="9">
        <v>105915895</v>
      </c>
      <c r="AV178" s="9">
        <v>105915895</v>
      </c>
      <c r="AW178" s="9">
        <v>106136375</v>
      </c>
      <c r="AX178" s="9">
        <v>106136375</v>
      </c>
      <c r="AY178" s="9">
        <v>106236375</v>
      </c>
      <c r="AZ178" s="9">
        <v>106236375</v>
      </c>
      <c r="BA178" s="9">
        <v>108751503</v>
      </c>
      <c r="BB178" s="31">
        <v>108751503</v>
      </c>
      <c r="BC178" s="9">
        <v>99845880</v>
      </c>
      <c r="BD178" s="9">
        <v>100822312</v>
      </c>
      <c r="BE178" s="9">
        <v>100822312</v>
      </c>
      <c r="BF178" s="9">
        <v>100822312</v>
      </c>
      <c r="BG178" s="9">
        <v>100822312</v>
      </c>
      <c r="BH178" s="9">
        <v>100822312</v>
      </c>
      <c r="BI178" s="9">
        <v>100845880</v>
      </c>
      <c r="BJ178" s="9">
        <v>96983381</v>
      </c>
      <c r="BK178" s="9">
        <v>96983381</v>
      </c>
      <c r="BL178" s="9">
        <v>95483381</v>
      </c>
      <c r="BM178" s="9">
        <v>95483381</v>
      </c>
      <c r="BN178" s="9">
        <v>95483381</v>
      </c>
      <c r="BO178" s="31">
        <v>95483381</v>
      </c>
      <c r="BP178" s="9">
        <v>117632095</v>
      </c>
      <c r="BQ178" s="9">
        <v>117632095</v>
      </c>
      <c r="BR178" s="9">
        <v>118285616</v>
      </c>
      <c r="BS178" s="9">
        <v>118285616</v>
      </c>
      <c r="BT178" s="9">
        <v>118285616</v>
      </c>
      <c r="BU178" s="9">
        <v>118285616</v>
      </c>
      <c r="BV178" s="9">
        <v>118019645</v>
      </c>
      <c r="BW178" s="9">
        <v>116519645</v>
      </c>
      <c r="BX178" s="9">
        <v>122819645</v>
      </c>
      <c r="BY178" s="9">
        <v>122819645</v>
      </c>
      <c r="BZ178" s="9">
        <v>122819645</v>
      </c>
      <c r="CA178" s="9">
        <v>123156920</v>
      </c>
      <c r="CB178" s="31">
        <v>123156920</v>
      </c>
      <c r="CC178" s="9">
        <v>120828269</v>
      </c>
      <c r="CD178" s="9">
        <v>120828269</v>
      </c>
      <c r="CE178" s="9">
        <v>120828269</v>
      </c>
      <c r="CF178" s="9">
        <v>120908269</v>
      </c>
      <c r="CG178" s="9">
        <v>91616670</v>
      </c>
      <c r="CH178" s="9">
        <v>91616670</v>
      </c>
      <c r="CI178" s="9">
        <v>91616670</v>
      </c>
      <c r="CJ178" s="9">
        <v>91616670</v>
      </c>
      <c r="CK178" s="9">
        <v>92135670</v>
      </c>
      <c r="CL178" s="9">
        <v>127861124</v>
      </c>
      <c r="CM178" s="9">
        <v>127867124</v>
      </c>
      <c r="CN178" s="9">
        <v>133768378</v>
      </c>
      <c r="CO178" s="31">
        <v>133768378</v>
      </c>
      <c r="CP178" s="9">
        <v>137108361</v>
      </c>
      <c r="CQ178" s="9">
        <v>137108361</v>
      </c>
      <c r="CR178" s="9">
        <v>137108361</v>
      </c>
      <c r="CS178" s="9">
        <v>137108361</v>
      </c>
      <c r="CT178" s="9">
        <v>135583256</v>
      </c>
      <c r="CU178" s="9">
        <v>135583256</v>
      </c>
      <c r="CV178" s="9">
        <v>135566295</v>
      </c>
      <c r="CW178" s="9">
        <v>136982295</v>
      </c>
      <c r="CX178" s="9">
        <v>136982295</v>
      </c>
      <c r="CY178" s="9">
        <v>137710556</v>
      </c>
      <c r="CZ178" s="9">
        <v>139777952</v>
      </c>
      <c r="DA178" s="9">
        <v>138092751</v>
      </c>
      <c r="DB178" s="31">
        <v>138092751</v>
      </c>
      <c r="DC178" s="9">
        <v>145731691</v>
      </c>
      <c r="DD178" s="9">
        <v>158898570</v>
      </c>
      <c r="DE178" s="9">
        <v>158898570</v>
      </c>
      <c r="DF178" s="9">
        <v>158898570</v>
      </c>
      <c r="DG178" s="9">
        <v>158864744</v>
      </c>
      <c r="DH178" s="9">
        <v>158864744</v>
      </c>
      <c r="DI178" s="9">
        <v>158864744</v>
      </c>
      <c r="DJ178" s="9">
        <v>159264744</v>
      </c>
      <c r="DK178" s="9">
        <v>161504744</v>
      </c>
      <c r="DL178" s="9">
        <v>167707660</v>
      </c>
      <c r="DM178" s="9">
        <v>168187660</v>
      </c>
      <c r="DN178" s="9">
        <v>167624775</v>
      </c>
      <c r="DO178" s="31">
        <v>167624775</v>
      </c>
      <c r="DP178" s="9">
        <v>175636178</v>
      </c>
      <c r="DQ178" s="9">
        <v>176796178</v>
      </c>
      <c r="DR178" s="9">
        <v>176796178</v>
      </c>
      <c r="DS178" s="9">
        <v>176876178</v>
      </c>
      <c r="DT178" s="9">
        <v>176877678</v>
      </c>
      <c r="DU178" s="9">
        <v>191877678</v>
      </c>
      <c r="DV178" s="9">
        <v>191877678</v>
      </c>
      <c r="DW178" s="9">
        <v>191877678</v>
      </c>
      <c r="DX178" s="9">
        <v>191877678</v>
      </c>
      <c r="DY178" s="9">
        <v>191877678</v>
      </c>
      <c r="DZ178" s="9">
        <v>216426514</v>
      </c>
      <c r="EA178" s="9">
        <v>219468834</v>
      </c>
      <c r="EB178" s="31">
        <v>219468834</v>
      </c>
      <c r="EC178" s="9">
        <v>190965901</v>
      </c>
      <c r="ED178" s="9">
        <v>190965901</v>
      </c>
      <c r="EE178" s="9">
        <v>191356201</v>
      </c>
      <c r="EF178" s="9">
        <v>191356201</v>
      </c>
      <c r="EG178" s="9">
        <v>191405200</v>
      </c>
      <c r="EH178" s="9">
        <v>191405200</v>
      </c>
      <c r="EI178" s="9">
        <v>191405200</v>
      </c>
      <c r="EJ178" s="9">
        <v>191405200</v>
      </c>
      <c r="EK178" s="9">
        <v>193405200</v>
      </c>
      <c r="EL178" s="9">
        <v>213655318</v>
      </c>
      <c r="EM178" s="9">
        <v>216655318</v>
      </c>
      <c r="EN178" s="9">
        <v>213444748</v>
      </c>
      <c r="EO178" s="31">
        <v>213444748</v>
      </c>
      <c r="EP178" s="9">
        <v>263292274</v>
      </c>
      <c r="EQ178" s="9">
        <v>263497063</v>
      </c>
      <c r="ER178" s="9">
        <v>263497063</v>
      </c>
      <c r="ES178" s="9">
        <v>263497063</v>
      </c>
      <c r="ET178" s="9">
        <v>263497063</v>
      </c>
      <c r="EU178" s="9">
        <v>263497063</v>
      </c>
      <c r="EV178" s="9">
        <v>263237933</v>
      </c>
      <c r="EW178" s="9">
        <v>263237933</v>
      </c>
      <c r="EX178" s="9">
        <v>263237933</v>
      </c>
      <c r="EY178" s="9">
        <v>256093165</v>
      </c>
      <c r="EZ178" s="9">
        <v>256916287</v>
      </c>
      <c r="FA178" s="9">
        <v>253541087</v>
      </c>
      <c r="FB178" s="31">
        <v>253541087</v>
      </c>
      <c r="FC178" s="9">
        <v>237880088</v>
      </c>
      <c r="FD178" s="9">
        <v>235880088</v>
      </c>
      <c r="FE178" s="9">
        <v>235880088</v>
      </c>
      <c r="FF178" s="9">
        <v>235880088</v>
      </c>
      <c r="FG178" s="9">
        <v>235880088</v>
      </c>
      <c r="FH178" s="9">
        <v>236629939</v>
      </c>
      <c r="FI178" s="9">
        <v>237753345</v>
      </c>
      <c r="FJ178" s="9">
        <v>237753345</v>
      </c>
      <c r="FK178" s="9">
        <v>237753345</v>
      </c>
      <c r="FL178" s="9">
        <v>237753345</v>
      </c>
      <c r="FM178" s="9">
        <v>237753345</v>
      </c>
      <c r="FN178" s="9">
        <v>237753345</v>
      </c>
      <c r="FO178" s="31">
        <v>237753345</v>
      </c>
    </row>
    <row r="179" spans="2:171" x14ac:dyDescent="0.3">
      <c r="B179" s="7" t="s">
        <v>57</v>
      </c>
      <c r="C179" s="9">
        <v>0</v>
      </c>
      <c r="D179" s="9">
        <v>0</v>
      </c>
      <c r="E179" s="9">
        <v>0</v>
      </c>
      <c r="F179" s="9">
        <v>0</v>
      </c>
      <c r="G179" s="9">
        <v>0</v>
      </c>
      <c r="H179" s="9">
        <v>0</v>
      </c>
      <c r="I179" s="9">
        <v>0</v>
      </c>
      <c r="J179" s="9">
        <v>0</v>
      </c>
      <c r="K179" s="9">
        <v>0</v>
      </c>
      <c r="L179" s="9">
        <v>0</v>
      </c>
      <c r="M179" s="9">
        <v>0</v>
      </c>
      <c r="N179" s="9">
        <v>0</v>
      </c>
      <c r="O179" s="31">
        <v>0</v>
      </c>
      <c r="P179" s="9">
        <v>0</v>
      </c>
      <c r="Q179" s="9">
        <v>0</v>
      </c>
      <c r="R179" s="9">
        <v>0</v>
      </c>
      <c r="S179" s="9">
        <v>0</v>
      </c>
      <c r="T179" s="9">
        <v>0</v>
      </c>
      <c r="U179" s="9">
        <v>0</v>
      </c>
      <c r="V179" s="9">
        <v>0</v>
      </c>
      <c r="W179" s="9">
        <v>0</v>
      </c>
      <c r="X179" s="9">
        <v>0</v>
      </c>
      <c r="Y179" s="9">
        <v>0</v>
      </c>
      <c r="Z179" s="9">
        <v>0</v>
      </c>
      <c r="AA179" s="9">
        <v>0</v>
      </c>
      <c r="AB179" s="31">
        <v>0</v>
      </c>
      <c r="AC179" s="9">
        <v>0</v>
      </c>
      <c r="AD179" s="9">
        <v>0</v>
      </c>
      <c r="AE179" s="9">
        <v>0</v>
      </c>
      <c r="AF179" s="9">
        <v>0</v>
      </c>
      <c r="AG179" s="9">
        <v>0</v>
      </c>
      <c r="AH179" s="9">
        <v>0</v>
      </c>
      <c r="AI179" s="9">
        <v>0</v>
      </c>
      <c r="AJ179" s="9">
        <v>0</v>
      </c>
      <c r="AK179" s="9">
        <v>0</v>
      </c>
      <c r="AL179" s="9">
        <v>0</v>
      </c>
      <c r="AM179" s="9">
        <v>0</v>
      </c>
      <c r="AN179" s="9">
        <v>0</v>
      </c>
      <c r="AO179" s="31">
        <v>0</v>
      </c>
      <c r="AP179" s="9">
        <v>0</v>
      </c>
      <c r="AQ179" s="9">
        <v>0</v>
      </c>
      <c r="AR179" s="9">
        <v>0</v>
      </c>
      <c r="AS179" s="9">
        <v>0</v>
      </c>
      <c r="AT179" s="9">
        <v>0</v>
      </c>
      <c r="AU179" s="9">
        <v>0</v>
      </c>
      <c r="AV179" s="9">
        <v>0</v>
      </c>
      <c r="AW179" s="9">
        <v>0</v>
      </c>
      <c r="AX179" s="9">
        <v>0</v>
      </c>
      <c r="AY179" s="9">
        <v>0</v>
      </c>
      <c r="AZ179" s="9">
        <v>0</v>
      </c>
      <c r="BA179" s="9">
        <v>0</v>
      </c>
      <c r="BB179" s="31">
        <v>0</v>
      </c>
      <c r="BC179" s="9">
        <v>0</v>
      </c>
      <c r="BD179" s="9">
        <v>0</v>
      </c>
      <c r="BE179" s="9">
        <v>0</v>
      </c>
      <c r="BF179" s="9">
        <v>0</v>
      </c>
      <c r="BG179" s="9">
        <v>0</v>
      </c>
      <c r="BH179" s="9">
        <v>0</v>
      </c>
      <c r="BI179" s="9">
        <v>0</v>
      </c>
      <c r="BJ179" s="9">
        <v>0</v>
      </c>
      <c r="BK179" s="9">
        <v>0</v>
      </c>
      <c r="BL179" s="9">
        <v>0</v>
      </c>
      <c r="BM179" s="9">
        <v>0</v>
      </c>
      <c r="BN179" s="9">
        <v>0</v>
      </c>
      <c r="BO179" s="31">
        <v>0</v>
      </c>
      <c r="BP179" s="9">
        <v>2000010</v>
      </c>
      <c r="BQ179" s="9">
        <v>2000010</v>
      </c>
      <c r="BR179" s="9">
        <v>2000010</v>
      </c>
      <c r="BS179" s="9">
        <v>2000010</v>
      </c>
      <c r="BT179" s="9">
        <v>2000010</v>
      </c>
      <c r="BU179" s="9">
        <v>2000010</v>
      </c>
      <c r="BV179" s="9">
        <v>2000010</v>
      </c>
      <c r="BW179" s="9">
        <v>1133614</v>
      </c>
      <c r="BX179" s="9">
        <v>1135379</v>
      </c>
      <c r="BY179" s="9">
        <v>1135379</v>
      </c>
      <c r="BZ179" s="9">
        <v>1135379</v>
      </c>
      <c r="CA179" s="9">
        <v>984261</v>
      </c>
      <c r="CB179" s="31">
        <v>984261</v>
      </c>
      <c r="CC179" s="9">
        <v>13371225</v>
      </c>
      <c r="CD179" s="9">
        <v>13371225</v>
      </c>
      <c r="CE179" s="9">
        <v>13371225</v>
      </c>
      <c r="CF179" s="9">
        <v>13371225</v>
      </c>
      <c r="CG179" s="9">
        <v>13371225</v>
      </c>
      <c r="CH179" s="9">
        <v>13371225</v>
      </c>
      <c r="CI179" s="9">
        <v>10162182</v>
      </c>
      <c r="CJ179" s="9">
        <v>10162182</v>
      </c>
      <c r="CK179" s="9">
        <v>11149673</v>
      </c>
      <c r="CL179" s="9">
        <v>11894498</v>
      </c>
      <c r="CM179" s="9">
        <v>11915198</v>
      </c>
      <c r="CN179" s="9">
        <v>14892118</v>
      </c>
      <c r="CO179" s="31">
        <v>14892118</v>
      </c>
      <c r="CP179" s="9">
        <v>32706828</v>
      </c>
      <c r="CQ179" s="9">
        <v>32706828</v>
      </c>
      <c r="CR179" s="9">
        <v>32706828</v>
      </c>
      <c r="CS179" s="9">
        <v>32706828</v>
      </c>
      <c r="CT179" s="9">
        <v>40339761</v>
      </c>
      <c r="CU179" s="9">
        <v>40339761</v>
      </c>
      <c r="CV179" s="9">
        <v>40339761</v>
      </c>
      <c r="CW179" s="9">
        <v>50198744</v>
      </c>
      <c r="CX179" s="9">
        <v>50198744</v>
      </c>
      <c r="CY179" s="9">
        <v>56478126</v>
      </c>
      <c r="CZ179" s="9">
        <v>56980557</v>
      </c>
      <c r="DA179" s="9">
        <v>49684459</v>
      </c>
      <c r="DB179" s="31">
        <v>49684459</v>
      </c>
      <c r="DC179" s="9">
        <v>67680251</v>
      </c>
      <c r="DD179" s="9">
        <v>88400751</v>
      </c>
      <c r="DE179" s="9">
        <v>88400751</v>
      </c>
      <c r="DF179" s="9">
        <v>88400751</v>
      </c>
      <c r="DG179" s="9">
        <v>89406248</v>
      </c>
      <c r="DH179" s="9">
        <v>89406248</v>
      </c>
      <c r="DI179" s="9">
        <v>89406248</v>
      </c>
      <c r="DJ179" s="9">
        <v>89524930</v>
      </c>
      <c r="DK179" s="9">
        <v>89736786</v>
      </c>
      <c r="DL179" s="9">
        <v>89736786</v>
      </c>
      <c r="DM179" s="9">
        <v>89889953</v>
      </c>
      <c r="DN179" s="9">
        <v>92119186</v>
      </c>
      <c r="DO179" s="31">
        <v>92119186</v>
      </c>
      <c r="DP179" s="9">
        <v>111469115</v>
      </c>
      <c r="DQ179" s="9">
        <v>111469115</v>
      </c>
      <c r="DR179" s="9">
        <v>111469115</v>
      </c>
      <c r="DS179" s="9">
        <v>111469115</v>
      </c>
      <c r="DT179" s="9">
        <v>111469115</v>
      </c>
      <c r="DU179" s="9">
        <v>113469115</v>
      </c>
      <c r="DV179" s="9">
        <v>113469115</v>
      </c>
      <c r="DW179" s="9">
        <v>113469115</v>
      </c>
      <c r="DX179" s="9">
        <v>113469115</v>
      </c>
      <c r="DY179" s="9">
        <v>113469115</v>
      </c>
      <c r="DZ179" s="9">
        <v>118629115</v>
      </c>
      <c r="EA179" s="9">
        <v>120515252</v>
      </c>
      <c r="EB179" s="31">
        <v>120515252</v>
      </c>
      <c r="EC179" s="9">
        <v>116664561</v>
      </c>
      <c r="ED179" s="9">
        <v>116664561</v>
      </c>
      <c r="EE179" s="9">
        <v>116744561</v>
      </c>
      <c r="EF179" s="9">
        <v>116744561</v>
      </c>
      <c r="EG179" s="9">
        <v>116844409</v>
      </c>
      <c r="EH179" s="9">
        <v>116844409</v>
      </c>
      <c r="EI179" s="9">
        <v>116844409</v>
      </c>
      <c r="EJ179" s="9">
        <v>116844409</v>
      </c>
      <c r="EK179" s="9">
        <v>119844409</v>
      </c>
      <c r="EL179" s="9">
        <v>142233036</v>
      </c>
      <c r="EM179" s="9">
        <v>142233036</v>
      </c>
      <c r="EN179" s="9">
        <v>154702362</v>
      </c>
      <c r="EO179" s="31">
        <v>154702362</v>
      </c>
      <c r="EP179" s="9">
        <v>154915622</v>
      </c>
      <c r="EQ179" s="9">
        <v>154915622</v>
      </c>
      <c r="ER179" s="9">
        <v>154915622</v>
      </c>
      <c r="ES179" s="9">
        <v>154915622</v>
      </c>
      <c r="ET179" s="9">
        <v>154915622</v>
      </c>
      <c r="EU179" s="9">
        <v>154915622</v>
      </c>
      <c r="EV179" s="9">
        <v>165235367</v>
      </c>
      <c r="EW179" s="9">
        <v>165235367</v>
      </c>
      <c r="EX179" s="9">
        <v>165235367</v>
      </c>
      <c r="EY179" s="9">
        <v>189916720</v>
      </c>
      <c r="EZ179" s="9">
        <v>187467078</v>
      </c>
      <c r="FA179" s="9">
        <v>187909116</v>
      </c>
      <c r="FB179" s="31">
        <v>187909116</v>
      </c>
      <c r="FC179" s="9">
        <v>185909865</v>
      </c>
      <c r="FD179" s="9">
        <v>181909865</v>
      </c>
      <c r="FE179" s="9">
        <v>181909865</v>
      </c>
      <c r="FF179" s="9">
        <v>181909865</v>
      </c>
      <c r="FG179" s="9">
        <v>181909865</v>
      </c>
      <c r="FH179" s="9">
        <v>182635761</v>
      </c>
      <c r="FI179" s="9">
        <v>182989649</v>
      </c>
      <c r="FJ179" s="9">
        <v>182989649</v>
      </c>
      <c r="FK179" s="9">
        <v>182989649</v>
      </c>
      <c r="FL179" s="9">
        <v>182989649</v>
      </c>
      <c r="FM179" s="9">
        <v>182989649</v>
      </c>
      <c r="FN179" s="9">
        <v>182989649</v>
      </c>
      <c r="FO179" s="31">
        <v>182989649</v>
      </c>
    </row>
    <row r="180" spans="2:171" x14ac:dyDescent="0.3">
      <c r="B180" s="7" t="s">
        <v>58</v>
      </c>
      <c r="C180" s="9">
        <v>121088016</v>
      </c>
      <c r="D180" s="9">
        <v>121088016</v>
      </c>
      <c r="E180" s="9">
        <v>123495040</v>
      </c>
      <c r="F180" s="9">
        <v>123495040</v>
      </c>
      <c r="G180" s="9">
        <v>123495040</v>
      </c>
      <c r="H180" s="9">
        <v>126628037</v>
      </c>
      <c r="I180" s="9">
        <v>126628037</v>
      </c>
      <c r="J180" s="9">
        <v>127431111</v>
      </c>
      <c r="K180" s="9">
        <v>176070524</v>
      </c>
      <c r="L180" s="9">
        <v>176070524</v>
      </c>
      <c r="M180" s="9">
        <v>179616146</v>
      </c>
      <c r="N180" s="9">
        <v>179107744</v>
      </c>
      <c r="O180" s="31">
        <v>179107744</v>
      </c>
      <c r="P180" s="9">
        <v>144537559</v>
      </c>
      <c r="Q180" s="9">
        <v>148076355</v>
      </c>
      <c r="R180" s="9">
        <v>148076355</v>
      </c>
      <c r="S180" s="9">
        <v>148076355</v>
      </c>
      <c r="T180" s="9">
        <v>148076355</v>
      </c>
      <c r="U180" s="9">
        <v>169074466</v>
      </c>
      <c r="V180" s="9">
        <v>169074466</v>
      </c>
      <c r="W180" s="9">
        <v>169074466</v>
      </c>
      <c r="X180" s="9">
        <v>168551163</v>
      </c>
      <c r="Y180" s="9">
        <v>168551163</v>
      </c>
      <c r="Z180" s="9">
        <v>168571163</v>
      </c>
      <c r="AA180" s="9">
        <v>173727395</v>
      </c>
      <c r="AB180" s="31">
        <v>173727395</v>
      </c>
      <c r="AC180" s="9">
        <v>163439440</v>
      </c>
      <c r="AD180" s="9">
        <v>167502789</v>
      </c>
      <c r="AE180" s="9">
        <v>167502789</v>
      </c>
      <c r="AF180" s="9">
        <v>163102789</v>
      </c>
      <c r="AG180" s="9">
        <v>163102789</v>
      </c>
      <c r="AH180" s="9">
        <v>165813229</v>
      </c>
      <c r="AI180" s="9">
        <v>169674187</v>
      </c>
      <c r="AJ180" s="9">
        <v>169217633</v>
      </c>
      <c r="AK180" s="9">
        <v>169217633</v>
      </c>
      <c r="AL180" s="9">
        <v>169217633</v>
      </c>
      <c r="AM180" s="9">
        <v>173147573</v>
      </c>
      <c r="AN180" s="9">
        <v>187496036</v>
      </c>
      <c r="AO180" s="31">
        <v>187496036</v>
      </c>
      <c r="AP180" s="9">
        <v>139176073</v>
      </c>
      <c r="AQ180" s="9">
        <v>141100125</v>
      </c>
      <c r="AR180" s="9">
        <v>141100125</v>
      </c>
      <c r="AS180" s="9">
        <v>141100125</v>
      </c>
      <c r="AT180" s="9">
        <v>141100125</v>
      </c>
      <c r="AU180" s="9">
        <v>168258596</v>
      </c>
      <c r="AV180" s="9">
        <v>168258596</v>
      </c>
      <c r="AW180" s="9">
        <v>168738596</v>
      </c>
      <c r="AX180" s="9">
        <v>168738596</v>
      </c>
      <c r="AY180" s="9">
        <v>178738596</v>
      </c>
      <c r="AZ180" s="9">
        <v>178738596</v>
      </c>
      <c r="BA180" s="9">
        <v>185603393</v>
      </c>
      <c r="BB180" s="31">
        <v>185603393</v>
      </c>
      <c r="BC180" s="9">
        <v>171760244</v>
      </c>
      <c r="BD180" s="9">
        <v>172294916</v>
      </c>
      <c r="BE180" s="9">
        <v>172294916</v>
      </c>
      <c r="BF180" s="9">
        <v>172294916</v>
      </c>
      <c r="BG180" s="9">
        <v>172294916</v>
      </c>
      <c r="BH180" s="9">
        <v>174516434</v>
      </c>
      <c r="BI180" s="9">
        <v>174516434</v>
      </c>
      <c r="BJ180" s="9">
        <v>174516434</v>
      </c>
      <c r="BK180" s="9">
        <v>174516434</v>
      </c>
      <c r="BL180" s="9">
        <v>188116434</v>
      </c>
      <c r="BM180" s="9">
        <v>188116434</v>
      </c>
      <c r="BN180" s="9">
        <v>194070702</v>
      </c>
      <c r="BO180" s="31">
        <v>194070702</v>
      </c>
      <c r="BP180" s="9">
        <v>234561465</v>
      </c>
      <c r="BQ180" s="9">
        <v>234561465</v>
      </c>
      <c r="BR180" s="9">
        <v>235170956</v>
      </c>
      <c r="BS180" s="9">
        <v>235170956</v>
      </c>
      <c r="BT180" s="9">
        <v>235170956</v>
      </c>
      <c r="BU180" s="9">
        <v>234395321</v>
      </c>
      <c r="BV180" s="9">
        <v>238429115</v>
      </c>
      <c r="BW180" s="9">
        <v>239352756</v>
      </c>
      <c r="BX180" s="9">
        <v>267343756</v>
      </c>
      <c r="BY180" s="9">
        <v>267343756</v>
      </c>
      <c r="BZ180" s="9">
        <v>267343756</v>
      </c>
      <c r="CA180" s="9">
        <v>267779999</v>
      </c>
      <c r="CB180" s="31">
        <v>267779999</v>
      </c>
      <c r="CC180" s="9">
        <v>240782468</v>
      </c>
      <c r="CD180" s="9">
        <v>240782468</v>
      </c>
      <c r="CE180" s="9">
        <v>240782468</v>
      </c>
      <c r="CF180" s="9">
        <v>287654323</v>
      </c>
      <c r="CG180" s="9">
        <v>217966327</v>
      </c>
      <c r="CH180" s="9">
        <v>217966327</v>
      </c>
      <c r="CI180" s="9">
        <v>217966327</v>
      </c>
      <c r="CJ180" s="9">
        <v>217966327</v>
      </c>
      <c r="CK180" s="9">
        <v>220309143</v>
      </c>
      <c r="CL180" s="9">
        <v>238346009</v>
      </c>
      <c r="CM180" s="9">
        <v>238252009</v>
      </c>
      <c r="CN180" s="9">
        <v>241173617</v>
      </c>
      <c r="CO180" s="31">
        <v>241173617</v>
      </c>
      <c r="CP180" s="9">
        <v>273426027</v>
      </c>
      <c r="CQ180" s="9">
        <v>273426027</v>
      </c>
      <c r="CR180" s="9">
        <v>273426027</v>
      </c>
      <c r="CS180" s="9">
        <v>272661797</v>
      </c>
      <c r="CT180" s="9">
        <v>269607341</v>
      </c>
      <c r="CU180" s="9">
        <v>269607341</v>
      </c>
      <c r="CV180" s="9">
        <v>269607341</v>
      </c>
      <c r="CW180" s="9">
        <v>244098234</v>
      </c>
      <c r="CX180" s="9">
        <v>244911929</v>
      </c>
      <c r="CY180" s="9">
        <v>245071929</v>
      </c>
      <c r="CZ180" s="9">
        <v>245036929</v>
      </c>
      <c r="DA180" s="9">
        <v>247350627</v>
      </c>
      <c r="DB180" s="31">
        <v>247350627</v>
      </c>
      <c r="DC180" s="9">
        <v>229958421</v>
      </c>
      <c r="DD180" s="9">
        <v>248269635</v>
      </c>
      <c r="DE180" s="9">
        <v>248269635</v>
      </c>
      <c r="DF180" s="9">
        <v>248269635</v>
      </c>
      <c r="DG180" s="9">
        <v>248604168</v>
      </c>
      <c r="DH180" s="9">
        <v>248604168</v>
      </c>
      <c r="DI180" s="9">
        <v>248604168</v>
      </c>
      <c r="DJ180" s="9">
        <v>248604168</v>
      </c>
      <c r="DK180" s="9">
        <v>222179302</v>
      </c>
      <c r="DL180" s="9">
        <v>222179302</v>
      </c>
      <c r="DM180" s="9">
        <v>224869873</v>
      </c>
      <c r="DN180" s="9">
        <v>226989568</v>
      </c>
      <c r="DO180" s="31">
        <v>226989568</v>
      </c>
      <c r="DP180" s="9">
        <v>219835704</v>
      </c>
      <c r="DQ180" s="9">
        <v>219875704</v>
      </c>
      <c r="DR180" s="9">
        <v>219875704</v>
      </c>
      <c r="DS180" s="9">
        <v>219875704</v>
      </c>
      <c r="DT180" s="9">
        <v>219875704</v>
      </c>
      <c r="DU180" s="9">
        <v>229875704</v>
      </c>
      <c r="DV180" s="9">
        <v>229939914</v>
      </c>
      <c r="DW180" s="9">
        <v>229939914</v>
      </c>
      <c r="DX180" s="9">
        <v>229939914</v>
      </c>
      <c r="DY180" s="9">
        <v>229939914</v>
      </c>
      <c r="DZ180" s="9">
        <v>253921925</v>
      </c>
      <c r="EA180" s="9">
        <v>254289795</v>
      </c>
      <c r="EB180" s="31">
        <v>254289795</v>
      </c>
      <c r="EC180" s="9">
        <v>293321880</v>
      </c>
      <c r="ED180" s="9">
        <v>293321880</v>
      </c>
      <c r="EE180" s="9">
        <v>295017448</v>
      </c>
      <c r="EF180" s="9">
        <v>295017448</v>
      </c>
      <c r="EG180" s="9">
        <v>295296897</v>
      </c>
      <c r="EH180" s="9">
        <v>295296897</v>
      </c>
      <c r="EI180" s="9">
        <v>295296897</v>
      </c>
      <c r="EJ180" s="9">
        <v>295296897</v>
      </c>
      <c r="EK180" s="9">
        <v>295296897</v>
      </c>
      <c r="EL180" s="9">
        <v>292814252</v>
      </c>
      <c r="EM180" s="9">
        <v>294214252</v>
      </c>
      <c r="EN180" s="9">
        <v>303934966</v>
      </c>
      <c r="EO180" s="31">
        <v>303934966</v>
      </c>
      <c r="EP180" s="9">
        <v>339023824</v>
      </c>
      <c r="EQ180" s="9">
        <v>339191329</v>
      </c>
      <c r="ER180" s="9">
        <v>339191329</v>
      </c>
      <c r="ES180" s="9">
        <v>339191329</v>
      </c>
      <c r="ET180" s="9">
        <v>339191329</v>
      </c>
      <c r="EU180" s="9">
        <v>339191329</v>
      </c>
      <c r="EV180" s="9">
        <v>358437931</v>
      </c>
      <c r="EW180" s="9">
        <v>358437931</v>
      </c>
      <c r="EX180" s="9">
        <v>358437931</v>
      </c>
      <c r="EY180" s="9">
        <v>339273828</v>
      </c>
      <c r="EZ180" s="9">
        <v>335170414</v>
      </c>
      <c r="FA180" s="9">
        <v>330148272</v>
      </c>
      <c r="FB180" s="31">
        <v>330148272</v>
      </c>
      <c r="FC180" s="9">
        <v>343891426</v>
      </c>
      <c r="FD180" s="9">
        <v>340891426</v>
      </c>
      <c r="FE180" s="9">
        <v>340891426</v>
      </c>
      <c r="FF180" s="9">
        <v>340891426</v>
      </c>
      <c r="FG180" s="9">
        <v>340891426</v>
      </c>
      <c r="FH180" s="9">
        <v>345526651</v>
      </c>
      <c r="FI180" s="9">
        <v>345526651</v>
      </c>
      <c r="FJ180" s="9">
        <v>345526651</v>
      </c>
      <c r="FK180" s="9">
        <v>345526651</v>
      </c>
      <c r="FL180" s="9">
        <v>345526651</v>
      </c>
      <c r="FM180" s="9">
        <v>345526651</v>
      </c>
      <c r="FN180" s="9">
        <v>345526651</v>
      </c>
      <c r="FO180" s="31">
        <v>345526651</v>
      </c>
    </row>
    <row r="181" spans="2:171" x14ac:dyDescent="0.3">
      <c r="B181" s="7" t="s">
        <v>59</v>
      </c>
      <c r="C181" s="9">
        <v>61420590</v>
      </c>
      <c r="D181" s="9">
        <v>61420590</v>
      </c>
      <c r="E181" s="9">
        <v>62985988</v>
      </c>
      <c r="F181" s="9">
        <v>63722595</v>
      </c>
      <c r="G181" s="9">
        <v>63722595</v>
      </c>
      <c r="H181" s="9">
        <v>69864447</v>
      </c>
      <c r="I181" s="9">
        <v>69864447</v>
      </c>
      <c r="J181" s="9">
        <v>70067812</v>
      </c>
      <c r="K181" s="9">
        <v>75396886</v>
      </c>
      <c r="L181" s="9">
        <v>75377820</v>
      </c>
      <c r="M181" s="9">
        <v>81830423</v>
      </c>
      <c r="N181" s="9">
        <v>82835712</v>
      </c>
      <c r="O181" s="31">
        <v>82835712</v>
      </c>
      <c r="P181" s="9">
        <v>82525731</v>
      </c>
      <c r="Q181" s="9">
        <v>82955387</v>
      </c>
      <c r="R181" s="9">
        <v>82955387</v>
      </c>
      <c r="S181" s="9">
        <v>82955387</v>
      </c>
      <c r="T181" s="9">
        <v>82955387</v>
      </c>
      <c r="U181" s="9">
        <v>88440299</v>
      </c>
      <c r="V181" s="9">
        <v>88440299</v>
      </c>
      <c r="W181" s="9">
        <v>88477262</v>
      </c>
      <c r="X181" s="9">
        <v>88731091</v>
      </c>
      <c r="Y181" s="9">
        <v>88731091</v>
      </c>
      <c r="Z181" s="9">
        <v>88749591</v>
      </c>
      <c r="AA181" s="9">
        <v>88230960</v>
      </c>
      <c r="AB181" s="31">
        <v>88230960</v>
      </c>
      <c r="AC181" s="9">
        <v>89528181</v>
      </c>
      <c r="AD181" s="9">
        <v>89606204</v>
      </c>
      <c r="AE181" s="9">
        <v>89606204</v>
      </c>
      <c r="AF181" s="9">
        <v>86655154</v>
      </c>
      <c r="AG181" s="9">
        <v>87003657</v>
      </c>
      <c r="AH181" s="9">
        <v>106245472</v>
      </c>
      <c r="AI181" s="9">
        <v>106195107</v>
      </c>
      <c r="AJ181" s="9">
        <v>106195107</v>
      </c>
      <c r="AK181" s="9">
        <v>106195107</v>
      </c>
      <c r="AL181" s="9">
        <v>106195107</v>
      </c>
      <c r="AM181" s="9">
        <v>106720107</v>
      </c>
      <c r="AN181" s="9">
        <v>108302338</v>
      </c>
      <c r="AO181" s="31">
        <v>108302338</v>
      </c>
      <c r="AP181" s="9">
        <v>147639682</v>
      </c>
      <c r="AQ181" s="9">
        <v>147639682</v>
      </c>
      <c r="AR181" s="9">
        <v>147639682</v>
      </c>
      <c r="AS181" s="9">
        <v>147639682</v>
      </c>
      <c r="AT181" s="9">
        <v>147639682</v>
      </c>
      <c r="AU181" s="9">
        <v>137101900</v>
      </c>
      <c r="AV181" s="9">
        <v>137101900</v>
      </c>
      <c r="AW181" s="9">
        <v>137110900</v>
      </c>
      <c r="AX181" s="9">
        <v>137110900</v>
      </c>
      <c r="AY181" s="9">
        <v>132552102</v>
      </c>
      <c r="AZ181" s="9">
        <v>132552102</v>
      </c>
      <c r="BA181" s="9">
        <v>128318148</v>
      </c>
      <c r="BB181" s="31">
        <v>128318148</v>
      </c>
      <c r="BC181" s="9">
        <v>130924410</v>
      </c>
      <c r="BD181" s="9">
        <v>131317051</v>
      </c>
      <c r="BE181" s="9">
        <v>131317051</v>
      </c>
      <c r="BF181" s="9">
        <v>131317051</v>
      </c>
      <c r="BG181" s="9">
        <v>131317051</v>
      </c>
      <c r="BH181" s="9">
        <v>131317051</v>
      </c>
      <c r="BI181" s="9">
        <v>131317051</v>
      </c>
      <c r="BJ181" s="9">
        <v>131381289</v>
      </c>
      <c r="BK181" s="9">
        <v>131381289</v>
      </c>
      <c r="BL181" s="9">
        <v>129381289</v>
      </c>
      <c r="BM181" s="9">
        <v>126565395</v>
      </c>
      <c r="BN181" s="9">
        <v>129541729</v>
      </c>
      <c r="BO181" s="31">
        <v>129541729</v>
      </c>
      <c r="BP181" s="9">
        <v>156833864</v>
      </c>
      <c r="BQ181" s="9">
        <v>156833864</v>
      </c>
      <c r="BR181" s="9">
        <v>157063466</v>
      </c>
      <c r="BS181" s="9">
        <v>157063466</v>
      </c>
      <c r="BT181" s="9">
        <v>157063466</v>
      </c>
      <c r="BU181" s="9">
        <v>157063466</v>
      </c>
      <c r="BV181" s="9">
        <v>154063466</v>
      </c>
      <c r="BW181" s="9">
        <v>152589218</v>
      </c>
      <c r="BX181" s="9">
        <v>161190910</v>
      </c>
      <c r="BY181" s="9">
        <v>161190910</v>
      </c>
      <c r="BZ181" s="9">
        <v>161190910</v>
      </c>
      <c r="CA181" s="9">
        <v>159861442</v>
      </c>
      <c r="CB181" s="31">
        <v>159861442</v>
      </c>
      <c r="CC181" s="9">
        <v>161094550</v>
      </c>
      <c r="CD181" s="9">
        <v>161094550</v>
      </c>
      <c r="CE181" s="9">
        <v>161094550</v>
      </c>
      <c r="CF181" s="9">
        <v>219123869</v>
      </c>
      <c r="CG181" s="9">
        <v>166038266</v>
      </c>
      <c r="CH181" s="9">
        <v>166038266</v>
      </c>
      <c r="CI181" s="9">
        <v>165902720</v>
      </c>
      <c r="CJ181" s="9">
        <v>165902720</v>
      </c>
      <c r="CK181" s="9">
        <v>165902720</v>
      </c>
      <c r="CL181" s="9">
        <v>149206390</v>
      </c>
      <c r="CM181" s="9">
        <v>149212390</v>
      </c>
      <c r="CN181" s="9">
        <v>146098555</v>
      </c>
      <c r="CO181" s="31">
        <v>146098555</v>
      </c>
      <c r="CP181" s="9">
        <v>189005523</v>
      </c>
      <c r="CQ181" s="9">
        <v>189005523</v>
      </c>
      <c r="CR181" s="9">
        <v>189245523</v>
      </c>
      <c r="CS181" s="9">
        <v>189245523</v>
      </c>
      <c r="CT181" s="9">
        <v>196762953</v>
      </c>
      <c r="CU181" s="9">
        <v>196762953</v>
      </c>
      <c r="CV181" s="9">
        <v>196762953</v>
      </c>
      <c r="CW181" s="9">
        <v>171602853</v>
      </c>
      <c r="CX181" s="9">
        <v>171602853</v>
      </c>
      <c r="CY181" s="9">
        <v>162552848</v>
      </c>
      <c r="CZ181" s="9">
        <v>143542848</v>
      </c>
      <c r="DA181" s="9">
        <v>129759877</v>
      </c>
      <c r="DB181" s="31">
        <v>129759877</v>
      </c>
      <c r="DC181" s="9">
        <v>158633262</v>
      </c>
      <c r="DD181" s="9">
        <v>187900956</v>
      </c>
      <c r="DE181" s="9">
        <v>187900956</v>
      </c>
      <c r="DF181" s="9">
        <v>187900956</v>
      </c>
      <c r="DG181" s="9">
        <v>187990956</v>
      </c>
      <c r="DH181" s="9">
        <v>188450355</v>
      </c>
      <c r="DI181" s="9">
        <v>188450355</v>
      </c>
      <c r="DJ181" s="9">
        <v>183623469</v>
      </c>
      <c r="DK181" s="9">
        <v>158811874</v>
      </c>
      <c r="DL181" s="9">
        <v>158811874</v>
      </c>
      <c r="DM181" s="9">
        <v>158923874</v>
      </c>
      <c r="DN181" s="9">
        <v>157575218</v>
      </c>
      <c r="DO181" s="31">
        <v>157575218</v>
      </c>
      <c r="DP181" s="9">
        <v>194797448</v>
      </c>
      <c r="DQ181" s="9">
        <v>194827253</v>
      </c>
      <c r="DR181" s="9">
        <v>194827253</v>
      </c>
      <c r="DS181" s="9">
        <v>194827253</v>
      </c>
      <c r="DT181" s="9">
        <v>194827253</v>
      </c>
      <c r="DU181" s="9">
        <v>194827253</v>
      </c>
      <c r="DV181" s="9">
        <v>194827253</v>
      </c>
      <c r="DW181" s="9">
        <v>194827253</v>
      </c>
      <c r="DX181" s="9">
        <v>194827253</v>
      </c>
      <c r="DY181" s="9">
        <v>194827253</v>
      </c>
      <c r="DZ181" s="9">
        <v>200746614</v>
      </c>
      <c r="EA181" s="9">
        <v>203572763</v>
      </c>
      <c r="EB181" s="31">
        <v>203572763</v>
      </c>
      <c r="EC181" s="9">
        <v>249756619</v>
      </c>
      <c r="ED181" s="9">
        <v>249756619</v>
      </c>
      <c r="EE181" s="9">
        <v>251561509</v>
      </c>
      <c r="EF181" s="9">
        <v>251561509</v>
      </c>
      <c r="EG181" s="9">
        <v>251910867</v>
      </c>
      <c r="EH181" s="9">
        <v>251910867</v>
      </c>
      <c r="EI181" s="9">
        <v>251910867</v>
      </c>
      <c r="EJ181" s="9">
        <v>251910867</v>
      </c>
      <c r="EK181" s="9">
        <v>257090867</v>
      </c>
      <c r="EL181" s="9">
        <v>259715030</v>
      </c>
      <c r="EM181" s="9">
        <v>261715030</v>
      </c>
      <c r="EN181" s="9">
        <v>266347073</v>
      </c>
      <c r="EO181" s="31">
        <v>266347073</v>
      </c>
      <c r="EP181" s="9">
        <v>284310890</v>
      </c>
      <c r="EQ181" s="9">
        <v>284664514</v>
      </c>
      <c r="ER181" s="9">
        <v>285230729</v>
      </c>
      <c r="ES181" s="9">
        <v>285410729</v>
      </c>
      <c r="ET181" s="9">
        <v>285410729</v>
      </c>
      <c r="EU181" s="9">
        <v>285410729</v>
      </c>
      <c r="EV181" s="9">
        <v>287486255</v>
      </c>
      <c r="EW181" s="9">
        <v>287486255</v>
      </c>
      <c r="EX181" s="9">
        <v>287486255</v>
      </c>
      <c r="EY181" s="9">
        <v>284249006</v>
      </c>
      <c r="EZ181" s="9">
        <v>284249006</v>
      </c>
      <c r="FA181" s="9">
        <v>282838420</v>
      </c>
      <c r="FB181" s="31">
        <v>282838420</v>
      </c>
      <c r="FC181" s="9">
        <v>280082307</v>
      </c>
      <c r="FD181" s="9">
        <v>275682307</v>
      </c>
      <c r="FE181" s="9">
        <v>275682307</v>
      </c>
      <c r="FF181" s="9">
        <v>275682307</v>
      </c>
      <c r="FG181" s="9">
        <v>275682307</v>
      </c>
      <c r="FH181" s="9">
        <v>277309735</v>
      </c>
      <c r="FI181" s="9">
        <v>277430246</v>
      </c>
      <c r="FJ181" s="9">
        <v>277430246</v>
      </c>
      <c r="FK181" s="9">
        <v>277430246</v>
      </c>
      <c r="FL181" s="9">
        <v>277430246</v>
      </c>
      <c r="FM181" s="9">
        <v>277430246</v>
      </c>
      <c r="FN181" s="9">
        <v>277430246</v>
      </c>
      <c r="FO181" s="31">
        <v>277430246</v>
      </c>
    </row>
    <row r="182" spans="2:171" x14ac:dyDescent="0.3">
      <c r="B182" s="7" t="s">
        <v>60</v>
      </c>
      <c r="C182" s="9">
        <v>15846063</v>
      </c>
      <c r="D182" s="9">
        <v>15846063</v>
      </c>
      <c r="E182" s="9">
        <v>16188984</v>
      </c>
      <c r="F182" s="9">
        <v>16188984</v>
      </c>
      <c r="G182" s="9">
        <v>16188984</v>
      </c>
      <c r="H182" s="9">
        <v>17762717</v>
      </c>
      <c r="I182" s="9">
        <v>17762717</v>
      </c>
      <c r="J182" s="9">
        <v>17902398</v>
      </c>
      <c r="K182" s="9">
        <v>21302226</v>
      </c>
      <c r="L182" s="9">
        <v>21302226</v>
      </c>
      <c r="M182" s="9">
        <v>23600759</v>
      </c>
      <c r="N182" s="9">
        <v>23559187</v>
      </c>
      <c r="O182" s="31">
        <v>23559187</v>
      </c>
      <c r="P182" s="9">
        <v>28941296</v>
      </c>
      <c r="Q182" s="9">
        <v>29622045</v>
      </c>
      <c r="R182" s="9">
        <v>29622045</v>
      </c>
      <c r="S182" s="9">
        <v>29622045</v>
      </c>
      <c r="T182" s="9">
        <v>29622045</v>
      </c>
      <c r="U182" s="9">
        <v>24769945</v>
      </c>
      <c r="V182" s="9">
        <v>24769945</v>
      </c>
      <c r="W182" s="9">
        <v>24769945</v>
      </c>
      <c r="X182" s="9">
        <v>24726116</v>
      </c>
      <c r="Y182" s="9">
        <v>24726116</v>
      </c>
      <c r="Z182" s="9">
        <v>24741116</v>
      </c>
      <c r="AA182" s="9">
        <v>23213019</v>
      </c>
      <c r="AB182" s="31">
        <v>23213019</v>
      </c>
      <c r="AC182" s="9">
        <v>28819166</v>
      </c>
      <c r="AD182" s="9">
        <v>29085315</v>
      </c>
      <c r="AE182" s="9">
        <v>29085315</v>
      </c>
      <c r="AF182" s="9">
        <v>29085315</v>
      </c>
      <c r="AG182" s="9">
        <v>29085315</v>
      </c>
      <c r="AH182" s="9">
        <v>20737148</v>
      </c>
      <c r="AI182" s="9">
        <v>20737148</v>
      </c>
      <c r="AJ182" s="9">
        <v>20737148</v>
      </c>
      <c r="AK182" s="9">
        <v>20737148</v>
      </c>
      <c r="AL182" s="9">
        <v>20737148</v>
      </c>
      <c r="AM182" s="9">
        <v>25298416</v>
      </c>
      <c r="AN182" s="9">
        <v>29740039</v>
      </c>
      <c r="AO182" s="31">
        <v>29740039</v>
      </c>
      <c r="AP182" s="9">
        <v>31281722</v>
      </c>
      <c r="AQ182" s="9">
        <v>31408307</v>
      </c>
      <c r="AR182" s="9">
        <v>31408307</v>
      </c>
      <c r="AS182" s="9">
        <v>31408307</v>
      </c>
      <c r="AT182" s="9">
        <v>31408307</v>
      </c>
      <c r="AU182" s="9">
        <v>33845063</v>
      </c>
      <c r="AV182" s="9">
        <v>33845063</v>
      </c>
      <c r="AW182" s="9">
        <v>33845063</v>
      </c>
      <c r="AX182" s="9">
        <v>33845063</v>
      </c>
      <c r="AY182" s="9">
        <v>33885469</v>
      </c>
      <c r="AZ182" s="9">
        <v>33885469</v>
      </c>
      <c r="BA182" s="9">
        <v>33167979</v>
      </c>
      <c r="BB182" s="31">
        <v>33167979</v>
      </c>
      <c r="BC182" s="9">
        <v>37842546</v>
      </c>
      <c r="BD182" s="9">
        <v>37842546</v>
      </c>
      <c r="BE182" s="9">
        <v>37842546</v>
      </c>
      <c r="BF182" s="9">
        <v>37842546</v>
      </c>
      <c r="BG182" s="9">
        <v>37842546</v>
      </c>
      <c r="BH182" s="9">
        <v>37842546</v>
      </c>
      <c r="BI182" s="9">
        <v>37842546</v>
      </c>
      <c r="BJ182" s="9">
        <v>37949426</v>
      </c>
      <c r="BK182" s="9">
        <v>37949426</v>
      </c>
      <c r="BL182" s="9">
        <v>36349426</v>
      </c>
      <c r="BM182" s="9">
        <v>36778950</v>
      </c>
      <c r="BN182" s="9">
        <v>34631115</v>
      </c>
      <c r="BO182" s="31">
        <v>34631115</v>
      </c>
      <c r="BP182" s="9">
        <v>49795685</v>
      </c>
      <c r="BQ182" s="9">
        <v>49795685</v>
      </c>
      <c r="BR182" s="9">
        <v>50080456</v>
      </c>
      <c r="BS182" s="9">
        <v>50080456</v>
      </c>
      <c r="BT182" s="9">
        <v>50080456</v>
      </c>
      <c r="BU182" s="9">
        <v>50080456</v>
      </c>
      <c r="BV182" s="9">
        <v>50149099</v>
      </c>
      <c r="BW182" s="9">
        <v>48652639</v>
      </c>
      <c r="BX182" s="9">
        <v>53969975</v>
      </c>
      <c r="BY182" s="9">
        <v>53969975</v>
      </c>
      <c r="BZ182" s="9">
        <v>53969975</v>
      </c>
      <c r="CA182" s="9">
        <v>47047837</v>
      </c>
      <c r="CB182" s="31">
        <v>47047837</v>
      </c>
      <c r="CC182" s="9">
        <v>51178300</v>
      </c>
      <c r="CD182" s="9">
        <v>51178300</v>
      </c>
      <c r="CE182" s="9">
        <v>51178300</v>
      </c>
      <c r="CF182" s="9">
        <v>62603820</v>
      </c>
      <c r="CG182" s="9">
        <v>54705121</v>
      </c>
      <c r="CH182" s="9">
        <v>54705121</v>
      </c>
      <c r="CI182" s="9">
        <v>54705121</v>
      </c>
      <c r="CJ182" s="9">
        <v>54705121</v>
      </c>
      <c r="CK182" s="9">
        <v>54865121</v>
      </c>
      <c r="CL182" s="9">
        <v>54615341</v>
      </c>
      <c r="CM182" s="9">
        <v>54621341</v>
      </c>
      <c r="CN182" s="9">
        <v>48458149</v>
      </c>
      <c r="CO182" s="31">
        <v>48458149</v>
      </c>
      <c r="CP182" s="9">
        <v>59001297</v>
      </c>
      <c r="CQ182" s="9">
        <v>59001297</v>
      </c>
      <c r="CR182" s="9">
        <v>59001297</v>
      </c>
      <c r="CS182" s="9">
        <v>59118445</v>
      </c>
      <c r="CT182" s="9">
        <v>57090170</v>
      </c>
      <c r="CU182" s="9">
        <v>57090170</v>
      </c>
      <c r="CV182" s="9">
        <v>57090170</v>
      </c>
      <c r="CW182" s="9">
        <v>50890170</v>
      </c>
      <c r="CX182" s="9">
        <v>50890170</v>
      </c>
      <c r="CY182" s="9">
        <v>52741430</v>
      </c>
      <c r="CZ182" s="9">
        <v>53735001</v>
      </c>
      <c r="DA182" s="9">
        <v>47671970</v>
      </c>
      <c r="DB182" s="31">
        <v>47671970</v>
      </c>
      <c r="DC182" s="9">
        <v>65122616</v>
      </c>
      <c r="DD182" s="9">
        <v>72160481</v>
      </c>
      <c r="DE182" s="9">
        <v>71346442</v>
      </c>
      <c r="DF182" s="9">
        <v>71346442</v>
      </c>
      <c r="DG182" s="9">
        <v>71346442</v>
      </c>
      <c r="DH182" s="9">
        <v>71346442</v>
      </c>
      <c r="DI182" s="9">
        <v>71346442</v>
      </c>
      <c r="DJ182" s="9">
        <v>71346442</v>
      </c>
      <c r="DK182" s="9">
        <v>65286442</v>
      </c>
      <c r="DL182" s="9">
        <v>65286442</v>
      </c>
      <c r="DM182" s="9">
        <v>65286442</v>
      </c>
      <c r="DN182" s="9">
        <v>52386172</v>
      </c>
      <c r="DO182" s="31">
        <v>52386172</v>
      </c>
      <c r="DP182" s="9">
        <v>71702362</v>
      </c>
      <c r="DQ182" s="9">
        <v>72287362</v>
      </c>
      <c r="DR182" s="9">
        <v>72287362</v>
      </c>
      <c r="DS182" s="9">
        <v>72287362</v>
      </c>
      <c r="DT182" s="9">
        <v>72287362</v>
      </c>
      <c r="DU182" s="9">
        <v>72478562</v>
      </c>
      <c r="DV182" s="9">
        <v>72478562</v>
      </c>
      <c r="DW182" s="9">
        <v>72478562</v>
      </c>
      <c r="DX182" s="9">
        <v>72478562</v>
      </c>
      <c r="DY182" s="9">
        <v>72483602</v>
      </c>
      <c r="DZ182" s="9">
        <v>64323602</v>
      </c>
      <c r="EA182" s="9">
        <v>61141985</v>
      </c>
      <c r="EB182" s="31">
        <v>61141985</v>
      </c>
      <c r="EC182" s="9">
        <v>85120131</v>
      </c>
      <c r="ED182" s="9">
        <v>85120131</v>
      </c>
      <c r="EE182" s="9">
        <v>85280131</v>
      </c>
      <c r="EF182" s="9">
        <v>85280131</v>
      </c>
      <c r="EG182" s="9">
        <v>85442459</v>
      </c>
      <c r="EH182" s="9">
        <v>85442459</v>
      </c>
      <c r="EI182" s="9">
        <v>85442459</v>
      </c>
      <c r="EJ182" s="9">
        <v>85442459</v>
      </c>
      <c r="EK182" s="9">
        <v>85442459</v>
      </c>
      <c r="EL182" s="9">
        <v>78525914</v>
      </c>
      <c r="EM182" s="9">
        <v>78525914</v>
      </c>
      <c r="EN182" s="9">
        <v>73852164</v>
      </c>
      <c r="EO182" s="31">
        <v>73852164</v>
      </c>
      <c r="EP182" s="9">
        <v>105212754</v>
      </c>
      <c r="EQ182" s="9">
        <v>105414108</v>
      </c>
      <c r="ER182" s="9">
        <v>106293108</v>
      </c>
      <c r="ES182" s="9">
        <v>106293108</v>
      </c>
      <c r="ET182" s="9">
        <v>106293108</v>
      </c>
      <c r="EU182" s="9">
        <v>106512970</v>
      </c>
      <c r="EV182" s="9">
        <v>90904180</v>
      </c>
      <c r="EW182" s="9">
        <v>90904180</v>
      </c>
      <c r="EX182" s="9">
        <v>90904180</v>
      </c>
      <c r="EY182" s="9">
        <v>78690932</v>
      </c>
      <c r="EZ182" s="9">
        <v>76260230</v>
      </c>
      <c r="FA182" s="9">
        <v>68572554</v>
      </c>
      <c r="FB182" s="31">
        <v>68572554</v>
      </c>
      <c r="FC182" s="9">
        <v>84118714</v>
      </c>
      <c r="FD182" s="9">
        <v>82118714</v>
      </c>
      <c r="FE182" s="9">
        <v>82118714</v>
      </c>
      <c r="FF182" s="9">
        <v>82118714</v>
      </c>
      <c r="FG182" s="9">
        <v>82118714</v>
      </c>
      <c r="FH182" s="9">
        <v>82920697</v>
      </c>
      <c r="FI182" s="9">
        <v>83140559</v>
      </c>
      <c r="FJ182" s="9">
        <v>83140559</v>
      </c>
      <c r="FK182" s="9">
        <v>83140559</v>
      </c>
      <c r="FL182" s="9">
        <v>83140559</v>
      </c>
      <c r="FM182" s="9">
        <v>83140559</v>
      </c>
      <c r="FN182" s="9">
        <v>83140559</v>
      </c>
      <c r="FO182" s="31">
        <v>83140559</v>
      </c>
    </row>
    <row r="183" spans="2:171" x14ac:dyDescent="0.3">
      <c r="B183" s="7" t="s">
        <v>61</v>
      </c>
      <c r="C183" s="9">
        <v>28678013</v>
      </c>
      <c r="D183" s="9">
        <v>28678013</v>
      </c>
      <c r="E183" s="9">
        <v>29298938</v>
      </c>
      <c r="F183" s="9">
        <v>29298938</v>
      </c>
      <c r="G183" s="9">
        <v>29298938</v>
      </c>
      <c r="H183" s="9">
        <v>40440718</v>
      </c>
      <c r="I183" s="9">
        <v>40440718</v>
      </c>
      <c r="J183" s="9">
        <v>40641948</v>
      </c>
      <c r="K183" s="9">
        <v>50644851</v>
      </c>
      <c r="L183" s="9">
        <v>50947570</v>
      </c>
      <c r="M183" s="9">
        <v>54352079</v>
      </c>
      <c r="N183" s="9">
        <v>55954079</v>
      </c>
      <c r="O183" s="31">
        <v>55954079</v>
      </c>
      <c r="P183" s="9">
        <v>60178299</v>
      </c>
      <c r="Q183" s="9">
        <v>60499596</v>
      </c>
      <c r="R183" s="9">
        <v>60499596</v>
      </c>
      <c r="S183" s="9">
        <v>60499596</v>
      </c>
      <c r="T183" s="9">
        <v>60499596</v>
      </c>
      <c r="U183" s="9">
        <v>64377860</v>
      </c>
      <c r="V183" s="9">
        <v>64377860</v>
      </c>
      <c r="W183" s="9">
        <v>64377860</v>
      </c>
      <c r="X183" s="9">
        <v>64477860</v>
      </c>
      <c r="Y183" s="9">
        <v>64735870</v>
      </c>
      <c r="Z183" s="9">
        <v>64780870</v>
      </c>
      <c r="AA183" s="9">
        <v>61321579</v>
      </c>
      <c r="AB183" s="31">
        <v>61321579</v>
      </c>
      <c r="AC183" s="9">
        <v>64727693</v>
      </c>
      <c r="AD183" s="9">
        <v>64918905</v>
      </c>
      <c r="AE183" s="9">
        <v>64918905</v>
      </c>
      <c r="AF183" s="9">
        <v>64918905</v>
      </c>
      <c r="AG183" s="9">
        <v>65717947</v>
      </c>
      <c r="AH183" s="9">
        <v>67878843</v>
      </c>
      <c r="AI183" s="9">
        <v>67878843</v>
      </c>
      <c r="AJ183" s="9">
        <v>63897771</v>
      </c>
      <c r="AK183" s="9">
        <v>63916013</v>
      </c>
      <c r="AL183" s="9">
        <v>63845398</v>
      </c>
      <c r="AM183" s="9">
        <v>63845398</v>
      </c>
      <c r="AN183" s="9">
        <v>69367728</v>
      </c>
      <c r="AO183" s="31">
        <v>69367728</v>
      </c>
      <c r="AP183" s="9">
        <v>83457399</v>
      </c>
      <c r="AQ183" s="9">
        <v>83457399</v>
      </c>
      <c r="AR183" s="9">
        <v>83457399</v>
      </c>
      <c r="AS183" s="9">
        <v>83825933</v>
      </c>
      <c r="AT183" s="9">
        <v>83825933</v>
      </c>
      <c r="AU183" s="9">
        <v>88037865</v>
      </c>
      <c r="AV183" s="9">
        <v>88037865</v>
      </c>
      <c r="AW183" s="9">
        <v>88104865</v>
      </c>
      <c r="AX183" s="9">
        <v>88104865</v>
      </c>
      <c r="AY183" s="9">
        <v>88104865</v>
      </c>
      <c r="AZ183" s="9">
        <v>88104865</v>
      </c>
      <c r="BA183" s="9">
        <v>85586265</v>
      </c>
      <c r="BB183" s="31">
        <v>85586265</v>
      </c>
      <c r="BC183" s="9">
        <v>63406388</v>
      </c>
      <c r="BD183" s="9">
        <v>63422020</v>
      </c>
      <c r="BE183" s="9">
        <v>63422020</v>
      </c>
      <c r="BF183" s="9">
        <v>63422020</v>
      </c>
      <c r="BG183" s="9">
        <v>63422020</v>
      </c>
      <c r="BH183" s="9">
        <v>63422020</v>
      </c>
      <c r="BI183" s="9">
        <v>63422020</v>
      </c>
      <c r="BJ183" s="9">
        <v>65306751</v>
      </c>
      <c r="BK183" s="9">
        <v>65306751</v>
      </c>
      <c r="BL183" s="9">
        <v>71806751</v>
      </c>
      <c r="BM183" s="9">
        <v>71806751</v>
      </c>
      <c r="BN183" s="9">
        <v>72922186</v>
      </c>
      <c r="BO183" s="31">
        <v>72922186</v>
      </c>
      <c r="BP183" s="9">
        <v>101293565</v>
      </c>
      <c r="BQ183" s="9">
        <v>101293565</v>
      </c>
      <c r="BR183" s="9">
        <v>101732643</v>
      </c>
      <c r="BS183" s="9">
        <v>101732643</v>
      </c>
      <c r="BT183" s="9">
        <v>101732643</v>
      </c>
      <c r="BU183" s="9">
        <v>101732643</v>
      </c>
      <c r="BV183" s="9">
        <v>101619270</v>
      </c>
      <c r="BW183" s="9">
        <v>102419462</v>
      </c>
      <c r="BX183" s="9">
        <v>102440862</v>
      </c>
      <c r="BY183" s="9">
        <v>102440862</v>
      </c>
      <c r="BZ183" s="9">
        <v>102440862</v>
      </c>
      <c r="CA183" s="9">
        <v>102760862</v>
      </c>
      <c r="CB183" s="31">
        <v>102760862</v>
      </c>
      <c r="CC183" s="9">
        <v>104020101</v>
      </c>
      <c r="CD183" s="9">
        <v>104020101</v>
      </c>
      <c r="CE183" s="9">
        <v>104020101</v>
      </c>
      <c r="CF183" s="9">
        <v>131350401</v>
      </c>
      <c r="CG183" s="9">
        <v>99529060</v>
      </c>
      <c r="CH183" s="9">
        <v>99529060</v>
      </c>
      <c r="CI183" s="9">
        <v>99529060</v>
      </c>
      <c r="CJ183" s="9">
        <v>99529060</v>
      </c>
      <c r="CK183" s="9">
        <v>99689060</v>
      </c>
      <c r="CL183" s="9">
        <v>112379677</v>
      </c>
      <c r="CM183" s="9">
        <v>112385677</v>
      </c>
      <c r="CN183" s="9">
        <v>116586271</v>
      </c>
      <c r="CO183" s="31">
        <v>116586271</v>
      </c>
      <c r="CP183" s="9">
        <v>121277707</v>
      </c>
      <c r="CQ183" s="9">
        <v>121277707</v>
      </c>
      <c r="CR183" s="9">
        <v>121277707</v>
      </c>
      <c r="CS183" s="9">
        <v>121584457</v>
      </c>
      <c r="CT183" s="9">
        <v>118994815</v>
      </c>
      <c r="CU183" s="9">
        <v>118994815</v>
      </c>
      <c r="CV183" s="9">
        <v>118994815</v>
      </c>
      <c r="CW183" s="9">
        <v>115194815</v>
      </c>
      <c r="CX183" s="9">
        <v>115194815</v>
      </c>
      <c r="CY183" s="9">
        <v>115194815</v>
      </c>
      <c r="CZ183" s="9">
        <v>115179815</v>
      </c>
      <c r="DA183" s="9">
        <v>113154266</v>
      </c>
      <c r="DB183" s="31">
        <v>113154266</v>
      </c>
      <c r="DC183" s="9">
        <v>107124855</v>
      </c>
      <c r="DD183" s="9">
        <v>116329347</v>
      </c>
      <c r="DE183" s="9">
        <v>116329347</v>
      </c>
      <c r="DF183" s="9">
        <v>116329347</v>
      </c>
      <c r="DG183" s="9">
        <v>116329347</v>
      </c>
      <c r="DH183" s="9">
        <v>116329347</v>
      </c>
      <c r="DI183" s="9">
        <v>116329347</v>
      </c>
      <c r="DJ183" s="9">
        <v>116476369</v>
      </c>
      <c r="DK183" s="9">
        <v>117634869</v>
      </c>
      <c r="DL183" s="9">
        <v>117634869</v>
      </c>
      <c r="DM183" s="9">
        <v>117834869</v>
      </c>
      <c r="DN183" s="9">
        <v>118428905</v>
      </c>
      <c r="DO183" s="31">
        <v>118428905</v>
      </c>
      <c r="DP183" s="9">
        <v>132146653</v>
      </c>
      <c r="DQ183" s="9">
        <v>132146653</v>
      </c>
      <c r="DR183" s="9">
        <v>132146653</v>
      </c>
      <c r="DS183" s="9">
        <v>132146653</v>
      </c>
      <c r="DT183" s="9">
        <v>132146653</v>
      </c>
      <c r="DU183" s="9">
        <v>148146653</v>
      </c>
      <c r="DV183" s="9">
        <v>148146653</v>
      </c>
      <c r="DW183" s="9">
        <v>148146653</v>
      </c>
      <c r="DX183" s="9">
        <v>148146653</v>
      </c>
      <c r="DY183" s="9">
        <v>148146653</v>
      </c>
      <c r="DZ183" s="9">
        <v>144769767</v>
      </c>
      <c r="EA183" s="9">
        <v>146848229</v>
      </c>
      <c r="EB183" s="31">
        <v>146848229</v>
      </c>
      <c r="EC183" s="9">
        <v>153857890</v>
      </c>
      <c r="ED183" s="9">
        <v>153857890</v>
      </c>
      <c r="EE183" s="9">
        <v>154097890</v>
      </c>
      <c r="EF183" s="9">
        <v>154097890</v>
      </c>
      <c r="EG183" s="9">
        <v>154097890</v>
      </c>
      <c r="EH183" s="9">
        <v>154097890</v>
      </c>
      <c r="EI183" s="9">
        <v>154097890</v>
      </c>
      <c r="EJ183" s="9">
        <v>154097890</v>
      </c>
      <c r="EK183" s="9">
        <v>164097890</v>
      </c>
      <c r="EL183" s="9">
        <v>190206299</v>
      </c>
      <c r="EM183" s="9">
        <v>193206299</v>
      </c>
      <c r="EN183" s="9">
        <v>209110935</v>
      </c>
      <c r="EO183" s="31">
        <v>209110935</v>
      </c>
      <c r="EP183" s="9">
        <v>204729212</v>
      </c>
      <c r="EQ183" s="9">
        <v>206516275</v>
      </c>
      <c r="ER183" s="9">
        <v>206516275</v>
      </c>
      <c r="ES183" s="9">
        <v>206516275</v>
      </c>
      <c r="ET183" s="9">
        <v>206516275</v>
      </c>
      <c r="EU183" s="9">
        <v>206516275</v>
      </c>
      <c r="EV183" s="9">
        <v>226188007</v>
      </c>
      <c r="EW183" s="9">
        <v>226188007</v>
      </c>
      <c r="EX183" s="9">
        <v>226188007</v>
      </c>
      <c r="EY183" s="9">
        <v>240800108</v>
      </c>
      <c r="EZ183" s="9">
        <v>240800108</v>
      </c>
      <c r="FA183" s="9">
        <v>256732296</v>
      </c>
      <c r="FB183" s="31">
        <v>256732296</v>
      </c>
      <c r="FC183" s="9">
        <v>253550567</v>
      </c>
      <c r="FD183" s="9">
        <v>249550567</v>
      </c>
      <c r="FE183" s="9">
        <v>249550567</v>
      </c>
      <c r="FF183" s="9">
        <v>249550567</v>
      </c>
      <c r="FG183" s="9">
        <v>249550567</v>
      </c>
      <c r="FH183" s="9">
        <v>252101636</v>
      </c>
      <c r="FI183" s="9">
        <v>253151342</v>
      </c>
      <c r="FJ183" s="9">
        <v>253151342</v>
      </c>
      <c r="FK183" s="9">
        <v>253151342</v>
      </c>
      <c r="FL183" s="9">
        <v>253151342</v>
      </c>
      <c r="FM183" s="9">
        <v>253151342</v>
      </c>
      <c r="FN183" s="9">
        <v>253151342</v>
      </c>
      <c r="FO183" s="31">
        <v>253151342</v>
      </c>
    </row>
    <row r="184" spans="2:171" x14ac:dyDescent="0.3">
      <c r="B184" s="7" t="s">
        <v>62</v>
      </c>
      <c r="C184" s="9">
        <v>12192340</v>
      </c>
      <c r="D184" s="9">
        <v>12192340</v>
      </c>
      <c r="E184" s="9">
        <v>12415340</v>
      </c>
      <c r="F184" s="9">
        <v>12415340</v>
      </c>
      <c r="G184" s="9">
        <v>12415340</v>
      </c>
      <c r="H184" s="9">
        <v>12415340</v>
      </c>
      <c r="I184" s="9">
        <v>12415340</v>
      </c>
      <c r="J184" s="9">
        <v>12508415</v>
      </c>
      <c r="K184" s="9">
        <v>11965091</v>
      </c>
      <c r="L184" s="9">
        <v>11994043</v>
      </c>
      <c r="M184" s="9">
        <v>12938747</v>
      </c>
      <c r="N184" s="9">
        <v>13687593</v>
      </c>
      <c r="O184" s="31">
        <v>13687593</v>
      </c>
      <c r="P184" s="9">
        <v>15881494</v>
      </c>
      <c r="Q184" s="9">
        <v>16294413</v>
      </c>
      <c r="R184" s="9">
        <v>16294413</v>
      </c>
      <c r="S184" s="9">
        <v>16294413</v>
      </c>
      <c r="T184" s="9">
        <v>16294413</v>
      </c>
      <c r="U184" s="9">
        <v>13358340</v>
      </c>
      <c r="V184" s="9">
        <v>13358340</v>
      </c>
      <c r="W184" s="9">
        <v>13358340</v>
      </c>
      <c r="X184" s="9">
        <v>13968803</v>
      </c>
      <c r="Y184" s="9">
        <v>16337708</v>
      </c>
      <c r="Z184" s="9">
        <v>16337708</v>
      </c>
      <c r="AA184" s="9">
        <v>17674750</v>
      </c>
      <c r="AB184" s="31">
        <v>17674750</v>
      </c>
      <c r="AC184" s="9">
        <v>13488471</v>
      </c>
      <c r="AD184" s="9">
        <v>14028916</v>
      </c>
      <c r="AE184" s="9">
        <v>14028916</v>
      </c>
      <c r="AF184" s="9">
        <v>14028916</v>
      </c>
      <c r="AG184" s="9">
        <v>14363916</v>
      </c>
      <c r="AH184" s="9">
        <v>25011990</v>
      </c>
      <c r="AI184" s="9">
        <v>25011990</v>
      </c>
      <c r="AJ184" s="9">
        <v>25011990</v>
      </c>
      <c r="AK184" s="9">
        <v>25011990</v>
      </c>
      <c r="AL184" s="9">
        <v>25067145</v>
      </c>
      <c r="AM184" s="9">
        <v>25072145</v>
      </c>
      <c r="AN184" s="9">
        <v>23565482</v>
      </c>
      <c r="AO184" s="31">
        <v>23565482</v>
      </c>
      <c r="AP184" s="9">
        <v>20553941</v>
      </c>
      <c r="AQ184" s="9">
        <v>20885450</v>
      </c>
      <c r="AR184" s="9">
        <v>20885450</v>
      </c>
      <c r="AS184" s="9">
        <v>20885450</v>
      </c>
      <c r="AT184" s="9">
        <v>20885450</v>
      </c>
      <c r="AU184" s="9">
        <v>25446984</v>
      </c>
      <c r="AV184" s="9">
        <v>28424748</v>
      </c>
      <c r="AW184" s="9">
        <v>28424748</v>
      </c>
      <c r="AX184" s="9">
        <v>28424748</v>
      </c>
      <c r="AY184" s="9">
        <v>27341937</v>
      </c>
      <c r="AZ184" s="9">
        <v>27341937</v>
      </c>
      <c r="BA184" s="9">
        <v>26916474</v>
      </c>
      <c r="BB184" s="31">
        <v>26916474</v>
      </c>
      <c r="BC184" s="9">
        <v>14998026</v>
      </c>
      <c r="BD184" s="9">
        <v>15025462</v>
      </c>
      <c r="BE184" s="9">
        <v>14235760</v>
      </c>
      <c r="BF184" s="9">
        <v>14235760</v>
      </c>
      <c r="BG184" s="9">
        <v>14065360</v>
      </c>
      <c r="BH184" s="9">
        <v>14065360</v>
      </c>
      <c r="BI184" s="9">
        <v>14065360</v>
      </c>
      <c r="BJ184" s="9">
        <v>14189780</v>
      </c>
      <c r="BK184" s="9">
        <v>14189780</v>
      </c>
      <c r="BL184" s="9">
        <v>14189780</v>
      </c>
      <c r="BM184" s="9">
        <v>14189780</v>
      </c>
      <c r="BN184" s="9">
        <v>13491934</v>
      </c>
      <c r="BO184" s="31">
        <v>13491934</v>
      </c>
      <c r="BP184" s="9">
        <v>17552312</v>
      </c>
      <c r="BQ184" s="9">
        <v>17552312</v>
      </c>
      <c r="BR184" s="9">
        <v>17641346</v>
      </c>
      <c r="BS184" s="9">
        <v>17641346</v>
      </c>
      <c r="BT184" s="9">
        <v>15549608</v>
      </c>
      <c r="BU184" s="9">
        <v>15549608</v>
      </c>
      <c r="BV184" s="9">
        <v>15603608</v>
      </c>
      <c r="BW184" s="9">
        <v>16357284</v>
      </c>
      <c r="BX184" s="9">
        <v>22174118</v>
      </c>
      <c r="BY184" s="9">
        <v>22174118</v>
      </c>
      <c r="BZ184" s="9">
        <v>24174118</v>
      </c>
      <c r="CA184" s="9">
        <v>22174206</v>
      </c>
      <c r="CB184" s="31">
        <v>22174206</v>
      </c>
      <c r="CC184" s="9">
        <v>18038079</v>
      </c>
      <c r="CD184" s="9">
        <v>18038079</v>
      </c>
      <c r="CE184" s="9">
        <v>18038079</v>
      </c>
      <c r="CF184" s="9">
        <v>21478902</v>
      </c>
      <c r="CG184" s="9">
        <v>17275359</v>
      </c>
      <c r="CH184" s="9">
        <v>17275359</v>
      </c>
      <c r="CI184" s="9">
        <v>17809416</v>
      </c>
      <c r="CJ184" s="9">
        <v>17809416</v>
      </c>
      <c r="CK184" s="9">
        <v>17809416</v>
      </c>
      <c r="CL184" s="9">
        <v>33186726</v>
      </c>
      <c r="CM184" s="9">
        <v>33192726</v>
      </c>
      <c r="CN184" s="9">
        <v>32857775</v>
      </c>
      <c r="CO184" s="31">
        <v>32857775</v>
      </c>
      <c r="CP184" s="9">
        <v>29319332</v>
      </c>
      <c r="CQ184" s="9">
        <v>29319332</v>
      </c>
      <c r="CR184" s="9">
        <v>29319332</v>
      </c>
      <c r="CS184" s="9">
        <v>31319332</v>
      </c>
      <c r="CT184" s="9">
        <v>26187092</v>
      </c>
      <c r="CU184" s="9">
        <v>26187092</v>
      </c>
      <c r="CV184" s="9">
        <v>26187092</v>
      </c>
      <c r="CW184" s="9">
        <v>28478553</v>
      </c>
      <c r="CX184" s="9">
        <v>28478553</v>
      </c>
      <c r="CY184" s="9">
        <v>29018366</v>
      </c>
      <c r="CZ184" s="9">
        <v>29018366</v>
      </c>
      <c r="DA184" s="9">
        <v>28917061</v>
      </c>
      <c r="DB184" s="31">
        <v>28917061</v>
      </c>
      <c r="DC184" s="9">
        <v>28166564</v>
      </c>
      <c r="DD184" s="9">
        <v>31431649</v>
      </c>
      <c r="DE184" s="9">
        <v>31431649</v>
      </c>
      <c r="DF184" s="9">
        <v>31431649</v>
      </c>
      <c r="DG184" s="9">
        <v>31431649</v>
      </c>
      <c r="DH184" s="9">
        <v>31431649</v>
      </c>
      <c r="DI184" s="9">
        <v>31431649</v>
      </c>
      <c r="DJ184" s="9">
        <v>31431649</v>
      </c>
      <c r="DK184" s="9">
        <v>37867832</v>
      </c>
      <c r="DL184" s="9">
        <v>41047832</v>
      </c>
      <c r="DM184" s="9">
        <v>41047832</v>
      </c>
      <c r="DN184" s="9">
        <v>39557869</v>
      </c>
      <c r="DO184" s="31">
        <v>39557869</v>
      </c>
      <c r="DP184" s="9">
        <v>52334886</v>
      </c>
      <c r="DQ184" s="9">
        <v>52334886</v>
      </c>
      <c r="DR184" s="9">
        <v>52334886</v>
      </c>
      <c r="DS184" s="9">
        <v>52502663</v>
      </c>
      <c r="DT184" s="9">
        <v>52502663</v>
      </c>
      <c r="DU184" s="9">
        <v>52502663</v>
      </c>
      <c r="DV184" s="9">
        <v>52502663</v>
      </c>
      <c r="DW184" s="9">
        <v>52502663</v>
      </c>
      <c r="DX184" s="9">
        <v>52502663</v>
      </c>
      <c r="DY184" s="9">
        <v>52502663</v>
      </c>
      <c r="DZ184" s="9">
        <v>52972280</v>
      </c>
      <c r="EA184" s="9">
        <v>52755613</v>
      </c>
      <c r="EB184" s="31">
        <v>52755613</v>
      </c>
      <c r="EC184" s="9">
        <v>33487034</v>
      </c>
      <c r="ED184" s="9">
        <v>33487034</v>
      </c>
      <c r="EE184" s="9">
        <v>33647034</v>
      </c>
      <c r="EF184" s="9">
        <v>33647034</v>
      </c>
      <c r="EG184" s="9">
        <v>34097034</v>
      </c>
      <c r="EH184" s="9">
        <v>34097034</v>
      </c>
      <c r="EI184" s="9">
        <v>34097034</v>
      </c>
      <c r="EJ184" s="9">
        <v>34097034</v>
      </c>
      <c r="EK184" s="9">
        <v>34097034</v>
      </c>
      <c r="EL184" s="9">
        <v>36842945</v>
      </c>
      <c r="EM184" s="9">
        <v>39842945</v>
      </c>
      <c r="EN184" s="9">
        <v>40911462</v>
      </c>
      <c r="EO184" s="31">
        <v>40911462</v>
      </c>
      <c r="EP184" s="9">
        <v>62332384</v>
      </c>
      <c r="EQ184" s="9">
        <v>62658631</v>
      </c>
      <c r="ER184" s="9">
        <v>62658631</v>
      </c>
      <c r="ES184" s="9">
        <v>62658631</v>
      </c>
      <c r="ET184" s="9">
        <v>62658631</v>
      </c>
      <c r="EU184" s="9">
        <v>62940186</v>
      </c>
      <c r="EV184" s="9">
        <v>62859105</v>
      </c>
      <c r="EW184" s="9">
        <v>62859105</v>
      </c>
      <c r="EX184" s="9">
        <v>62859105</v>
      </c>
      <c r="EY184" s="9">
        <v>61143121</v>
      </c>
      <c r="EZ184" s="9">
        <v>59245303</v>
      </c>
      <c r="FA184" s="9">
        <v>50534617</v>
      </c>
      <c r="FB184" s="31">
        <v>50534617</v>
      </c>
      <c r="FC184" s="9">
        <v>52358707</v>
      </c>
      <c r="FD184" s="9">
        <v>51458707</v>
      </c>
      <c r="FE184" s="9">
        <v>51458707</v>
      </c>
      <c r="FF184" s="9">
        <v>51458707</v>
      </c>
      <c r="FG184" s="9">
        <v>51458707</v>
      </c>
      <c r="FH184" s="9">
        <v>51630599</v>
      </c>
      <c r="FI184" s="9">
        <v>51630599</v>
      </c>
      <c r="FJ184" s="9">
        <v>51630599</v>
      </c>
      <c r="FK184" s="9">
        <v>51630599</v>
      </c>
      <c r="FL184" s="9">
        <v>51630599</v>
      </c>
      <c r="FM184" s="9">
        <v>51630599</v>
      </c>
      <c r="FN184" s="9">
        <v>51630599</v>
      </c>
      <c r="FO184" s="31">
        <v>51630599</v>
      </c>
    </row>
    <row r="185" spans="2:171" x14ac:dyDescent="0.3">
      <c r="B185" s="7" t="s">
        <v>63</v>
      </c>
      <c r="C185" s="9">
        <v>16731275</v>
      </c>
      <c r="D185" s="9">
        <v>16731275</v>
      </c>
      <c r="E185" s="9">
        <v>17313082</v>
      </c>
      <c r="F185" s="9">
        <v>17740773</v>
      </c>
      <c r="G185" s="9">
        <v>17740773</v>
      </c>
      <c r="H185" s="9">
        <v>15925067</v>
      </c>
      <c r="I185" s="9">
        <v>15925067</v>
      </c>
      <c r="J185" s="9">
        <v>16035748</v>
      </c>
      <c r="K185" s="9">
        <v>15571056</v>
      </c>
      <c r="L185" s="9">
        <v>15571056</v>
      </c>
      <c r="M185" s="9">
        <v>15571056</v>
      </c>
      <c r="N185" s="9">
        <v>14708356</v>
      </c>
      <c r="O185" s="31">
        <v>14708356</v>
      </c>
      <c r="P185" s="9">
        <v>18391236</v>
      </c>
      <c r="Q185" s="9">
        <v>19772943</v>
      </c>
      <c r="R185" s="9">
        <v>19772943</v>
      </c>
      <c r="S185" s="9">
        <v>19772943</v>
      </c>
      <c r="T185" s="9">
        <v>19772943</v>
      </c>
      <c r="U185" s="9">
        <v>20687731</v>
      </c>
      <c r="V185" s="9">
        <v>20687731</v>
      </c>
      <c r="W185" s="9">
        <v>20702731</v>
      </c>
      <c r="X185" s="9">
        <v>20744787</v>
      </c>
      <c r="Y185" s="9">
        <v>20744787</v>
      </c>
      <c r="Z185" s="9">
        <v>20794787</v>
      </c>
      <c r="AA185" s="9">
        <v>20290011</v>
      </c>
      <c r="AB185" s="31">
        <v>20290011</v>
      </c>
      <c r="AC185" s="9">
        <v>20599186</v>
      </c>
      <c r="AD185" s="9">
        <v>21007919</v>
      </c>
      <c r="AE185" s="9">
        <v>21007919</v>
      </c>
      <c r="AF185" s="9">
        <v>21007919</v>
      </c>
      <c r="AG185" s="9">
        <v>21007919</v>
      </c>
      <c r="AH185" s="9">
        <v>22296268</v>
      </c>
      <c r="AI185" s="9">
        <v>22296268</v>
      </c>
      <c r="AJ185" s="9">
        <v>22296268</v>
      </c>
      <c r="AK185" s="9">
        <v>22296268</v>
      </c>
      <c r="AL185" s="9">
        <v>22296268</v>
      </c>
      <c r="AM185" s="9">
        <v>22303268</v>
      </c>
      <c r="AN185" s="9">
        <v>20007451</v>
      </c>
      <c r="AO185" s="31">
        <v>20007451</v>
      </c>
      <c r="AP185" s="9">
        <v>16685178</v>
      </c>
      <c r="AQ185" s="9">
        <v>17388218</v>
      </c>
      <c r="AR185" s="9">
        <v>17388218</v>
      </c>
      <c r="AS185" s="9">
        <v>17388218</v>
      </c>
      <c r="AT185" s="9">
        <v>18681218</v>
      </c>
      <c r="AU185" s="9">
        <v>18158554</v>
      </c>
      <c r="AV185" s="9">
        <v>18158554</v>
      </c>
      <c r="AW185" s="9">
        <v>18158554</v>
      </c>
      <c r="AX185" s="9">
        <v>18158554</v>
      </c>
      <c r="AY185" s="9">
        <v>18048525</v>
      </c>
      <c r="AZ185" s="9">
        <v>18048525</v>
      </c>
      <c r="BA185" s="9">
        <v>17671937</v>
      </c>
      <c r="BB185" s="31">
        <v>17671937</v>
      </c>
      <c r="BC185" s="9">
        <v>21138373</v>
      </c>
      <c r="BD185" s="9">
        <v>21138373</v>
      </c>
      <c r="BE185" s="9">
        <v>21138373</v>
      </c>
      <c r="BF185" s="9">
        <v>21138373</v>
      </c>
      <c r="BG185" s="9">
        <v>21138373</v>
      </c>
      <c r="BH185" s="9">
        <v>22999336</v>
      </c>
      <c r="BI185" s="9">
        <v>23369613</v>
      </c>
      <c r="BJ185" s="9">
        <v>23369613</v>
      </c>
      <c r="BK185" s="9">
        <v>23369613</v>
      </c>
      <c r="BL185" s="9">
        <v>22269613</v>
      </c>
      <c r="BM185" s="9">
        <v>22269613</v>
      </c>
      <c r="BN185" s="9">
        <v>19860486</v>
      </c>
      <c r="BO185" s="31">
        <v>19860486</v>
      </c>
      <c r="BP185" s="9">
        <v>17594722</v>
      </c>
      <c r="BQ185" s="9">
        <v>17594722</v>
      </c>
      <c r="BR185" s="9">
        <v>17671256</v>
      </c>
      <c r="BS185" s="9">
        <v>17671256</v>
      </c>
      <c r="BT185" s="9">
        <v>17671256</v>
      </c>
      <c r="BU185" s="9">
        <v>17671256</v>
      </c>
      <c r="BV185" s="9">
        <v>17510650</v>
      </c>
      <c r="BW185" s="9">
        <v>15321689</v>
      </c>
      <c r="BX185" s="9">
        <v>17182689</v>
      </c>
      <c r="BY185" s="9">
        <v>17182689</v>
      </c>
      <c r="BZ185" s="9">
        <v>17182689</v>
      </c>
      <c r="CA185" s="9">
        <v>21074017</v>
      </c>
      <c r="CB185" s="31">
        <v>21074017</v>
      </c>
      <c r="CC185" s="9">
        <v>18084640</v>
      </c>
      <c r="CD185" s="9">
        <v>18084640</v>
      </c>
      <c r="CE185" s="9">
        <v>20432543</v>
      </c>
      <c r="CF185" s="9">
        <v>20472543</v>
      </c>
      <c r="CG185" s="9">
        <v>15359466</v>
      </c>
      <c r="CH185" s="9">
        <v>15359466</v>
      </c>
      <c r="CI185" s="9">
        <v>15992406</v>
      </c>
      <c r="CJ185" s="9">
        <v>15992406</v>
      </c>
      <c r="CK185" s="9">
        <v>16112406</v>
      </c>
      <c r="CL185" s="9">
        <v>30541306</v>
      </c>
      <c r="CM185" s="9">
        <v>30547306</v>
      </c>
      <c r="CN185" s="9">
        <v>30797184</v>
      </c>
      <c r="CO185" s="31">
        <v>30797184</v>
      </c>
      <c r="CP185" s="9">
        <v>21317527</v>
      </c>
      <c r="CQ185" s="9">
        <v>21317527</v>
      </c>
      <c r="CR185" s="9">
        <v>21317527</v>
      </c>
      <c r="CS185" s="9">
        <v>21317527</v>
      </c>
      <c r="CT185" s="9">
        <v>21160855</v>
      </c>
      <c r="CU185" s="9">
        <v>21160855</v>
      </c>
      <c r="CV185" s="9">
        <v>21160855</v>
      </c>
      <c r="CW185" s="9">
        <v>34040855</v>
      </c>
      <c r="CX185" s="9">
        <v>48852697</v>
      </c>
      <c r="CY185" s="9">
        <v>49002697</v>
      </c>
      <c r="CZ185" s="9">
        <v>50144753</v>
      </c>
      <c r="DA185" s="9">
        <v>51896873</v>
      </c>
      <c r="DB185" s="31">
        <v>51896873</v>
      </c>
      <c r="DC185" s="9">
        <v>52237769</v>
      </c>
      <c r="DD185" s="9">
        <v>53125446</v>
      </c>
      <c r="DE185" s="9">
        <v>53125446</v>
      </c>
      <c r="DF185" s="9">
        <v>53125446</v>
      </c>
      <c r="DG185" s="9">
        <v>53125446</v>
      </c>
      <c r="DH185" s="9">
        <v>53125446</v>
      </c>
      <c r="DI185" s="9">
        <v>53125446</v>
      </c>
      <c r="DJ185" s="9">
        <v>53125446</v>
      </c>
      <c r="DK185" s="9">
        <v>53388446</v>
      </c>
      <c r="DL185" s="9">
        <v>53388446</v>
      </c>
      <c r="DM185" s="9">
        <v>53388446</v>
      </c>
      <c r="DN185" s="9">
        <v>59801404</v>
      </c>
      <c r="DO185" s="31">
        <v>59801404</v>
      </c>
      <c r="DP185" s="9">
        <v>41497084</v>
      </c>
      <c r="DQ185" s="9">
        <v>42113043</v>
      </c>
      <c r="DR185" s="9">
        <v>42113043</v>
      </c>
      <c r="DS185" s="9">
        <v>42113043</v>
      </c>
      <c r="DT185" s="9">
        <v>42113043</v>
      </c>
      <c r="DU185" s="9">
        <v>42113043</v>
      </c>
      <c r="DV185" s="9">
        <v>42113043</v>
      </c>
      <c r="DW185" s="9">
        <v>42113043</v>
      </c>
      <c r="DX185" s="9">
        <v>42113043</v>
      </c>
      <c r="DY185" s="9">
        <v>42113043</v>
      </c>
      <c r="DZ185" s="9">
        <v>42084164</v>
      </c>
      <c r="EA185" s="9">
        <v>49312263</v>
      </c>
      <c r="EB185" s="31">
        <v>49312263</v>
      </c>
      <c r="EC185" s="9">
        <v>86021116</v>
      </c>
      <c r="ED185" s="9">
        <v>86021116</v>
      </c>
      <c r="EE185" s="9">
        <v>86101116</v>
      </c>
      <c r="EF185" s="9">
        <v>86101116</v>
      </c>
      <c r="EG185" s="9">
        <v>86101116</v>
      </c>
      <c r="EH185" s="9">
        <v>86101116</v>
      </c>
      <c r="EI185" s="9">
        <v>86101116</v>
      </c>
      <c r="EJ185" s="9">
        <v>86101116</v>
      </c>
      <c r="EK185" s="9">
        <v>86101116</v>
      </c>
      <c r="EL185" s="9">
        <v>68621867</v>
      </c>
      <c r="EM185" s="9">
        <v>68621867</v>
      </c>
      <c r="EN185" s="9">
        <v>66490061</v>
      </c>
      <c r="EO185" s="31">
        <v>66490061</v>
      </c>
      <c r="EP185" s="9">
        <v>122155247</v>
      </c>
      <c r="EQ185" s="9">
        <v>122406272</v>
      </c>
      <c r="ER185" s="9">
        <v>122406272</v>
      </c>
      <c r="ES185" s="9">
        <v>122406272</v>
      </c>
      <c r="ET185" s="9">
        <v>122406272</v>
      </c>
      <c r="EU185" s="9">
        <v>122323772</v>
      </c>
      <c r="EV185" s="9">
        <v>68851579</v>
      </c>
      <c r="EW185" s="9">
        <v>68851579</v>
      </c>
      <c r="EX185" s="9">
        <v>68851579</v>
      </c>
      <c r="EY185" s="9">
        <v>54909642</v>
      </c>
      <c r="EZ185" s="9">
        <v>54936042</v>
      </c>
      <c r="FA185" s="9">
        <v>54940045</v>
      </c>
      <c r="FB185" s="31">
        <v>54940045</v>
      </c>
      <c r="FC185" s="9">
        <v>77301509</v>
      </c>
      <c r="FD185" s="9">
        <v>76051509</v>
      </c>
      <c r="FE185" s="9">
        <v>76051509</v>
      </c>
      <c r="FF185" s="9">
        <v>76051509</v>
      </c>
      <c r="FG185" s="9">
        <v>76051509</v>
      </c>
      <c r="FH185" s="9">
        <v>76096259</v>
      </c>
      <c r="FI185" s="9">
        <v>76096259</v>
      </c>
      <c r="FJ185" s="9">
        <v>76096259</v>
      </c>
      <c r="FK185" s="9">
        <v>76096259</v>
      </c>
      <c r="FL185" s="9">
        <v>76096259</v>
      </c>
      <c r="FM185" s="9">
        <v>76096259</v>
      </c>
      <c r="FN185" s="9">
        <v>76096259</v>
      </c>
      <c r="FO185" s="31">
        <v>76096259</v>
      </c>
    </row>
    <row r="186" spans="2:171" x14ac:dyDescent="0.3">
      <c r="B186" s="11" t="s">
        <v>133</v>
      </c>
      <c r="C186" s="13">
        <f t="shared" ref="C186:AH186" si="42">SUM(C168:C185)</f>
        <v>880558044</v>
      </c>
      <c r="D186" s="13">
        <f t="shared" si="42"/>
        <v>880558044</v>
      </c>
      <c r="E186" s="13">
        <f t="shared" si="42"/>
        <v>912096484</v>
      </c>
      <c r="F186" s="13">
        <f t="shared" si="42"/>
        <v>912096484</v>
      </c>
      <c r="G186" s="13">
        <f t="shared" si="42"/>
        <v>912085756</v>
      </c>
      <c r="H186" s="13">
        <f t="shared" si="42"/>
        <v>898165790</v>
      </c>
      <c r="I186" s="13">
        <f t="shared" si="42"/>
        <v>898165790</v>
      </c>
      <c r="J186" s="13">
        <f t="shared" si="42"/>
        <v>902490825</v>
      </c>
      <c r="K186" s="13">
        <f t="shared" si="42"/>
        <v>1018751132</v>
      </c>
      <c r="L186" s="13">
        <f t="shared" si="42"/>
        <v>1008604970</v>
      </c>
      <c r="M186" s="13">
        <f t="shared" si="42"/>
        <v>1074069309</v>
      </c>
      <c r="N186" s="13">
        <f t="shared" si="42"/>
        <v>1088185237</v>
      </c>
      <c r="O186" s="13">
        <f t="shared" si="42"/>
        <v>1088185237</v>
      </c>
      <c r="P186" s="13">
        <f t="shared" si="42"/>
        <v>1117371939</v>
      </c>
      <c r="Q186" s="13">
        <f t="shared" si="42"/>
        <v>1117451791</v>
      </c>
      <c r="R186" s="13">
        <f t="shared" si="42"/>
        <v>1116081770</v>
      </c>
      <c r="S186" s="13">
        <f t="shared" si="42"/>
        <v>1113007075</v>
      </c>
      <c r="T186" s="13">
        <f t="shared" si="42"/>
        <v>1113007075</v>
      </c>
      <c r="U186" s="13">
        <f t="shared" si="42"/>
        <v>1112766989</v>
      </c>
      <c r="V186" s="13">
        <f t="shared" si="42"/>
        <v>1112766989</v>
      </c>
      <c r="W186" s="13">
        <f t="shared" si="42"/>
        <v>1118042672</v>
      </c>
      <c r="X186" s="13">
        <f t="shared" si="42"/>
        <v>1119598408</v>
      </c>
      <c r="Y186" s="13">
        <f t="shared" si="42"/>
        <v>1123452144</v>
      </c>
      <c r="Z186" s="13">
        <f t="shared" si="42"/>
        <v>1123175447</v>
      </c>
      <c r="AA186" s="13">
        <f t="shared" si="42"/>
        <v>1152267160</v>
      </c>
      <c r="AB186" s="13">
        <f t="shared" si="42"/>
        <v>1152267160</v>
      </c>
      <c r="AC186" s="13">
        <f t="shared" si="42"/>
        <v>1308136145</v>
      </c>
      <c r="AD186" s="13">
        <f t="shared" si="42"/>
        <v>1310847429</v>
      </c>
      <c r="AE186" s="13">
        <f t="shared" si="42"/>
        <v>1310776596</v>
      </c>
      <c r="AF186" s="13">
        <f t="shared" si="42"/>
        <v>1303329381</v>
      </c>
      <c r="AG186" s="13">
        <f t="shared" si="42"/>
        <v>1293348513</v>
      </c>
      <c r="AH186" s="13">
        <f t="shared" si="42"/>
        <v>1301527131</v>
      </c>
      <c r="AI186" s="13">
        <f t="shared" ref="AI186:BN186" si="43">SUM(AI168:AI185)</f>
        <v>1302207486</v>
      </c>
      <c r="AJ186" s="13">
        <f t="shared" si="43"/>
        <v>1289177552</v>
      </c>
      <c r="AK186" s="13">
        <f t="shared" si="43"/>
        <v>1287880288</v>
      </c>
      <c r="AL186" s="13">
        <f t="shared" si="43"/>
        <v>1289032918</v>
      </c>
      <c r="AM186" s="13">
        <f t="shared" si="43"/>
        <v>1294220387</v>
      </c>
      <c r="AN186" s="13">
        <f t="shared" si="43"/>
        <v>1301334868</v>
      </c>
      <c r="AO186" s="13">
        <f t="shared" si="43"/>
        <v>1301334868</v>
      </c>
      <c r="AP186" s="13">
        <f t="shared" si="43"/>
        <v>1280609939</v>
      </c>
      <c r="AQ186" s="13">
        <f t="shared" si="43"/>
        <v>1272873236</v>
      </c>
      <c r="AR186" s="13">
        <f t="shared" si="43"/>
        <v>1273248362</v>
      </c>
      <c r="AS186" s="13">
        <f t="shared" si="43"/>
        <v>1268155181</v>
      </c>
      <c r="AT186" s="13">
        <f t="shared" si="43"/>
        <v>1264853181</v>
      </c>
      <c r="AU186" s="13">
        <f t="shared" si="43"/>
        <v>1264203570</v>
      </c>
      <c r="AV186" s="13">
        <f t="shared" si="43"/>
        <v>1270595166</v>
      </c>
      <c r="AW186" s="13">
        <f t="shared" si="43"/>
        <v>1275410058</v>
      </c>
      <c r="AX186" s="13">
        <f t="shared" si="43"/>
        <v>1275410058</v>
      </c>
      <c r="AY186" s="13">
        <f t="shared" si="43"/>
        <v>1274734859</v>
      </c>
      <c r="AZ186" s="13">
        <f t="shared" si="43"/>
        <v>1280472954</v>
      </c>
      <c r="BA186" s="13">
        <f t="shared" si="43"/>
        <v>1311223319</v>
      </c>
      <c r="BB186" s="13">
        <f t="shared" si="43"/>
        <v>1311223319</v>
      </c>
      <c r="BC186" s="13">
        <f t="shared" si="43"/>
        <v>1296682784</v>
      </c>
      <c r="BD186" s="13">
        <f t="shared" si="43"/>
        <v>1294382214</v>
      </c>
      <c r="BE186" s="13">
        <f t="shared" si="43"/>
        <v>1293592512</v>
      </c>
      <c r="BF186" s="13">
        <f t="shared" si="43"/>
        <v>1293592512</v>
      </c>
      <c r="BG186" s="13">
        <f t="shared" si="43"/>
        <v>1293422112</v>
      </c>
      <c r="BH186" s="13">
        <f t="shared" si="43"/>
        <v>1299813591</v>
      </c>
      <c r="BI186" s="13">
        <f t="shared" si="43"/>
        <v>1300646793</v>
      </c>
      <c r="BJ186" s="13">
        <f t="shared" si="43"/>
        <v>1300646793</v>
      </c>
      <c r="BK186" s="13">
        <f t="shared" si="43"/>
        <v>1303721993</v>
      </c>
      <c r="BL186" s="13">
        <f t="shared" si="43"/>
        <v>1317150128</v>
      </c>
      <c r="BM186" s="13">
        <f t="shared" si="43"/>
        <v>1317943060</v>
      </c>
      <c r="BN186" s="13">
        <f t="shared" si="43"/>
        <v>1320218410</v>
      </c>
      <c r="BO186" s="13">
        <f t="shared" ref="BO186:CT186" si="44">SUM(BO168:BO185)</f>
        <v>1320218410</v>
      </c>
      <c r="BP186" s="13">
        <f t="shared" si="44"/>
        <v>1487615608</v>
      </c>
      <c r="BQ186" s="13">
        <f t="shared" si="44"/>
        <v>1487615608</v>
      </c>
      <c r="BR186" s="13">
        <f t="shared" si="44"/>
        <v>1492636742</v>
      </c>
      <c r="BS186" s="13">
        <f t="shared" si="44"/>
        <v>1495366991</v>
      </c>
      <c r="BT186" s="13">
        <f t="shared" si="44"/>
        <v>1493275253</v>
      </c>
      <c r="BU186" s="13">
        <f t="shared" si="44"/>
        <v>1492499618</v>
      </c>
      <c r="BV186" s="13">
        <f t="shared" si="44"/>
        <v>1503205680</v>
      </c>
      <c r="BW186" s="13">
        <f t="shared" si="44"/>
        <v>1511784949</v>
      </c>
      <c r="BX186" s="13">
        <f t="shared" si="44"/>
        <v>1599931333</v>
      </c>
      <c r="BY186" s="13">
        <f t="shared" si="44"/>
        <v>1599446797</v>
      </c>
      <c r="BZ186" s="13">
        <f t="shared" si="44"/>
        <v>1601820877</v>
      </c>
      <c r="CA186" s="13">
        <f t="shared" si="44"/>
        <v>1627573501</v>
      </c>
      <c r="CB186" s="13">
        <f t="shared" si="44"/>
        <v>1627573501</v>
      </c>
      <c r="CC186" s="13">
        <f t="shared" si="44"/>
        <v>1557677212</v>
      </c>
      <c r="CD186" s="13">
        <f t="shared" si="44"/>
        <v>1557677212</v>
      </c>
      <c r="CE186" s="13">
        <f t="shared" si="44"/>
        <v>1565313692</v>
      </c>
      <c r="CF186" s="13">
        <f t="shared" si="44"/>
        <v>1812088337</v>
      </c>
      <c r="CG186" s="13">
        <f t="shared" si="44"/>
        <v>1415380642</v>
      </c>
      <c r="CH186" s="13">
        <f t="shared" si="44"/>
        <v>1413002280</v>
      </c>
      <c r="CI186" s="13">
        <f t="shared" si="44"/>
        <v>1411893218</v>
      </c>
      <c r="CJ186" s="13">
        <f t="shared" si="44"/>
        <v>1411893218</v>
      </c>
      <c r="CK186" s="13">
        <f t="shared" si="44"/>
        <v>1425801311</v>
      </c>
      <c r="CL186" s="13">
        <f t="shared" si="44"/>
        <v>1696337754</v>
      </c>
      <c r="CM186" s="13">
        <f t="shared" si="44"/>
        <v>1695200263</v>
      </c>
      <c r="CN186" s="13">
        <f t="shared" si="44"/>
        <v>1665422588</v>
      </c>
      <c r="CO186" s="13">
        <f t="shared" si="44"/>
        <v>1665422588</v>
      </c>
      <c r="CP186" s="13">
        <f t="shared" si="44"/>
        <v>1793097028</v>
      </c>
      <c r="CQ186" s="13">
        <f t="shared" si="44"/>
        <v>1801597028</v>
      </c>
      <c r="CR186" s="13">
        <f t="shared" si="44"/>
        <v>1802085028</v>
      </c>
      <c r="CS186" s="13">
        <f t="shared" si="44"/>
        <v>1809625068</v>
      </c>
      <c r="CT186" s="13">
        <f t="shared" si="44"/>
        <v>1817494498</v>
      </c>
      <c r="CU186" s="13">
        <f t="shared" ref="CU186:DZ186" si="45">SUM(CU168:CU185)</f>
        <v>1817494498</v>
      </c>
      <c r="CV186" s="13">
        <f t="shared" si="45"/>
        <v>1817477537</v>
      </c>
      <c r="CW186" s="13">
        <f t="shared" si="45"/>
        <v>1817477537</v>
      </c>
      <c r="CX186" s="13">
        <f t="shared" si="45"/>
        <v>1833996481</v>
      </c>
      <c r="CY186" s="13">
        <f t="shared" si="45"/>
        <v>1837440991</v>
      </c>
      <c r="CZ186" s="13">
        <f t="shared" si="45"/>
        <v>1878448804</v>
      </c>
      <c r="DA186" s="13">
        <f t="shared" si="45"/>
        <v>1877434454</v>
      </c>
      <c r="DB186" s="13">
        <f t="shared" si="45"/>
        <v>1877434454</v>
      </c>
      <c r="DC186" s="13">
        <f t="shared" si="45"/>
        <v>1981210073</v>
      </c>
      <c r="DD186" s="13">
        <f t="shared" si="45"/>
        <v>2149725967</v>
      </c>
      <c r="DE186" s="13">
        <f t="shared" si="45"/>
        <v>2147822213</v>
      </c>
      <c r="DF186" s="13">
        <f t="shared" si="45"/>
        <v>2145307698</v>
      </c>
      <c r="DG186" s="13">
        <f t="shared" si="45"/>
        <v>2135988009</v>
      </c>
      <c r="DH186" s="13">
        <f t="shared" si="45"/>
        <v>2135988009</v>
      </c>
      <c r="DI186" s="13">
        <f t="shared" si="45"/>
        <v>2135819215</v>
      </c>
      <c r="DJ186" s="13">
        <f t="shared" si="45"/>
        <v>2135731715</v>
      </c>
      <c r="DK186" s="13">
        <f t="shared" si="45"/>
        <v>2170696715</v>
      </c>
      <c r="DL186" s="13">
        <f t="shared" si="45"/>
        <v>2150870416</v>
      </c>
      <c r="DM186" s="13">
        <f t="shared" si="45"/>
        <v>2153253967</v>
      </c>
      <c r="DN186" s="13">
        <f t="shared" si="45"/>
        <v>2214571089</v>
      </c>
      <c r="DO186" s="13">
        <f t="shared" si="45"/>
        <v>2214571089</v>
      </c>
      <c r="DP186" s="13">
        <f t="shared" si="45"/>
        <v>2367597587</v>
      </c>
      <c r="DQ186" s="13">
        <f t="shared" si="45"/>
        <v>2363619341</v>
      </c>
      <c r="DR186" s="13">
        <f t="shared" si="45"/>
        <v>2363619341</v>
      </c>
      <c r="DS186" s="13">
        <f t="shared" si="45"/>
        <v>2363619341</v>
      </c>
      <c r="DT186" s="13">
        <f t="shared" si="45"/>
        <v>2363619341</v>
      </c>
      <c r="DU186" s="13">
        <f t="shared" si="45"/>
        <v>2448627915</v>
      </c>
      <c r="DV186" s="13">
        <f t="shared" si="45"/>
        <v>2448627915</v>
      </c>
      <c r="DW186" s="13">
        <f t="shared" si="45"/>
        <v>2448627915</v>
      </c>
      <c r="DX186" s="13">
        <f t="shared" si="45"/>
        <v>2448627915</v>
      </c>
      <c r="DY186" s="13">
        <f t="shared" si="45"/>
        <v>2448627915</v>
      </c>
      <c r="DZ186" s="13">
        <f t="shared" si="45"/>
        <v>2499871533</v>
      </c>
      <c r="EA186" s="13">
        <f t="shared" ref="EA186:FF186" si="46">SUM(EA168:EA185)</f>
        <v>2513844950</v>
      </c>
      <c r="EB186" s="13">
        <f t="shared" si="46"/>
        <v>2513844950</v>
      </c>
      <c r="EC186" s="13">
        <f t="shared" si="46"/>
        <v>2729162964</v>
      </c>
      <c r="ED186" s="13">
        <f t="shared" si="46"/>
        <v>2729162964</v>
      </c>
      <c r="EE186" s="13">
        <f t="shared" si="46"/>
        <v>2735729853</v>
      </c>
      <c r="EF186" s="13">
        <f t="shared" si="46"/>
        <v>2735729853</v>
      </c>
      <c r="EG186" s="13">
        <f t="shared" si="46"/>
        <v>2735729853</v>
      </c>
      <c r="EH186" s="13">
        <f t="shared" si="46"/>
        <v>2735729853</v>
      </c>
      <c r="EI186" s="13">
        <f t="shared" si="46"/>
        <v>2744510478</v>
      </c>
      <c r="EJ186" s="13">
        <f t="shared" si="46"/>
        <v>2787101264</v>
      </c>
      <c r="EK186" s="13">
        <f t="shared" si="46"/>
        <v>2832281264</v>
      </c>
      <c r="EL186" s="13">
        <f t="shared" si="46"/>
        <v>2901462420</v>
      </c>
      <c r="EM186" s="13">
        <f t="shared" si="46"/>
        <v>2945660420</v>
      </c>
      <c r="EN186" s="13">
        <f t="shared" si="46"/>
        <v>2913408485</v>
      </c>
      <c r="EO186" s="13">
        <f t="shared" si="46"/>
        <v>2913408485</v>
      </c>
      <c r="EP186" s="13">
        <f t="shared" si="46"/>
        <v>3213324447</v>
      </c>
      <c r="EQ186" s="13">
        <f t="shared" si="46"/>
        <v>3256706784</v>
      </c>
      <c r="ER186" s="13">
        <f t="shared" si="46"/>
        <v>3256706784</v>
      </c>
      <c r="ES186" s="13">
        <f t="shared" si="46"/>
        <v>3258022984</v>
      </c>
      <c r="ET186" s="13">
        <f t="shared" si="46"/>
        <v>3258022984</v>
      </c>
      <c r="EU186" s="13">
        <f t="shared" si="46"/>
        <v>3268606253</v>
      </c>
      <c r="EV186" s="13">
        <f t="shared" si="46"/>
        <v>3284070519</v>
      </c>
      <c r="EW186" s="13">
        <f t="shared" si="46"/>
        <v>3284070519</v>
      </c>
      <c r="EX186" s="13">
        <f t="shared" si="46"/>
        <v>3284070519</v>
      </c>
      <c r="EY186" s="13">
        <f t="shared" si="46"/>
        <v>3311310679</v>
      </c>
      <c r="EZ186" s="13">
        <f t="shared" si="46"/>
        <v>3311473650</v>
      </c>
      <c r="FA186" s="13">
        <f t="shared" si="46"/>
        <v>3265901057</v>
      </c>
      <c r="FB186" s="13">
        <f t="shared" si="46"/>
        <v>3265901057</v>
      </c>
      <c r="FC186" s="13">
        <f t="shared" si="46"/>
        <v>3742452377</v>
      </c>
      <c r="FD186" s="13">
        <f t="shared" si="46"/>
        <v>3682852377</v>
      </c>
      <c r="FE186" s="13">
        <f t="shared" si="46"/>
        <v>3682852377</v>
      </c>
      <c r="FF186" s="13">
        <f t="shared" si="46"/>
        <v>3682852377</v>
      </c>
      <c r="FG186" s="13">
        <f t="shared" ref="FG186:GL186" si="47">SUM(FG168:FG185)</f>
        <v>3682534203</v>
      </c>
      <c r="FH186" s="13">
        <f t="shared" si="47"/>
        <v>3682046793</v>
      </c>
      <c r="FI186" s="13">
        <f t="shared" si="47"/>
        <v>3682245915</v>
      </c>
      <c r="FJ186" s="13">
        <f t="shared" si="47"/>
        <v>3682245915</v>
      </c>
      <c r="FK186" s="13">
        <f t="shared" si="47"/>
        <v>3682245915</v>
      </c>
      <c r="FL186" s="13">
        <f t="shared" si="47"/>
        <v>3682245915</v>
      </c>
      <c r="FM186" s="13">
        <f t="shared" si="47"/>
        <v>3682245915</v>
      </c>
      <c r="FN186" s="13">
        <f t="shared" si="47"/>
        <v>3682245915</v>
      </c>
      <c r="FO186" s="13">
        <f t="shared" si="47"/>
        <v>3682245915</v>
      </c>
    </row>
    <row r="187" spans="2:171" x14ac:dyDescent="0.3">
      <c r="B187" s="5" t="s">
        <v>134</v>
      </c>
    </row>
    <row r="188" spans="2:171" x14ac:dyDescent="0.3">
      <c r="C188" s="49" t="s">
        <v>90</v>
      </c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49" t="s">
        <v>91</v>
      </c>
      <c r="Q188" s="50"/>
      <c r="R188" s="50"/>
      <c r="S188" s="50"/>
      <c r="T188" s="50"/>
      <c r="U188" s="50"/>
      <c r="V188" s="50"/>
      <c r="W188" s="50"/>
      <c r="X188" s="50"/>
      <c r="Y188" s="50"/>
      <c r="Z188" s="50"/>
      <c r="AA188" s="50"/>
      <c r="AB188" s="50"/>
      <c r="AC188" s="49" t="s">
        <v>92</v>
      </c>
      <c r="AD188" s="50"/>
      <c r="AE188" s="50"/>
      <c r="AF188" s="50"/>
      <c r="AG188" s="50"/>
      <c r="AH188" s="50"/>
      <c r="AI188" s="50"/>
      <c r="AJ188" s="50"/>
      <c r="AK188" s="50"/>
      <c r="AL188" s="50"/>
      <c r="AM188" s="50"/>
      <c r="AN188" s="50"/>
      <c r="AO188" s="50"/>
      <c r="AP188" s="49" t="s">
        <v>93</v>
      </c>
      <c r="AQ188" s="50"/>
      <c r="AR188" s="50"/>
      <c r="AS188" s="50"/>
      <c r="AT188" s="50"/>
      <c r="AU188" s="50"/>
      <c r="AV188" s="50"/>
      <c r="AW188" s="50"/>
      <c r="AX188" s="50"/>
      <c r="AY188" s="50"/>
      <c r="AZ188" s="50"/>
      <c r="BA188" s="50"/>
      <c r="BB188" s="50"/>
      <c r="BC188" s="49" t="s">
        <v>94</v>
      </c>
      <c r="BD188" s="50"/>
      <c r="BE188" s="50"/>
      <c r="BF188" s="50"/>
      <c r="BG188" s="50"/>
      <c r="BH188" s="50"/>
      <c r="BI188" s="50"/>
      <c r="BJ188" s="50"/>
      <c r="BK188" s="50"/>
      <c r="BL188" s="50"/>
      <c r="BM188" s="50"/>
      <c r="BN188" s="50"/>
      <c r="BO188" s="50"/>
      <c r="BP188" s="49" t="s">
        <v>95</v>
      </c>
      <c r="BQ188" s="50"/>
      <c r="BR188" s="50"/>
      <c r="BS188" s="50"/>
      <c r="BT188" s="50"/>
      <c r="BU188" s="50"/>
      <c r="BV188" s="50"/>
      <c r="BW188" s="50"/>
      <c r="BX188" s="50"/>
      <c r="BY188" s="50"/>
      <c r="BZ188" s="50"/>
      <c r="CA188" s="50"/>
      <c r="CB188" s="50"/>
      <c r="CC188" s="49" t="s">
        <v>96</v>
      </c>
      <c r="CD188" s="50"/>
      <c r="CE188" s="50"/>
      <c r="CF188" s="50"/>
      <c r="CG188" s="50"/>
      <c r="CH188" s="50"/>
      <c r="CI188" s="50"/>
      <c r="CJ188" s="50"/>
      <c r="CK188" s="50"/>
      <c r="CL188" s="50"/>
      <c r="CM188" s="50"/>
      <c r="CN188" s="50"/>
      <c r="CO188" s="50"/>
      <c r="CP188" s="49" t="s">
        <v>97</v>
      </c>
      <c r="CQ188" s="50"/>
      <c r="CR188" s="50"/>
      <c r="CS188" s="50"/>
      <c r="CT188" s="50"/>
      <c r="CU188" s="50"/>
      <c r="CV188" s="50"/>
      <c r="CW188" s="50"/>
      <c r="CX188" s="50"/>
      <c r="CY188" s="50"/>
      <c r="CZ188" s="50"/>
      <c r="DA188" s="50"/>
      <c r="DB188" s="50"/>
      <c r="DC188" s="49" t="s">
        <v>98</v>
      </c>
      <c r="DD188" s="50"/>
      <c r="DE188" s="50"/>
      <c r="DF188" s="50"/>
      <c r="DG188" s="50"/>
      <c r="DH188" s="50"/>
      <c r="DI188" s="50"/>
      <c r="DJ188" s="50"/>
      <c r="DK188" s="50"/>
      <c r="DL188" s="50"/>
      <c r="DM188" s="50"/>
      <c r="DN188" s="50"/>
      <c r="DO188" s="50"/>
      <c r="DP188" s="49" t="s">
        <v>99</v>
      </c>
      <c r="DQ188" s="50"/>
      <c r="DR188" s="50"/>
      <c r="DS188" s="50"/>
      <c r="DT188" s="50"/>
      <c r="DU188" s="50"/>
      <c r="DV188" s="50"/>
      <c r="DW188" s="50"/>
      <c r="DX188" s="50"/>
      <c r="DY188" s="50"/>
      <c r="DZ188" s="50"/>
      <c r="EA188" s="50"/>
      <c r="EB188" s="50"/>
      <c r="EC188" s="49" t="s">
        <v>100</v>
      </c>
      <c r="ED188" s="50"/>
      <c r="EE188" s="50"/>
      <c r="EF188" s="50"/>
      <c r="EG188" s="50"/>
      <c r="EH188" s="50"/>
      <c r="EI188" s="50"/>
      <c r="EJ188" s="50"/>
      <c r="EK188" s="50"/>
      <c r="EL188" s="50"/>
      <c r="EM188" s="50"/>
      <c r="EN188" s="50"/>
      <c r="EO188" s="50"/>
      <c r="EP188" s="49" t="s">
        <v>101</v>
      </c>
      <c r="EQ188" s="50"/>
      <c r="ER188" s="50"/>
      <c r="ES188" s="50"/>
      <c r="ET188" s="50"/>
      <c r="EU188" s="50"/>
      <c r="EV188" s="50"/>
      <c r="EW188" s="50"/>
      <c r="EX188" s="50"/>
      <c r="EY188" s="50"/>
      <c r="EZ188" s="50"/>
      <c r="FA188" s="50"/>
      <c r="FB188" s="50"/>
      <c r="FC188" s="49" t="s">
        <v>102</v>
      </c>
      <c r="FD188" s="50"/>
      <c r="FE188" s="50"/>
      <c r="FF188" s="50"/>
      <c r="FG188" s="50"/>
      <c r="FH188" s="50"/>
      <c r="FI188" s="50"/>
      <c r="FJ188" s="50"/>
      <c r="FK188" s="50"/>
      <c r="FL188" s="50"/>
      <c r="FM188" s="50"/>
      <c r="FN188" s="50"/>
      <c r="FO188" s="50"/>
    </row>
    <row r="189" spans="2:171" x14ac:dyDescent="0.3">
      <c r="B189" s="19" t="s">
        <v>103</v>
      </c>
      <c r="C189" s="30" t="s">
        <v>67</v>
      </c>
      <c r="D189" s="30" t="s">
        <v>68</v>
      </c>
      <c r="E189" s="30" t="s">
        <v>69</v>
      </c>
      <c r="F189" s="30" t="s">
        <v>70</v>
      </c>
      <c r="G189" s="30" t="s">
        <v>71</v>
      </c>
      <c r="H189" s="30" t="s">
        <v>72</v>
      </c>
      <c r="I189" s="30" t="s">
        <v>73</v>
      </c>
      <c r="J189" s="30" t="s">
        <v>74</v>
      </c>
      <c r="K189" s="30" t="s">
        <v>75</v>
      </c>
      <c r="L189" s="30" t="s">
        <v>76</v>
      </c>
      <c r="M189" s="30" t="s">
        <v>77</v>
      </c>
      <c r="N189" s="30" t="s">
        <v>78</v>
      </c>
      <c r="O189" s="30" t="s">
        <v>104</v>
      </c>
      <c r="P189" s="30" t="s">
        <v>67</v>
      </c>
      <c r="Q189" s="30" t="s">
        <v>68</v>
      </c>
      <c r="R189" s="30" t="s">
        <v>69</v>
      </c>
      <c r="S189" s="30" t="s">
        <v>70</v>
      </c>
      <c r="T189" s="30" t="s">
        <v>71</v>
      </c>
      <c r="U189" s="30" t="s">
        <v>72</v>
      </c>
      <c r="V189" s="30" t="s">
        <v>73</v>
      </c>
      <c r="W189" s="30" t="s">
        <v>74</v>
      </c>
      <c r="X189" s="30" t="s">
        <v>75</v>
      </c>
      <c r="Y189" s="30" t="s">
        <v>76</v>
      </c>
      <c r="Z189" s="30" t="s">
        <v>77</v>
      </c>
      <c r="AA189" s="30" t="s">
        <v>78</v>
      </c>
      <c r="AB189" s="30" t="s">
        <v>105</v>
      </c>
      <c r="AC189" s="30" t="s">
        <v>67</v>
      </c>
      <c r="AD189" s="30" t="s">
        <v>68</v>
      </c>
      <c r="AE189" s="30" t="s">
        <v>69</v>
      </c>
      <c r="AF189" s="30" t="s">
        <v>70</v>
      </c>
      <c r="AG189" s="30" t="s">
        <v>71</v>
      </c>
      <c r="AH189" s="30" t="s">
        <v>72</v>
      </c>
      <c r="AI189" s="30" t="s">
        <v>73</v>
      </c>
      <c r="AJ189" s="30" t="s">
        <v>74</v>
      </c>
      <c r="AK189" s="30" t="s">
        <v>75</v>
      </c>
      <c r="AL189" s="30" t="s">
        <v>76</v>
      </c>
      <c r="AM189" s="30" t="s">
        <v>77</v>
      </c>
      <c r="AN189" s="30" t="s">
        <v>78</v>
      </c>
      <c r="AO189" s="30" t="s">
        <v>106</v>
      </c>
      <c r="AP189" s="30" t="s">
        <v>67</v>
      </c>
      <c r="AQ189" s="30" t="s">
        <v>68</v>
      </c>
      <c r="AR189" s="30" t="s">
        <v>69</v>
      </c>
      <c r="AS189" s="30" t="s">
        <v>70</v>
      </c>
      <c r="AT189" s="30" t="s">
        <v>71</v>
      </c>
      <c r="AU189" s="30" t="s">
        <v>72</v>
      </c>
      <c r="AV189" s="30" t="s">
        <v>73</v>
      </c>
      <c r="AW189" s="30" t="s">
        <v>74</v>
      </c>
      <c r="AX189" s="30" t="s">
        <v>75</v>
      </c>
      <c r="AY189" s="30" t="s">
        <v>76</v>
      </c>
      <c r="AZ189" s="30" t="s">
        <v>77</v>
      </c>
      <c r="BA189" s="30" t="s">
        <v>78</v>
      </c>
      <c r="BB189" s="30" t="s">
        <v>107</v>
      </c>
      <c r="BC189" s="30" t="s">
        <v>67</v>
      </c>
      <c r="BD189" s="30" t="s">
        <v>68</v>
      </c>
      <c r="BE189" s="30" t="s">
        <v>69</v>
      </c>
      <c r="BF189" s="30" t="s">
        <v>70</v>
      </c>
      <c r="BG189" s="30" t="s">
        <v>71</v>
      </c>
      <c r="BH189" s="30" t="s">
        <v>72</v>
      </c>
      <c r="BI189" s="30" t="s">
        <v>73</v>
      </c>
      <c r="BJ189" s="30" t="s">
        <v>74</v>
      </c>
      <c r="BK189" s="30" t="s">
        <v>75</v>
      </c>
      <c r="BL189" s="30" t="s">
        <v>76</v>
      </c>
      <c r="BM189" s="30" t="s">
        <v>77</v>
      </c>
      <c r="BN189" s="30" t="s">
        <v>78</v>
      </c>
      <c r="BO189" s="30" t="s">
        <v>108</v>
      </c>
      <c r="BP189" s="30" t="s">
        <v>67</v>
      </c>
      <c r="BQ189" s="30" t="s">
        <v>68</v>
      </c>
      <c r="BR189" s="30" t="s">
        <v>69</v>
      </c>
      <c r="BS189" s="30" t="s">
        <v>70</v>
      </c>
      <c r="BT189" s="30" t="s">
        <v>71</v>
      </c>
      <c r="BU189" s="30" t="s">
        <v>72</v>
      </c>
      <c r="BV189" s="30" t="s">
        <v>73</v>
      </c>
      <c r="BW189" s="30" t="s">
        <v>74</v>
      </c>
      <c r="BX189" s="30" t="s">
        <v>75</v>
      </c>
      <c r="BY189" s="30" t="s">
        <v>76</v>
      </c>
      <c r="BZ189" s="30" t="s">
        <v>77</v>
      </c>
      <c r="CA189" s="30" t="s">
        <v>78</v>
      </c>
      <c r="CB189" s="30" t="s">
        <v>109</v>
      </c>
      <c r="CC189" s="30" t="s">
        <v>67</v>
      </c>
      <c r="CD189" s="30" t="s">
        <v>68</v>
      </c>
      <c r="CE189" s="30" t="s">
        <v>69</v>
      </c>
      <c r="CF189" s="30" t="s">
        <v>70</v>
      </c>
      <c r="CG189" s="30" t="s">
        <v>71</v>
      </c>
      <c r="CH189" s="30" t="s">
        <v>72</v>
      </c>
      <c r="CI189" s="30" t="s">
        <v>73</v>
      </c>
      <c r="CJ189" s="30" t="s">
        <v>74</v>
      </c>
      <c r="CK189" s="30" t="s">
        <v>75</v>
      </c>
      <c r="CL189" s="30" t="s">
        <v>76</v>
      </c>
      <c r="CM189" s="30" t="s">
        <v>77</v>
      </c>
      <c r="CN189" s="30" t="s">
        <v>78</v>
      </c>
      <c r="CO189" s="30" t="s">
        <v>110</v>
      </c>
      <c r="CP189" s="30" t="s">
        <v>67</v>
      </c>
      <c r="CQ189" s="30" t="s">
        <v>68</v>
      </c>
      <c r="CR189" s="30" t="s">
        <v>69</v>
      </c>
      <c r="CS189" s="30" t="s">
        <v>70</v>
      </c>
      <c r="CT189" s="30" t="s">
        <v>71</v>
      </c>
      <c r="CU189" s="30" t="s">
        <v>72</v>
      </c>
      <c r="CV189" s="30" t="s">
        <v>73</v>
      </c>
      <c r="CW189" s="30" t="s">
        <v>74</v>
      </c>
      <c r="CX189" s="30" t="s">
        <v>75</v>
      </c>
      <c r="CY189" s="30" t="s">
        <v>76</v>
      </c>
      <c r="CZ189" s="30" t="s">
        <v>77</v>
      </c>
      <c r="DA189" s="30" t="s">
        <v>78</v>
      </c>
      <c r="DB189" s="30" t="s">
        <v>111</v>
      </c>
      <c r="DC189" s="30" t="s">
        <v>67</v>
      </c>
      <c r="DD189" s="30" t="s">
        <v>68</v>
      </c>
      <c r="DE189" s="30" t="s">
        <v>69</v>
      </c>
      <c r="DF189" s="30" t="s">
        <v>70</v>
      </c>
      <c r="DG189" s="30" t="s">
        <v>71</v>
      </c>
      <c r="DH189" s="30" t="s">
        <v>72</v>
      </c>
      <c r="DI189" s="30" t="s">
        <v>73</v>
      </c>
      <c r="DJ189" s="30" t="s">
        <v>74</v>
      </c>
      <c r="DK189" s="30" t="s">
        <v>75</v>
      </c>
      <c r="DL189" s="30" t="s">
        <v>76</v>
      </c>
      <c r="DM189" s="30" t="s">
        <v>77</v>
      </c>
      <c r="DN189" s="30" t="s">
        <v>78</v>
      </c>
      <c r="DO189" s="30" t="s">
        <v>112</v>
      </c>
      <c r="DP189" s="30" t="s">
        <v>67</v>
      </c>
      <c r="DQ189" s="30" t="s">
        <v>68</v>
      </c>
      <c r="DR189" s="30" t="s">
        <v>69</v>
      </c>
      <c r="DS189" s="30" t="s">
        <v>70</v>
      </c>
      <c r="DT189" s="30" t="s">
        <v>71</v>
      </c>
      <c r="DU189" s="30" t="s">
        <v>72</v>
      </c>
      <c r="DV189" s="30" t="s">
        <v>73</v>
      </c>
      <c r="DW189" s="30" t="s">
        <v>74</v>
      </c>
      <c r="DX189" s="30" t="s">
        <v>75</v>
      </c>
      <c r="DY189" s="30" t="s">
        <v>76</v>
      </c>
      <c r="DZ189" s="30" t="s">
        <v>77</v>
      </c>
      <c r="EA189" s="30" t="s">
        <v>78</v>
      </c>
      <c r="EB189" s="30" t="s">
        <v>113</v>
      </c>
      <c r="EC189" s="30" t="s">
        <v>67</v>
      </c>
      <c r="ED189" s="30" t="s">
        <v>68</v>
      </c>
      <c r="EE189" s="30" t="s">
        <v>69</v>
      </c>
      <c r="EF189" s="30" t="s">
        <v>70</v>
      </c>
      <c r="EG189" s="30" t="s">
        <v>71</v>
      </c>
      <c r="EH189" s="30" t="s">
        <v>72</v>
      </c>
      <c r="EI189" s="30" t="s">
        <v>73</v>
      </c>
      <c r="EJ189" s="30" t="s">
        <v>74</v>
      </c>
      <c r="EK189" s="30" t="s">
        <v>75</v>
      </c>
      <c r="EL189" s="30" t="s">
        <v>76</v>
      </c>
      <c r="EM189" s="30" t="s">
        <v>77</v>
      </c>
      <c r="EN189" s="30" t="s">
        <v>78</v>
      </c>
      <c r="EO189" s="30" t="s">
        <v>114</v>
      </c>
      <c r="EP189" s="30" t="s">
        <v>67</v>
      </c>
      <c r="EQ189" s="30" t="s">
        <v>68</v>
      </c>
      <c r="ER189" s="30" t="s">
        <v>69</v>
      </c>
      <c r="ES189" s="30" t="s">
        <v>70</v>
      </c>
      <c r="ET189" s="30" t="s">
        <v>71</v>
      </c>
      <c r="EU189" s="30" t="s">
        <v>72</v>
      </c>
      <c r="EV189" s="30" t="s">
        <v>73</v>
      </c>
      <c r="EW189" s="30" t="s">
        <v>74</v>
      </c>
      <c r="EX189" s="30" t="s">
        <v>75</v>
      </c>
      <c r="EY189" s="30" t="s">
        <v>76</v>
      </c>
      <c r="EZ189" s="30" t="s">
        <v>77</v>
      </c>
      <c r="FA189" s="30" t="s">
        <v>78</v>
      </c>
      <c r="FB189" s="30" t="s">
        <v>115</v>
      </c>
      <c r="FC189" s="30" t="s">
        <v>67</v>
      </c>
      <c r="FD189" s="30" t="s">
        <v>68</v>
      </c>
      <c r="FE189" s="30" t="s">
        <v>69</v>
      </c>
      <c r="FF189" s="30" t="s">
        <v>70</v>
      </c>
      <c r="FG189" s="30" t="s">
        <v>71</v>
      </c>
      <c r="FH189" s="30" t="s">
        <v>72</v>
      </c>
      <c r="FI189" s="30" t="s">
        <v>73</v>
      </c>
      <c r="FJ189" s="30" t="s">
        <v>74</v>
      </c>
      <c r="FK189" s="30" t="s">
        <v>75</v>
      </c>
      <c r="FL189" s="30" t="s">
        <v>76</v>
      </c>
      <c r="FM189" s="30" t="s">
        <v>77</v>
      </c>
      <c r="FN189" s="30" t="s">
        <v>78</v>
      </c>
      <c r="FO189" s="30" t="s">
        <v>116</v>
      </c>
    </row>
    <row r="190" spans="2:171" x14ac:dyDescent="0.3">
      <c r="B190" s="7" t="s">
        <v>46</v>
      </c>
      <c r="C190" s="9">
        <v>5861434</v>
      </c>
      <c r="D190" s="9">
        <v>8484105</v>
      </c>
      <c r="E190" s="9">
        <v>13261518</v>
      </c>
      <c r="F190" s="9">
        <v>18458967</v>
      </c>
      <c r="G190" s="9">
        <v>24391385</v>
      </c>
      <c r="H190" s="9">
        <v>29225238</v>
      </c>
      <c r="I190" s="9">
        <v>33094901</v>
      </c>
      <c r="J190" s="9">
        <v>39435624</v>
      </c>
      <c r="K190" s="9">
        <v>46468095</v>
      </c>
      <c r="L190" s="9">
        <v>51678161</v>
      </c>
      <c r="M190" s="9">
        <v>58882110</v>
      </c>
      <c r="N190" s="9">
        <v>68134210</v>
      </c>
      <c r="O190" s="31">
        <v>68134210</v>
      </c>
      <c r="P190" s="9">
        <v>6814957</v>
      </c>
      <c r="Q190" s="9">
        <v>13280198</v>
      </c>
      <c r="R190" s="9">
        <v>17469508</v>
      </c>
      <c r="S190" s="9">
        <v>19962167</v>
      </c>
      <c r="T190" s="9">
        <v>29617877</v>
      </c>
      <c r="U190" s="9">
        <v>35263141</v>
      </c>
      <c r="V190" s="9">
        <v>41740778</v>
      </c>
      <c r="W190" s="9">
        <v>49528533</v>
      </c>
      <c r="X190" s="9">
        <v>55028133</v>
      </c>
      <c r="Y190" s="9">
        <v>63535920</v>
      </c>
      <c r="Z190" s="9">
        <v>72528310</v>
      </c>
      <c r="AA190" s="9">
        <v>88382714</v>
      </c>
      <c r="AB190" s="31">
        <v>88382714</v>
      </c>
      <c r="AC190" s="9">
        <v>5684340</v>
      </c>
      <c r="AD190" s="9">
        <v>13580015</v>
      </c>
      <c r="AE190" s="9">
        <v>20690076</v>
      </c>
      <c r="AF190" s="9">
        <v>29727655</v>
      </c>
      <c r="AG190" s="9">
        <v>37890561</v>
      </c>
      <c r="AH190" s="9">
        <v>45265677</v>
      </c>
      <c r="AI190" s="9">
        <v>59472004</v>
      </c>
      <c r="AJ190" s="9">
        <v>68977308</v>
      </c>
      <c r="AK190" s="9">
        <v>73812014</v>
      </c>
      <c r="AL190" s="9">
        <v>80656048</v>
      </c>
      <c r="AM190" s="9">
        <v>96596598</v>
      </c>
      <c r="AN190" s="9">
        <v>110933784</v>
      </c>
      <c r="AO190" s="31">
        <v>110933784</v>
      </c>
      <c r="AP190" s="9">
        <v>10381941</v>
      </c>
      <c r="AQ190" s="9">
        <v>18560366</v>
      </c>
      <c r="AR190" s="9">
        <v>27115343</v>
      </c>
      <c r="AS190" s="9">
        <v>33112582</v>
      </c>
      <c r="AT190" s="9">
        <v>41581803</v>
      </c>
      <c r="AU190" s="9">
        <v>48594427</v>
      </c>
      <c r="AV190" s="9">
        <v>56993157</v>
      </c>
      <c r="AW190" s="9">
        <v>68137954</v>
      </c>
      <c r="AX190" s="9">
        <v>75993623</v>
      </c>
      <c r="AY190" s="9">
        <v>83120563</v>
      </c>
      <c r="AZ190" s="9">
        <v>90391419</v>
      </c>
      <c r="BA190" s="9">
        <v>100976538</v>
      </c>
      <c r="BB190" s="31">
        <v>100976538</v>
      </c>
      <c r="BC190" s="9">
        <v>3926364</v>
      </c>
      <c r="BD190" s="9">
        <v>15060226</v>
      </c>
      <c r="BE190" s="9">
        <v>30076652</v>
      </c>
      <c r="BF190" s="9">
        <v>37549861</v>
      </c>
      <c r="BG190" s="9">
        <v>49485385</v>
      </c>
      <c r="BH190" s="9">
        <v>57070629</v>
      </c>
      <c r="BI190" s="9">
        <v>66365664</v>
      </c>
      <c r="BJ190" s="9">
        <v>78957066</v>
      </c>
      <c r="BK190" s="9">
        <v>85442872</v>
      </c>
      <c r="BL190" s="9">
        <v>95559647</v>
      </c>
      <c r="BM190" s="9">
        <v>106056015</v>
      </c>
      <c r="BN190" s="9">
        <v>113249409</v>
      </c>
      <c r="BO190" s="31">
        <v>113249409</v>
      </c>
      <c r="BP190" s="9">
        <v>12611939</v>
      </c>
      <c r="BQ190" s="9">
        <v>23862266</v>
      </c>
      <c r="BR190" s="9">
        <v>31547935</v>
      </c>
      <c r="BS190" s="9">
        <v>43522820</v>
      </c>
      <c r="BT190" s="9">
        <v>55493572</v>
      </c>
      <c r="BU190" s="9">
        <v>62364883</v>
      </c>
      <c r="BV190" s="9">
        <v>69920939</v>
      </c>
      <c r="BW190" s="9">
        <v>80918651</v>
      </c>
      <c r="BX190" s="9">
        <v>90875374</v>
      </c>
      <c r="BY190" s="9">
        <v>100791174</v>
      </c>
      <c r="BZ190" s="9">
        <v>110340470</v>
      </c>
      <c r="CA190" s="9">
        <v>132970400</v>
      </c>
      <c r="CB190" s="31">
        <v>132970400</v>
      </c>
      <c r="CC190" s="9">
        <v>3724666</v>
      </c>
      <c r="CD190" s="9">
        <v>12324052</v>
      </c>
      <c r="CE190" s="9">
        <v>28554352</v>
      </c>
      <c r="CF190" s="9">
        <v>40542914</v>
      </c>
      <c r="CG190" s="9">
        <v>57254059</v>
      </c>
      <c r="CH190" s="9">
        <v>67813061</v>
      </c>
      <c r="CI190" s="9">
        <v>79057420</v>
      </c>
      <c r="CJ190" s="9">
        <v>95027825</v>
      </c>
      <c r="CK190" s="9">
        <v>113009123</v>
      </c>
      <c r="CL190" s="9">
        <v>134529345</v>
      </c>
      <c r="CM190" s="9">
        <v>159513357</v>
      </c>
      <c r="CN190" s="9">
        <v>180027896</v>
      </c>
      <c r="CO190" s="31">
        <v>180027896</v>
      </c>
      <c r="CP190" s="9">
        <v>10974976</v>
      </c>
      <c r="CQ190" s="9">
        <v>24103181</v>
      </c>
      <c r="CR190" s="9">
        <v>33756294</v>
      </c>
      <c r="CS190" s="9">
        <v>49680272</v>
      </c>
      <c r="CT190" s="9">
        <v>73457274</v>
      </c>
      <c r="CU190" s="9">
        <v>95206458</v>
      </c>
      <c r="CV190" s="9">
        <v>115553770</v>
      </c>
      <c r="CW190" s="9">
        <v>140959259</v>
      </c>
      <c r="CX190" s="9">
        <v>160725594</v>
      </c>
      <c r="CY190" s="9">
        <v>174838670</v>
      </c>
      <c r="CZ190" s="9">
        <v>193671048</v>
      </c>
      <c r="DA190" s="9">
        <v>220242223</v>
      </c>
      <c r="DB190" s="31">
        <v>220242223</v>
      </c>
      <c r="DC190" s="9">
        <v>5279604</v>
      </c>
      <c r="DD190" s="9">
        <v>22006992</v>
      </c>
      <c r="DE190" s="9">
        <v>34546981</v>
      </c>
      <c r="DF190" s="9">
        <v>50440849</v>
      </c>
      <c r="DG190" s="9">
        <v>65847682</v>
      </c>
      <c r="DH190" s="9">
        <v>76844958</v>
      </c>
      <c r="DI190" s="9">
        <v>93219747</v>
      </c>
      <c r="DJ190" s="9">
        <v>114084682</v>
      </c>
      <c r="DK190" s="9">
        <v>136698508</v>
      </c>
      <c r="DL190" s="9">
        <v>150221204</v>
      </c>
      <c r="DM190" s="9">
        <v>171765624</v>
      </c>
      <c r="DN190" s="9">
        <v>198037514</v>
      </c>
      <c r="DO190" s="31">
        <v>198037514</v>
      </c>
      <c r="DP190" s="9">
        <v>14032699</v>
      </c>
      <c r="DQ190" s="9">
        <v>32778605</v>
      </c>
      <c r="DR190" s="9">
        <v>51849706</v>
      </c>
      <c r="DS190" s="9">
        <v>65694907</v>
      </c>
      <c r="DT190" s="9">
        <v>88622950</v>
      </c>
      <c r="DU190" s="9">
        <v>100877596</v>
      </c>
      <c r="DV190" s="9">
        <v>114844834</v>
      </c>
      <c r="DW190" s="9">
        <v>136050870</v>
      </c>
      <c r="DX190" s="9">
        <v>150180307</v>
      </c>
      <c r="DY190" s="9">
        <v>163602118</v>
      </c>
      <c r="DZ190" s="9">
        <v>175604072</v>
      </c>
      <c r="EA190" s="9">
        <v>217749671</v>
      </c>
      <c r="EB190" s="31">
        <v>217749671</v>
      </c>
      <c r="EC190" s="9">
        <v>19047105</v>
      </c>
      <c r="ED190" s="9">
        <v>36555205</v>
      </c>
      <c r="EE190" s="9">
        <v>58052342</v>
      </c>
      <c r="EF190" s="9">
        <v>70702780</v>
      </c>
      <c r="EG190" s="9">
        <v>94272744</v>
      </c>
      <c r="EH190" s="9">
        <v>110106554</v>
      </c>
      <c r="EI190" s="9">
        <v>129130015</v>
      </c>
      <c r="EJ190" s="9">
        <v>150079321</v>
      </c>
      <c r="EK190" s="9">
        <v>164894773</v>
      </c>
      <c r="EL190" s="9">
        <v>182211792</v>
      </c>
      <c r="EM190" s="9">
        <v>203501844</v>
      </c>
      <c r="EN190" s="9">
        <v>249185192</v>
      </c>
      <c r="EO190" s="31">
        <v>249185192</v>
      </c>
      <c r="EP190" s="9">
        <v>17206044</v>
      </c>
      <c r="EQ190" s="9">
        <v>44796320</v>
      </c>
      <c r="ER190" s="9">
        <v>62780942</v>
      </c>
      <c r="ES190" s="9">
        <v>80794825</v>
      </c>
      <c r="ET190" s="9">
        <v>110179131</v>
      </c>
      <c r="EU190" s="9">
        <v>130265406</v>
      </c>
      <c r="EV190" s="9">
        <v>150808728</v>
      </c>
      <c r="EW190" s="9">
        <v>168968552</v>
      </c>
      <c r="EX190" s="9">
        <v>196714744</v>
      </c>
      <c r="EY190" s="9">
        <v>224987711</v>
      </c>
      <c r="EZ190" s="9">
        <v>249256474</v>
      </c>
      <c r="FA190" s="9">
        <v>273789362</v>
      </c>
      <c r="FB190" s="31">
        <v>273789362</v>
      </c>
      <c r="FC190" s="9">
        <v>18176422</v>
      </c>
      <c r="FD190" s="9">
        <v>52371832</v>
      </c>
      <c r="FE190" s="9">
        <v>71824798</v>
      </c>
      <c r="FF190" s="9">
        <v>100096546</v>
      </c>
      <c r="FG190" s="9">
        <v>126038083</v>
      </c>
      <c r="FH190" s="9">
        <v>155743479</v>
      </c>
      <c r="FI190" s="9">
        <v>180238546</v>
      </c>
      <c r="FJ190" s="9">
        <v>180238546</v>
      </c>
      <c r="FK190" s="9">
        <v>180238546</v>
      </c>
      <c r="FL190" s="9">
        <v>180238546</v>
      </c>
      <c r="FM190" s="9">
        <v>180238546</v>
      </c>
      <c r="FN190" s="9">
        <v>180238546</v>
      </c>
      <c r="FO190" s="31">
        <v>180238546</v>
      </c>
    </row>
    <row r="191" spans="2:171" x14ac:dyDescent="0.3">
      <c r="B191" s="7" t="s">
        <v>47</v>
      </c>
      <c r="C191" s="9">
        <v>0</v>
      </c>
      <c r="D191" s="9">
        <v>0</v>
      </c>
      <c r="E191" s="9">
        <v>0</v>
      </c>
      <c r="F191" s="9">
        <v>0</v>
      </c>
      <c r="G191" s="9">
        <v>0</v>
      </c>
      <c r="H191" s="9">
        <v>0</v>
      </c>
      <c r="I191" s="9">
        <v>0</v>
      </c>
      <c r="J191" s="9">
        <v>0</v>
      </c>
      <c r="K191" s="9">
        <v>0</v>
      </c>
      <c r="L191" s="9">
        <v>0</v>
      </c>
      <c r="M191" s="9">
        <v>0</v>
      </c>
      <c r="N191" s="9">
        <v>0</v>
      </c>
      <c r="O191" s="31">
        <v>0</v>
      </c>
      <c r="P191" s="9">
        <v>0</v>
      </c>
      <c r="Q191" s="9">
        <v>0</v>
      </c>
      <c r="R191" s="9">
        <v>0</v>
      </c>
      <c r="S191" s="9">
        <v>0</v>
      </c>
      <c r="T191" s="9">
        <v>0</v>
      </c>
      <c r="U191" s="9">
        <v>0</v>
      </c>
      <c r="V191" s="9">
        <v>0</v>
      </c>
      <c r="W191" s="9">
        <v>0</v>
      </c>
      <c r="X191" s="9">
        <v>0</v>
      </c>
      <c r="Y191" s="9">
        <v>0</v>
      </c>
      <c r="Z191" s="9">
        <v>0</v>
      </c>
      <c r="AA191" s="9">
        <v>0</v>
      </c>
      <c r="AB191" s="31">
        <v>0</v>
      </c>
      <c r="AC191" s="9">
        <v>0</v>
      </c>
      <c r="AD191" s="9">
        <v>0</v>
      </c>
      <c r="AE191" s="9">
        <v>0</v>
      </c>
      <c r="AF191" s="9">
        <v>0</v>
      </c>
      <c r="AG191" s="9">
        <v>0</v>
      </c>
      <c r="AH191" s="9">
        <v>0</v>
      </c>
      <c r="AI191" s="9">
        <v>0</v>
      </c>
      <c r="AJ191" s="9">
        <v>0</v>
      </c>
      <c r="AK191" s="9">
        <v>0</v>
      </c>
      <c r="AL191" s="9">
        <v>0</v>
      </c>
      <c r="AM191" s="9">
        <v>0</v>
      </c>
      <c r="AN191" s="9">
        <v>0</v>
      </c>
      <c r="AO191" s="31">
        <v>0</v>
      </c>
      <c r="AP191" s="9">
        <v>0</v>
      </c>
      <c r="AQ191" s="9">
        <v>0</v>
      </c>
      <c r="AR191" s="9">
        <v>0</v>
      </c>
      <c r="AS191" s="9">
        <v>0</v>
      </c>
      <c r="AT191" s="9">
        <v>0</v>
      </c>
      <c r="AU191" s="9">
        <v>0</v>
      </c>
      <c r="AV191" s="9">
        <v>0</v>
      </c>
      <c r="AW191" s="9">
        <v>0</v>
      </c>
      <c r="AX191" s="9">
        <v>0</v>
      </c>
      <c r="AY191" s="9">
        <v>0</v>
      </c>
      <c r="AZ191" s="9">
        <v>0</v>
      </c>
      <c r="BA191" s="9">
        <v>0</v>
      </c>
      <c r="BB191" s="31">
        <v>0</v>
      </c>
      <c r="BC191" s="9">
        <v>0</v>
      </c>
      <c r="BD191" s="9">
        <v>0</v>
      </c>
      <c r="BE191" s="9">
        <v>0</v>
      </c>
      <c r="BF191" s="9">
        <v>0</v>
      </c>
      <c r="BG191" s="9">
        <v>0</v>
      </c>
      <c r="BH191" s="9">
        <v>0</v>
      </c>
      <c r="BI191" s="9">
        <v>0</v>
      </c>
      <c r="BJ191" s="9">
        <v>0</v>
      </c>
      <c r="BK191" s="9">
        <v>0</v>
      </c>
      <c r="BL191" s="9">
        <v>0</v>
      </c>
      <c r="BM191" s="9">
        <v>0</v>
      </c>
      <c r="BN191" s="9">
        <v>0</v>
      </c>
      <c r="BO191" s="31">
        <v>0</v>
      </c>
      <c r="BP191" s="9">
        <v>0</v>
      </c>
      <c r="BQ191" s="9">
        <v>0</v>
      </c>
      <c r="BR191" s="9">
        <v>0</v>
      </c>
      <c r="BS191" s="9">
        <v>0</v>
      </c>
      <c r="BT191" s="9">
        <v>0</v>
      </c>
      <c r="BU191" s="9">
        <v>0</v>
      </c>
      <c r="BV191" s="9">
        <v>0</v>
      </c>
      <c r="BW191" s="9">
        <v>0</v>
      </c>
      <c r="BX191" s="9">
        <v>0</v>
      </c>
      <c r="BY191" s="9">
        <v>0</v>
      </c>
      <c r="BZ191" s="9">
        <v>0</v>
      </c>
      <c r="CA191" s="9">
        <v>0</v>
      </c>
      <c r="CB191" s="31">
        <v>0</v>
      </c>
      <c r="CC191" s="9">
        <v>0</v>
      </c>
      <c r="CD191" s="9">
        <v>0</v>
      </c>
      <c r="CE191" s="9">
        <v>0</v>
      </c>
      <c r="CF191" s="9">
        <v>0</v>
      </c>
      <c r="CG191" s="9">
        <v>0</v>
      </c>
      <c r="CH191" s="9">
        <v>0</v>
      </c>
      <c r="CI191" s="9">
        <v>0</v>
      </c>
      <c r="CJ191" s="9">
        <v>0</v>
      </c>
      <c r="CK191" s="9">
        <v>0</v>
      </c>
      <c r="CL191" s="9">
        <v>0</v>
      </c>
      <c r="CM191" s="9">
        <v>0</v>
      </c>
      <c r="CN191" s="9">
        <v>0</v>
      </c>
      <c r="CO191" s="31">
        <v>0</v>
      </c>
      <c r="CP191" s="9">
        <v>0</v>
      </c>
      <c r="CQ191" s="9">
        <v>0</v>
      </c>
      <c r="CR191" s="9">
        <v>0</v>
      </c>
      <c r="CS191" s="9">
        <v>0</v>
      </c>
      <c r="CT191" s="9">
        <v>0</v>
      </c>
      <c r="CU191" s="9">
        <v>0</v>
      </c>
      <c r="CV191" s="9">
        <v>0</v>
      </c>
      <c r="CW191" s="9">
        <v>0</v>
      </c>
      <c r="CX191" s="9">
        <v>0</v>
      </c>
      <c r="CY191" s="9">
        <v>0</v>
      </c>
      <c r="CZ191" s="9">
        <v>0</v>
      </c>
      <c r="DA191" s="9">
        <v>0</v>
      </c>
      <c r="DB191" s="31">
        <v>0</v>
      </c>
      <c r="DC191" s="9">
        <v>0</v>
      </c>
      <c r="DD191" s="9">
        <v>0</v>
      </c>
      <c r="DE191" s="9">
        <v>0</v>
      </c>
      <c r="DF191" s="9">
        <v>0</v>
      </c>
      <c r="DG191" s="9">
        <v>0</v>
      </c>
      <c r="DH191" s="9">
        <v>0</v>
      </c>
      <c r="DI191" s="9">
        <v>0</v>
      </c>
      <c r="DJ191" s="9">
        <v>0</v>
      </c>
      <c r="DK191" s="9">
        <v>0</v>
      </c>
      <c r="DL191" s="9">
        <v>0</v>
      </c>
      <c r="DM191" s="9">
        <v>0</v>
      </c>
      <c r="DN191" s="9">
        <v>0</v>
      </c>
      <c r="DO191" s="31">
        <v>0</v>
      </c>
      <c r="DP191" s="9">
        <v>0</v>
      </c>
      <c r="DQ191" s="9">
        <v>0</v>
      </c>
      <c r="DR191" s="9">
        <v>0</v>
      </c>
      <c r="DS191" s="9">
        <v>0</v>
      </c>
      <c r="DT191" s="9">
        <v>0</v>
      </c>
      <c r="DU191" s="9">
        <v>0</v>
      </c>
      <c r="DV191" s="9">
        <v>0</v>
      </c>
      <c r="DW191" s="9">
        <v>0</v>
      </c>
      <c r="DX191" s="9">
        <v>0</v>
      </c>
      <c r="DY191" s="9">
        <v>0</v>
      </c>
      <c r="DZ191" s="9">
        <v>0</v>
      </c>
      <c r="EA191" s="9">
        <v>0</v>
      </c>
      <c r="EB191" s="31">
        <v>0</v>
      </c>
      <c r="EC191" s="9">
        <v>0</v>
      </c>
      <c r="ED191" s="9">
        <v>0</v>
      </c>
      <c r="EE191" s="9">
        <v>0</v>
      </c>
      <c r="EF191" s="9">
        <v>0</v>
      </c>
      <c r="EG191" s="9">
        <v>0</v>
      </c>
      <c r="EH191" s="9">
        <v>0</v>
      </c>
      <c r="EI191" s="9">
        <v>0</v>
      </c>
      <c r="EJ191" s="9">
        <v>0</v>
      </c>
      <c r="EK191" s="9">
        <v>0</v>
      </c>
      <c r="EL191" s="9">
        <v>0</v>
      </c>
      <c r="EM191" s="9">
        <v>0</v>
      </c>
      <c r="EN191" s="9">
        <v>0</v>
      </c>
      <c r="EO191" s="31">
        <v>0</v>
      </c>
      <c r="EP191" s="9">
        <v>0</v>
      </c>
      <c r="EQ191" s="9">
        <v>0</v>
      </c>
      <c r="ER191" s="9">
        <v>0</v>
      </c>
      <c r="ES191" s="9">
        <v>0</v>
      </c>
      <c r="ET191" s="9">
        <v>0</v>
      </c>
      <c r="EU191" s="9">
        <v>0</v>
      </c>
      <c r="EV191" s="9">
        <v>0</v>
      </c>
      <c r="EW191" s="9">
        <v>0</v>
      </c>
      <c r="EX191" s="9">
        <v>0</v>
      </c>
      <c r="EY191" s="9">
        <v>0</v>
      </c>
      <c r="EZ191" s="9">
        <v>0</v>
      </c>
      <c r="FA191" s="9">
        <v>0</v>
      </c>
      <c r="FB191" s="31">
        <v>0</v>
      </c>
      <c r="FC191" s="9">
        <v>0</v>
      </c>
      <c r="FD191" s="9">
        <v>0</v>
      </c>
      <c r="FE191" s="9">
        <v>0</v>
      </c>
      <c r="FF191" s="9">
        <v>0</v>
      </c>
      <c r="FG191" s="9">
        <v>0</v>
      </c>
      <c r="FH191" s="9">
        <v>0</v>
      </c>
      <c r="FI191" s="9">
        <v>0</v>
      </c>
      <c r="FJ191" s="9">
        <v>0</v>
      </c>
      <c r="FK191" s="9">
        <v>0</v>
      </c>
      <c r="FL191" s="9">
        <v>0</v>
      </c>
      <c r="FM191" s="9">
        <v>0</v>
      </c>
      <c r="FN191" s="9">
        <v>0</v>
      </c>
      <c r="FO191" s="31">
        <v>0</v>
      </c>
    </row>
    <row r="192" spans="2:171" x14ac:dyDescent="0.3">
      <c r="B192" s="7" t="s">
        <v>48</v>
      </c>
      <c r="C192" s="9">
        <v>1257595</v>
      </c>
      <c r="D192" s="9">
        <v>1365448</v>
      </c>
      <c r="E192" s="9">
        <v>2686215</v>
      </c>
      <c r="F192" s="9">
        <v>2898498</v>
      </c>
      <c r="G192" s="9">
        <v>3313189</v>
      </c>
      <c r="H192" s="9">
        <v>3739748</v>
      </c>
      <c r="I192" s="9">
        <v>4806709</v>
      </c>
      <c r="J192" s="9">
        <v>5437416</v>
      </c>
      <c r="K192" s="9">
        <v>6001415</v>
      </c>
      <c r="L192" s="9">
        <v>6751219</v>
      </c>
      <c r="M192" s="9">
        <v>8379920</v>
      </c>
      <c r="N192" s="9">
        <v>9235319</v>
      </c>
      <c r="O192" s="31">
        <v>9235319</v>
      </c>
      <c r="P192" s="9">
        <v>642498</v>
      </c>
      <c r="Q192" s="9">
        <v>1727800</v>
      </c>
      <c r="R192" s="9">
        <v>3495716</v>
      </c>
      <c r="S192" s="9">
        <v>4624462</v>
      </c>
      <c r="T192" s="9">
        <v>5552902</v>
      </c>
      <c r="U192" s="9">
        <v>8497368</v>
      </c>
      <c r="V192" s="9">
        <v>9390864</v>
      </c>
      <c r="W192" s="9">
        <v>11066029</v>
      </c>
      <c r="X192" s="9">
        <v>12619553</v>
      </c>
      <c r="Y192" s="9">
        <v>18396837</v>
      </c>
      <c r="Z192" s="9">
        <v>20113961</v>
      </c>
      <c r="AA192" s="9">
        <v>22090938</v>
      </c>
      <c r="AB192" s="31">
        <v>22090938</v>
      </c>
      <c r="AC192" s="9">
        <v>1580138</v>
      </c>
      <c r="AD192" s="9">
        <v>5611679</v>
      </c>
      <c r="AE192" s="9">
        <v>8962823</v>
      </c>
      <c r="AF192" s="9">
        <v>11220768</v>
      </c>
      <c r="AG192" s="9">
        <v>13286720</v>
      </c>
      <c r="AH192" s="9">
        <v>15295318</v>
      </c>
      <c r="AI192" s="9">
        <v>18952297</v>
      </c>
      <c r="AJ192" s="9">
        <v>19976566</v>
      </c>
      <c r="AK192" s="9">
        <v>23819911</v>
      </c>
      <c r="AL192" s="9">
        <v>27383079</v>
      </c>
      <c r="AM192" s="9">
        <v>30980581</v>
      </c>
      <c r="AN192" s="9">
        <v>35923043</v>
      </c>
      <c r="AO192" s="31">
        <v>35923043</v>
      </c>
      <c r="AP192" s="9">
        <v>1090183</v>
      </c>
      <c r="AQ192" s="9">
        <v>2398608</v>
      </c>
      <c r="AR192" s="9">
        <v>5508583</v>
      </c>
      <c r="AS192" s="9">
        <v>7228091</v>
      </c>
      <c r="AT192" s="9">
        <v>10790020</v>
      </c>
      <c r="AU192" s="9">
        <v>12370275</v>
      </c>
      <c r="AV192" s="9">
        <v>14011796</v>
      </c>
      <c r="AW192" s="9">
        <v>15103826</v>
      </c>
      <c r="AX192" s="9">
        <v>15688267</v>
      </c>
      <c r="AY192" s="9">
        <v>16530524</v>
      </c>
      <c r="AZ192" s="9">
        <v>19037534</v>
      </c>
      <c r="BA192" s="9">
        <v>20222966</v>
      </c>
      <c r="BB192" s="31">
        <v>20222966</v>
      </c>
      <c r="BC192" s="9">
        <v>430401</v>
      </c>
      <c r="BD192" s="9">
        <v>776612</v>
      </c>
      <c r="BE192" s="9">
        <v>1113845</v>
      </c>
      <c r="BF192" s="9">
        <v>1809108</v>
      </c>
      <c r="BG192" s="9">
        <v>2389415</v>
      </c>
      <c r="BH192" s="9">
        <v>7009552</v>
      </c>
      <c r="BI192" s="9">
        <v>7398833</v>
      </c>
      <c r="BJ192" s="9">
        <v>8532648</v>
      </c>
      <c r="BK192" s="9">
        <v>9613144</v>
      </c>
      <c r="BL192" s="9">
        <v>9936018</v>
      </c>
      <c r="BM192" s="9">
        <v>11045208</v>
      </c>
      <c r="BN192" s="9">
        <v>11367445</v>
      </c>
      <c r="BO192" s="31">
        <v>11367445</v>
      </c>
      <c r="BP192" s="9">
        <v>5207763</v>
      </c>
      <c r="BQ192" s="9">
        <v>5640034</v>
      </c>
      <c r="BR192" s="9">
        <v>6061803</v>
      </c>
      <c r="BS192" s="9">
        <v>7027203</v>
      </c>
      <c r="BT192" s="9">
        <v>7675361</v>
      </c>
      <c r="BU192" s="9">
        <v>8892790</v>
      </c>
      <c r="BV192" s="9">
        <v>9134431</v>
      </c>
      <c r="BW192" s="9">
        <v>9134431</v>
      </c>
      <c r="BX192" s="9">
        <v>10682047</v>
      </c>
      <c r="BY192" s="9">
        <v>19356916</v>
      </c>
      <c r="BZ192" s="9">
        <v>22196324</v>
      </c>
      <c r="CA192" s="9">
        <v>26946429</v>
      </c>
      <c r="CB192" s="31">
        <v>26946429</v>
      </c>
      <c r="CC192" s="9">
        <v>149973</v>
      </c>
      <c r="CD192" s="9">
        <v>5700988</v>
      </c>
      <c r="CE192" s="9">
        <v>8151966</v>
      </c>
      <c r="CF192" s="9">
        <v>21085893</v>
      </c>
      <c r="CG192" s="9">
        <v>31231868</v>
      </c>
      <c r="CH192" s="9">
        <v>31832705</v>
      </c>
      <c r="CI192" s="9">
        <v>32470783</v>
      </c>
      <c r="CJ192" s="9">
        <v>33158265</v>
      </c>
      <c r="CK192" s="9">
        <v>34364258</v>
      </c>
      <c r="CL192" s="9">
        <v>46305247</v>
      </c>
      <c r="CM192" s="9">
        <v>52014240</v>
      </c>
      <c r="CN192" s="9">
        <v>56150782</v>
      </c>
      <c r="CO192" s="31">
        <v>56150782</v>
      </c>
      <c r="CP192" s="9">
        <v>3236320</v>
      </c>
      <c r="CQ192" s="9">
        <v>3844901</v>
      </c>
      <c r="CR192" s="9">
        <v>4204615</v>
      </c>
      <c r="CS192" s="9">
        <v>6317533</v>
      </c>
      <c r="CT192" s="9">
        <v>7450578</v>
      </c>
      <c r="CU192" s="9">
        <v>10195177</v>
      </c>
      <c r="CV192" s="9">
        <v>11943581</v>
      </c>
      <c r="CW192" s="9">
        <v>13189404</v>
      </c>
      <c r="CX192" s="9">
        <v>23685841</v>
      </c>
      <c r="CY192" s="9">
        <v>24378847</v>
      </c>
      <c r="CZ192" s="9">
        <v>26016937</v>
      </c>
      <c r="DA192" s="9">
        <v>31485069</v>
      </c>
      <c r="DB192" s="31">
        <v>31485069</v>
      </c>
      <c r="DC192" s="9">
        <v>43117</v>
      </c>
      <c r="DD192" s="9">
        <v>2890283</v>
      </c>
      <c r="DE192" s="9">
        <v>3406050</v>
      </c>
      <c r="DF192" s="9">
        <v>4253402</v>
      </c>
      <c r="DG192" s="9">
        <v>5053693</v>
      </c>
      <c r="DH192" s="9">
        <v>15374036</v>
      </c>
      <c r="DI192" s="9">
        <v>16312585</v>
      </c>
      <c r="DJ192" s="9">
        <v>17664273</v>
      </c>
      <c r="DK192" s="9">
        <v>18885749</v>
      </c>
      <c r="DL192" s="9">
        <v>23754406</v>
      </c>
      <c r="DM192" s="9">
        <v>25734161</v>
      </c>
      <c r="DN192" s="9">
        <v>39079064</v>
      </c>
      <c r="DO192" s="31">
        <v>39079064</v>
      </c>
      <c r="DP192" s="9">
        <v>81413</v>
      </c>
      <c r="DQ192" s="9">
        <v>609826</v>
      </c>
      <c r="DR192" s="9">
        <v>2031119</v>
      </c>
      <c r="DS192" s="9">
        <v>8548079</v>
      </c>
      <c r="DT192" s="9">
        <v>10625281</v>
      </c>
      <c r="DU192" s="9">
        <v>15060804</v>
      </c>
      <c r="DV192" s="9">
        <v>19203857</v>
      </c>
      <c r="DW192" s="9">
        <v>25169729</v>
      </c>
      <c r="DX192" s="9">
        <v>34224056</v>
      </c>
      <c r="DY192" s="9">
        <v>46308964</v>
      </c>
      <c r="DZ192" s="9">
        <v>55067635</v>
      </c>
      <c r="EA192" s="9">
        <v>77895241</v>
      </c>
      <c r="EB192" s="31">
        <v>77895241</v>
      </c>
      <c r="EC192" s="9">
        <v>3157076</v>
      </c>
      <c r="ED192" s="9">
        <v>11470729</v>
      </c>
      <c r="EE192" s="9">
        <v>18763215</v>
      </c>
      <c r="EF192" s="9">
        <v>24407965</v>
      </c>
      <c r="EG192" s="9">
        <v>34575057</v>
      </c>
      <c r="EH192" s="9">
        <v>43516423</v>
      </c>
      <c r="EI192" s="9">
        <v>47961260</v>
      </c>
      <c r="EJ192" s="9">
        <v>48496213</v>
      </c>
      <c r="EK192" s="9">
        <v>53812013</v>
      </c>
      <c r="EL192" s="9">
        <v>68576281</v>
      </c>
      <c r="EM192" s="9">
        <v>73452096</v>
      </c>
      <c r="EN192" s="9">
        <v>83196155</v>
      </c>
      <c r="EO192" s="31">
        <v>83196155</v>
      </c>
      <c r="EP192" s="9">
        <v>5162619</v>
      </c>
      <c r="EQ192" s="9">
        <v>6212706</v>
      </c>
      <c r="ER192" s="9">
        <v>12203409</v>
      </c>
      <c r="ES192" s="9">
        <v>18101994</v>
      </c>
      <c r="ET192" s="9">
        <v>22718642</v>
      </c>
      <c r="EU192" s="9">
        <v>40341151</v>
      </c>
      <c r="EV192" s="9">
        <v>42422120</v>
      </c>
      <c r="EW192" s="9">
        <v>44141816</v>
      </c>
      <c r="EX192" s="9">
        <v>49674585</v>
      </c>
      <c r="EY192" s="9">
        <v>55503834</v>
      </c>
      <c r="EZ192" s="9">
        <v>58241570</v>
      </c>
      <c r="FA192" s="9">
        <v>98735963</v>
      </c>
      <c r="FB192" s="31">
        <v>98735963</v>
      </c>
      <c r="FC192" s="9">
        <v>117347</v>
      </c>
      <c r="FD192" s="9">
        <v>1914497</v>
      </c>
      <c r="FE192" s="9">
        <v>14349883</v>
      </c>
      <c r="FF192" s="9">
        <v>23436434</v>
      </c>
      <c r="FG192" s="9">
        <v>30895355</v>
      </c>
      <c r="FH192" s="9">
        <v>38095824</v>
      </c>
      <c r="FI192" s="9">
        <v>64490069</v>
      </c>
      <c r="FJ192" s="9">
        <v>64490069</v>
      </c>
      <c r="FK192" s="9">
        <v>64490069</v>
      </c>
      <c r="FL192" s="9">
        <v>64490069</v>
      </c>
      <c r="FM192" s="9">
        <v>64490069</v>
      </c>
      <c r="FN192" s="9">
        <v>64490069</v>
      </c>
      <c r="FO192" s="31">
        <v>64490069</v>
      </c>
    </row>
    <row r="193" spans="2:171" x14ac:dyDescent="0.3">
      <c r="B193" s="7" t="s">
        <v>49</v>
      </c>
      <c r="C193" s="9">
        <v>1169244</v>
      </c>
      <c r="D193" s="9">
        <v>2630929</v>
      </c>
      <c r="E193" s="9">
        <v>3454072</v>
      </c>
      <c r="F193" s="9">
        <v>4637532</v>
      </c>
      <c r="G193" s="9">
        <v>5877922</v>
      </c>
      <c r="H193" s="9">
        <v>7184026</v>
      </c>
      <c r="I193" s="9">
        <v>8571411</v>
      </c>
      <c r="J193" s="9">
        <v>10824302</v>
      </c>
      <c r="K193" s="9">
        <v>12883720</v>
      </c>
      <c r="L193" s="9">
        <v>15024073</v>
      </c>
      <c r="M193" s="9">
        <v>17075523</v>
      </c>
      <c r="N193" s="9">
        <v>18448107</v>
      </c>
      <c r="O193" s="31">
        <v>18448107</v>
      </c>
      <c r="P193" s="9">
        <v>2559108</v>
      </c>
      <c r="Q193" s="9">
        <v>4540772</v>
      </c>
      <c r="R193" s="9">
        <v>7865732</v>
      </c>
      <c r="S193" s="9">
        <v>10519587</v>
      </c>
      <c r="T193" s="9">
        <v>13516399</v>
      </c>
      <c r="U193" s="9">
        <v>16207241</v>
      </c>
      <c r="V193" s="9">
        <v>19281182</v>
      </c>
      <c r="W193" s="9">
        <v>23604868</v>
      </c>
      <c r="X193" s="9">
        <v>26387937</v>
      </c>
      <c r="Y193" s="9">
        <v>30404774</v>
      </c>
      <c r="Z193" s="9">
        <v>31196266</v>
      </c>
      <c r="AA193" s="9">
        <v>38295462</v>
      </c>
      <c r="AB193" s="31">
        <v>38295462</v>
      </c>
      <c r="AC193" s="9">
        <v>4604498</v>
      </c>
      <c r="AD193" s="9">
        <v>8237790</v>
      </c>
      <c r="AE193" s="9">
        <v>11405135</v>
      </c>
      <c r="AF193" s="9">
        <v>18674594</v>
      </c>
      <c r="AG193" s="9">
        <v>22394401</v>
      </c>
      <c r="AH193" s="9">
        <v>27574883</v>
      </c>
      <c r="AI193" s="9">
        <v>31394959</v>
      </c>
      <c r="AJ193" s="9">
        <v>34644054</v>
      </c>
      <c r="AK193" s="9">
        <v>39976441</v>
      </c>
      <c r="AL193" s="9">
        <v>45803188</v>
      </c>
      <c r="AM193" s="9">
        <v>51509683</v>
      </c>
      <c r="AN193" s="9">
        <v>55179757</v>
      </c>
      <c r="AO193" s="31">
        <v>55179757</v>
      </c>
      <c r="AP193" s="9">
        <v>4916185</v>
      </c>
      <c r="AQ193" s="9">
        <v>7848666</v>
      </c>
      <c r="AR193" s="9">
        <v>12115333</v>
      </c>
      <c r="AS193" s="9">
        <v>16243654</v>
      </c>
      <c r="AT193" s="9">
        <v>20101954</v>
      </c>
      <c r="AU193" s="9">
        <v>23580537</v>
      </c>
      <c r="AV193" s="9">
        <v>27044306</v>
      </c>
      <c r="AW193" s="9">
        <v>31434401</v>
      </c>
      <c r="AX193" s="9">
        <v>37729038</v>
      </c>
      <c r="AY193" s="9">
        <v>40403597</v>
      </c>
      <c r="AZ193" s="9">
        <v>42743905</v>
      </c>
      <c r="BA193" s="9">
        <v>43999075</v>
      </c>
      <c r="BB193" s="31">
        <v>43999075</v>
      </c>
      <c r="BC193" s="9">
        <v>3708238</v>
      </c>
      <c r="BD193" s="9">
        <v>5879653</v>
      </c>
      <c r="BE193" s="9">
        <v>9417024</v>
      </c>
      <c r="BF193" s="9">
        <v>11542675</v>
      </c>
      <c r="BG193" s="9">
        <v>14353791</v>
      </c>
      <c r="BH193" s="9">
        <v>16751375</v>
      </c>
      <c r="BI193" s="9">
        <v>20630637</v>
      </c>
      <c r="BJ193" s="9">
        <v>23325995</v>
      </c>
      <c r="BK193" s="9">
        <v>25248495</v>
      </c>
      <c r="BL193" s="9">
        <v>27706066</v>
      </c>
      <c r="BM193" s="9">
        <v>39410002</v>
      </c>
      <c r="BN193" s="9">
        <v>39811456</v>
      </c>
      <c r="BO193" s="31">
        <v>39811456</v>
      </c>
      <c r="BP193" s="9">
        <v>4520788</v>
      </c>
      <c r="BQ193" s="9">
        <v>7646788</v>
      </c>
      <c r="BR193" s="9">
        <v>10599556</v>
      </c>
      <c r="BS193" s="9">
        <v>12840473</v>
      </c>
      <c r="BT193" s="9">
        <v>16187264</v>
      </c>
      <c r="BU193" s="9">
        <v>18809549</v>
      </c>
      <c r="BV193" s="9">
        <v>21560636</v>
      </c>
      <c r="BW193" s="9">
        <v>24990658</v>
      </c>
      <c r="BX193" s="9">
        <v>27159905</v>
      </c>
      <c r="BY193" s="9">
        <v>29605872</v>
      </c>
      <c r="BZ193" s="9">
        <v>32366852</v>
      </c>
      <c r="CA193" s="9">
        <v>34080173</v>
      </c>
      <c r="CB193" s="31">
        <v>34080173</v>
      </c>
      <c r="CC193" s="9">
        <v>1487254</v>
      </c>
      <c r="CD193" s="9">
        <v>4165377</v>
      </c>
      <c r="CE193" s="9">
        <v>5420088</v>
      </c>
      <c r="CF193" s="9">
        <v>7070483</v>
      </c>
      <c r="CG193" s="9">
        <v>8336415</v>
      </c>
      <c r="CH193" s="9">
        <v>9117730</v>
      </c>
      <c r="CI193" s="9">
        <v>9810558</v>
      </c>
      <c r="CJ193" s="9">
        <v>11935411</v>
      </c>
      <c r="CK193" s="9">
        <v>13872182</v>
      </c>
      <c r="CL193" s="9">
        <v>21148827</v>
      </c>
      <c r="CM193" s="9">
        <v>32229839</v>
      </c>
      <c r="CN193" s="9">
        <v>38593412</v>
      </c>
      <c r="CO193" s="31">
        <v>38593412</v>
      </c>
      <c r="CP193" s="9">
        <v>2216679</v>
      </c>
      <c r="CQ193" s="9">
        <v>4996340</v>
      </c>
      <c r="CR193" s="9">
        <v>7749124</v>
      </c>
      <c r="CS193" s="9">
        <v>9574425</v>
      </c>
      <c r="CT193" s="9">
        <v>12979543</v>
      </c>
      <c r="CU193" s="9">
        <v>16662733</v>
      </c>
      <c r="CV193" s="9">
        <v>20640097</v>
      </c>
      <c r="CW193" s="9">
        <v>23792664</v>
      </c>
      <c r="CX193" s="9">
        <v>25843178</v>
      </c>
      <c r="CY193" s="9">
        <v>30518407</v>
      </c>
      <c r="CZ193" s="9">
        <v>34287567</v>
      </c>
      <c r="DA193" s="9">
        <v>39336280</v>
      </c>
      <c r="DB193" s="31">
        <v>39336280</v>
      </c>
      <c r="DC193" s="9">
        <v>5492985</v>
      </c>
      <c r="DD193" s="9">
        <v>9272576</v>
      </c>
      <c r="DE193" s="9">
        <v>16471020</v>
      </c>
      <c r="DF193" s="9">
        <v>22868746</v>
      </c>
      <c r="DG193" s="9">
        <v>29367638</v>
      </c>
      <c r="DH193" s="9">
        <v>35714031</v>
      </c>
      <c r="DI193" s="9">
        <v>40922142</v>
      </c>
      <c r="DJ193" s="9">
        <v>50954472</v>
      </c>
      <c r="DK193" s="9">
        <v>58317974</v>
      </c>
      <c r="DL193" s="9">
        <v>72265176</v>
      </c>
      <c r="DM193" s="9">
        <v>78646699</v>
      </c>
      <c r="DN193" s="9">
        <v>84485833</v>
      </c>
      <c r="DO193" s="31">
        <v>84485833</v>
      </c>
      <c r="DP193" s="9">
        <v>6736388</v>
      </c>
      <c r="DQ193" s="9">
        <v>17281441</v>
      </c>
      <c r="DR193" s="9">
        <v>30608365</v>
      </c>
      <c r="DS193" s="9">
        <v>37950316</v>
      </c>
      <c r="DT193" s="9">
        <v>46896797</v>
      </c>
      <c r="DU193" s="9">
        <v>54470579</v>
      </c>
      <c r="DV193" s="9">
        <v>60819852</v>
      </c>
      <c r="DW193" s="9">
        <v>67010949</v>
      </c>
      <c r="DX193" s="9">
        <v>71470131</v>
      </c>
      <c r="DY193" s="9">
        <v>78496647</v>
      </c>
      <c r="DZ193" s="9">
        <v>85021722</v>
      </c>
      <c r="EA193" s="9">
        <v>91295184</v>
      </c>
      <c r="EB193" s="31">
        <v>91295184</v>
      </c>
      <c r="EC193" s="9">
        <v>5295126</v>
      </c>
      <c r="ED193" s="9">
        <v>11264347</v>
      </c>
      <c r="EE193" s="9">
        <v>17547001</v>
      </c>
      <c r="EF193" s="9">
        <v>23684549</v>
      </c>
      <c r="EG193" s="9">
        <v>29678410</v>
      </c>
      <c r="EH193" s="9">
        <v>35162226</v>
      </c>
      <c r="EI193" s="9">
        <v>41219495</v>
      </c>
      <c r="EJ193" s="9">
        <v>49644647</v>
      </c>
      <c r="EK193" s="9">
        <v>58279809</v>
      </c>
      <c r="EL193" s="9">
        <v>68764740</v>
      </c>
      <c r="EM193" s="9">
        <v>75458792</v>
      </c>
      <c r="EN193" s="9">
        <v>81667751</v>
      </c>
      <c r="EO193" s="31">
        <v>81667751</v>
      </c>
      <c r="EP193" s="9">
        <v>12319058</v>
      </c>
      <c r="EQ193" s="9">
        <v>20516169</v>
      </c>
      <c r="ER193" s="9">
        <v>36684583</v>
      </c>
      <c r="ES193" s="9">
        <v>45010537</v>
      </c>
      <c r="ET193" s="9">
        <v>51810760</v>
      </c>
      <c r="EU193" s="9">
        <v>59658272</v>
      </c>
      <c r="EV193" s="9">
        <v>71471953</v>
      </c>
      <c r="EW193" s="9">
        <v>79470080</v>
      </c>
      <c r="EX193" s="9">
        <v>88938746</v>
      </c>
      <c r="EY193" s="9">
        <v>96130776</v>
      </c>
      <c r="EZ193" s="9">
        <v>102149147</v>
      </c>
      <c r="FA193" s="9">
        <v>117116960</v>
      </c>
      <c r="FB193" s="31">
        <v>117116960</v>
      </c>
      <c r="FC193" s="9">
        <v>6813264</v>
      </c>
      <c r="FD193" s="9">
        <v>13968911</v>
      </c>
      <c r="FE193" s="9">
        <v>21429580</v>
      </c>
      <c r="FF193" s="9">
        <v>26740171</v>
      </c>
      <c r="FG193" s="9">
        <v>33046571</v>
      </c>
      <c r="FH193" s="9">
        <v>38579551</v>
      </c>
      <c r="FI193" s="9">
        <v>44698490</v>
      </c>
      <c r="FJ193" s="9">
        <v>44698490</v>
      </c>
      <c r="FK193" s="9">
        <v>44698490</v>
      </c>
      <c r="FL193" s="9">
        <v>44698490</v>
      </c>
      <c r="FM193" s="9">
        <v>44698490</v>
      </c>
      <c r="FN193" s="9">
        <v>44698490</v>
      </c>
      <c r="FO193" s="31">
        <v>44698490</v>
      </c>
    </row>
    <row r="194" spans="2:171" x14ac:dyDescent="0.3">
      <c r="B194" s="7" t="s">
        <v>50</v>
      </c>
      <c r="C194" s="9">
        <v>663721</v>
      </c>
      <c r="D194" s="9">
        <v>1400939</v>
      </c>
      <c r="E194" s="9">
        <v>2192396</v>
      </c>
      <c r="F194" s="9">
        <v>2927425</v>
      </c>
      <c r="G194" s="9">
        <v>4335793</v>
      </c>
      <c r="H194" s="9">
        <v>5283635</v>
      </c>
      <c r="I194" s="9">
        <v>6160560</v>
      </c>
      <c r="J194" s="9">
        <v>8276936</v>
      </c>
      <c r="K194" s="9">
        <v>9194371</v>
      </c>
      <c r="L194" s="9">
        <v>12336871</v>
      </c>
      <c r="M194" s="9">
        <v>14466180</v>
      </c>
      <c r="N194" s="9">
        <v>17030543</v>
      </c>
      <c r="O194" s="31">
        <v>17030543</v>
      </c>
      <c r="P194" s="9">
        <v>1110975</v>
      </c>
      <c r="Q194" s="9">
        <v>2405317</v>
      </c>
      <c r="R194" s="9">
        <v>3817773</v>
      </c>
      <c r="S194" s="9">
        <v>5397069</v>
      </c>
      <c r="T194" s="9">
        <v>6667101</v>
      </c>
      <c r="U194" s="9">
        <v>8377003</v>
      </c>
      <c r="V194" s="9">
        <v>11537981</v>
      </c>
      <c r="W194" s="9">
        <v>13729952</v>
      </c>
      <c r="X194" s="9">
        <v>16419348</v>
      </c>
      <c r="Y194" s="9">
        <v>17864524</v>
      </c>
      <c r="Z194" s="9">
        <v>20274154</v>
      </c>
      <c r="AA194" s="9">
        <v>22950451</v>
      </c>
      <c r="AB194" s="31">
        <v>22950451</v>
      </c>
      <c r="AC194" s="9">
        <v>1512990</v>
      </c>
      <c r="AD194" s="9">
        <v>3275934</v>
      </c>
      <c r="AE194" s="9">
        <v>5642584</v>
      </c>
      <c r="AF194" s="9">
        <v>7818125</v>
      </c>
      <c r="AG194" s="9">
        <v>9838312</v>
      </c>
      <c r="AH194" s="9">
        <v>12693012</v>
      </c>
      <c r="AI194" s="9">
        <v>14214811</v>
      </c>
      <c r="AJ194" s="9">
        <v>15605048</v>
      </c>
      <c r="AK194" s="9">
        <v>17167633</v>
      </c>
      <c r="AL194" s="9">
        <v>18771704</v>
      </c>
      <c r="AM194" s="9">
        <v>19684388</v>
      </c>
      <c r="AN194" s="9">
        <v>26592735</v>
      </c>
      <c r="AO194" s="31">
        <v>26592735</v>
      </c>
      <c r="AP194" s="9">
        <v>921642</v>
      </c>
      <c r="AQ194" s="9">
        <v>2815856</v>
      </c>
      <c r="AR194" s="9">
        <v>4456432</v>
      </c>
      <c r="AS194" s="9">
        <v>6634533</v>
      </c>
      <c r="AT194" s="9">
        <v>9040947</v>
      </c>
      <c r="AU194" s="9">
        <v>12481634</v>
      </c>
      <c r="AV194" s="9">
        <v>16995744</v>
      </c>
      <c r="AW194" s="9">
        <v>19885406</v>
      </c>
      <c r="AX194" s="9">
        <v>22299562</v>
      </c>
      <c r="AY194" s="9">
        <v>24851943</v>
      </c>
      <c r="AZ194" s="9">
        <v>27211451</v>
      </c>
      <c r="BA194" s="9">
        <v>29907565</v>
      </c>
      <c r="BB194" s="31">
        <v>29907565</v>
      </c>
      <c r="BC194" s="9">
        <v>664715</v>
      </c>
      <c r="BD194" s="9">
        <v>2940291</v>
      </c>
      <c r="BE194" s="9">
        <v>4928548</v>
      </c>
      <c r="BF194" s="9">
        <v>6976785</v>
      </c>
      <c r="BG194" s="9">
        <v>8283817</v>
      </c>
      <c r="BH194" s="9">
        <v>9651152</v>
      </c>
      <c r="BI194" s="9">
        <v>10821442</v>
      </c>
      <c r="BJ194" s="9">
        <v>12755136</v>
      </c>
      <c r="BK194" s="9">
        <v>14043652</v>
      </c>
      <c r="BL194" s="9">
        <v>18758720</v>
      </c>
      <c r="BM194" s="9">
        <v>19398135</v>
      </c>
      <c r="BN194" s="9">
        <v>21985933</v>
      </c>
      <c r="BO194" s="31">
        <v>21985933</v>
      </c>
      <c r="BP194" s="9">
        <v>667756</v>
      </c>
      <c r="BQ194" s="9">
        <v>2527605</v>
      </c>
      <c r="BR194" s="9">
        <v>3330398</v>
      </c>
      <c r="BS194" s="9">
        <v>4393355</v>
      </c>
      <c r="BT194" s="9">
        <v>8210978</v>
      </c>
      <c r="BU194" s="9">
        <v>10860113</v>
      </c>
      <c r="BV194" s="9">
        <v>14143305</v>
      </c>
      <c r="BW194" s="9">
        <v>17527021</v>
      </c>
      <c r="BX194" s="9">
        <v>22142883</v>
      </c>
      <c r="BY194" s="9">
        <v>24329918</v>
      </c>
      <c r="BZ194" s="9">
        <v>31716917</v>
      </c>
      <c r="CA194" s="9">
        <v>35983228</v>
      </c>
      <c r="CB194" s="31">
        <v>35983228</v>
      </c>
      <c r="CC194" s="9">
        <v>2418029</v>
      </c>
      <c r="CD194" s="9">
        <v>4649298</v>
      </c>
      <c r="CE194" s="9">
        <v>7941431</v>
      </c>
      <c r="CF194" s="9">
        <v>10563974</v>
      </c>
      <c r="CG194" s="9">
        <v>13417675</v>
      </c>
      <c r="CH194" s="9">
        <v>14931249</v>
      </c>
      <c r="CI194" s="9">
        <v>15472631</v>
      </c>
      <c r="CJ194" s="9">
        <v>16107289</v>
      </c>
      <c r="CK194" s="9">
        <v>18919012</v>
      </c>
      <c r="CL194" s="9">
        <v>25698858</v>
      </c>
      <c r="CM194" s="9">
        <v>35930573</v>
      </c>
      <c r="CN194" s="9">
        <v>46508742</v>
      </c>
      <c r="CO194" s="31">
        <v>46508742</v>
      </c>
      <c r="CP194" s="9">
        <v>792764</v>
      </c>
      <c r="CQ194" s="9">
        <v>3698296</v>
      </c>
      <c r="CR194" s="9">
        <v>6559923</v>
      </c>
      <c r="CS194" s="9">
        <v>9862056</v>
      </c>
      <c r="CT194" s="9">
        <v>11244223</v>
      </c>
      <c r="CU194" s="9">
        <v>28851111</v>
      </c>
      <c r="CV194" s="9">
        <v>32157309</v>
      </c>
      <c r="CW194" s="9">
        <v>35162160</v>
      </c>
      <c r="CX194" s="9">
        <v>37408627</v>
      </c>
      <c r="CY194" s="9">
        <v>39041498</v>
      </c>
      <c r="CZ194" s="9">
        <v>43352485</v>
      </c>
      <c r="DA194" s="9">
        <v>47466038</v>
      </c>
      <c r="DB194" s="31">
        <v>47466038</v>
      </c>
      <c r="DC194" s="9">
        <v>5692575</v>
      </c>
      <c r="DD194" s="9">
        <v>9741958</v>
      </c>
      <c r="DE194" s="9">
        <v>19397245</v>
      </c>
      <c r="DF194" s="9">
        <v>25631697</v>
      </c>
      <c r="DG194" s="9">
        <v>33812646</v>
      </c>
      <c r="DH194" s="9">
        <v>36005411</v>
      </c>
      <c r="DI194" s="9">
        <v>38517014</v>
      </c>
      <c r="DJ194" s="9">
        <v>40255702</v>
      </c>
      <c r="DK194" s="9">
        <v>44490435</v>
      </c>
      <c r="DL194" s="9">
        <v>46407796</v>
      </c>
      <c r="DM194" s="9">
        <v>47125648</v>
      </c>
      <c r="DN194" s="9">
        <v>58401121</v>
      </c>
      <c r="DO194" s="31">
        <v>58401121</v>
      </c>
      <c r="DP194" s="9">
        <v>274699</v>
      </c>
      <c r="DQ194" s="9">
        <v>10059123</v>
      </c>
      <c r="DR194" s="9">
        <v>19639203</v>
      </c>
      <c r="DS194" s="9">
        <v>25809322</v>
      </c>
      <c r="DT194" s="9">
        <v>30607023</v>
      </c>
      <c r="DU194" s="9">
        <v>38986358</v>
      </c>
      <c r="DV194" s="9">
        <v>40962607</v>
      </c>
      <c r="DW194" s="9">
        <v>41748998</v>
      </c>
      <c r="DX194" s="9">
        <v>42170761</v>
      </c>
      <c r="DY194" s="9">
        <v>43297308</v>
      </c>
      <c r="DZ194" s="9">
        <v>49191523</v>
      </c>
      <c r="EA194" s="9">
        <v>87311488</v>
      </c>
      <c r="EB194" s="31">
        <v>87311488</v>
      </c>
      <c r="EC194" s="9">
        <v>293415</v>
      </c>
      <c r="ED194" s="9">
        <v>4466442</v>
      </c>
      <c r="EE194" s="9">
        <v>6462295</v>
      </c>
      <c r="EF194" s="9">
        <v>9961321</v>
      </c>
      <c r="EG194" s="9">
        <v>15098606</v>
      </c>
      <c r="EH194" s="9">
        <v>16443018</v>
      </c>
      <c r="EI194" s="9">
        <v>23108163</v>
      </c>
      <c r="EJ194" s="9">
        <v>42258259</v>
      </c>
      <c r="EK194" s="9">
        <v>45834971</v>
      </c>
      <c r="EL194" s="9">
        <v>51690387</v>
      </c>
      <c r="EM194" s="9">
        <v>54719287</v>
      </c>
      <c r="EN194" s="9">
        <v>73069447</v>
      </c>
      <c r="EO194" s="31">
        <v>73069447</v>
      </c>
      <c r="EP194" s="9">
        <v>6005967</v>
      </c>
      <c r="EQ194" s="9">
        <v>11187082</v>
      </c>
      <c r="ER194" s="9">
        <v>16850474</v>
      </c>
      <c r="ES194" s="9">
        <v>23089117</v>
      </c>
      <c r="ET194" s="9">
        <v>30108570</v>
      </c>
      <c r="EU194" s="9">
        <v>35644617</v>
      </c>
      <c r="EV194" s="9">
        <v>53191551</v>
      </c>
      <c r="EW194" s="9">
        <v>60979411</v>
      </c>
      <c r="EX194" s="9">
        <v>63768787</v>
      </c>
      <c r="EY194" s="9">
        <v>68323098</v>
      </c>
      <c r="EZ194" s="9">
        <v>69299722</v>
      </c>
      <c r="FA194" s="9">
        <v>78918879</v>
      </c>
      <c r="FB194" s="31">
        <v>78918879</v>
      </c>
      <c r="FC194" s="9">
        <v>5018975</v>
      </c>
      <c r="FD194" s="9">
        <v>9676031</v>
      </c>
      <c r="FE194" s="9">
        <v>14474533</v>
      </c>
      <c r="FF194" s="9">
        <v>20193632</v>
      </c>
      <c r="FG194" s="9">
        <v>26395450</v>
      </c>
      <c r="FH194" s="9">
        <v>33105338</v>
      </c>
      <c r="FI194" s="9">
        <v>43663125</v>
      </c>
      <c r="FJ194" s="9">
        <v>43663125</v>
      </c>
      <c r="FK194" s="9">
        <v>43663125</v>
      </c>
      <c r="FL194" s="9">
        <v>43663125</v>
      </c>
      <c r="FM194" s="9">
        <v>43663125</v>
      </c>
      <c r="FN194" s="9">
        <v>43663125</v>
      </c>
      <c r="FO194" s="31">
        <v>43663125</v>
      </c>
    </row>
    <row r="195" spans="2:171" x14ac:dyDescent="0.3">
      <c r="B195" s="7" t="s">
        <v>51</v>
      </c>
      <c r="C195" s="9">
        <v>624939</v>
      </c>
      <c r="D195" s="9">
        <v>982491</v>
      </c>
      <c r="E195" s="9">
        <v>1876024</v>
      </c>
      <c r="F195" s="9">
        <v>2573359</v>
      </c>
      <c r="G195" s="9">
        <v>3338939</v>
      </c>
      <c r="H195" s="9">
        <v>4125710</v>
      </c>
      <c r="I195" s="9">
        <v>4902397</v>
      </c>
      <c r="J195" s="9">
        <v>6806219</v>
      </c>
      <c r="K195" s="9">
        <v>8205063</v>
      </c>
      <c r="L195" s="9">
        <v>8776425</v>
      </c>
      <c r="M195" s="9">
        <v>10771812</v>
      </c>
      <c r="N195" s="9">
        <v>11809210</v>
      </c>
      <c r="O195" s="31">
        <v>11809210</v>
      </c>
      <c r="P195" s="9">
        <v>831842</v>
      </c>
      <c r="Q195" s="9">
        <v>2002693</v>
      </c>
      <c r="R195" s="9">
        <v>2643743</v>
      </c>
      <c r="S195" s="9">
        <v>3155208</v>
      </c>
      <c r="T195" s="9">
        <v>3698712</v>
      </c>
      <c r="U195" s="9">
        <v>4324410</v>
      </c>
      <c r="V195" s="9">
        <v>5469623</v>
      </c>
      <c r="W195" s="9">
        <v>6651690</v>
      </c>
      <c r="X195" s="9">
        <v>8326756</v>
      </c>
      <c r="Y195" s="9">
        <v>9895406</v>
      </c>
      <c r="Z195" s="9">
        <v>11191849</v>
      </c>
      <c r="AA195" s="9">
        <v>15576359</v>
      </c>
      <c r="AB195" s="31">
        <v>15576359</v>
      </c>
      <c r="AC195" s="9">
        <v>1242124</v>
      </c>
      <c r="AD195" s="9">
        <v>7072927</v>
      </c>
      <c r="AE195" s="9">
        <v>11783913</v>
      </c>
      <c r="AF195" s="9">
        <v>14101152</v>
      </c>
      <c r="AG195" s="9">
        <v>16573253</v>
      </c>
      <c r="AH195" s="9">
        <v>19778328</v>
      </c>
      <c r="AI195" s="9">
        <v>22623607</v>
      </c>
      <c r="AJ195" s="9">
        <v>25478337</v>
      </c>
      <c r="AK195" s="9">
        <v>27921063</v>
      </c>
      <c r="AL195" s="9">
        <v>30526750</v>
      </c>
      <c r="AM195" s="9">
        <v>32609209</v>
      </c>
      <c r="AN195" s="9">
        <v>36968108</v>
      </c>
      <c r="AO195" s="31">
        <v>36968108</v>
      </c>
      <c r="AP195" s="9">
        <v>2261984</v>
      </c>
      <c r="AQ195" s="9">
        <v>4878888</v>
      </c>
      <c r="AR195" s="9">
        <v>8183039</v>
      </c>
      <c r="AS195" s="9">
        <v>11423798</v>
      </c>
      <c r="AT195" s="9">
        <v>16783114</v>
      </c>
      <c r="AU195" s="9">
        <v>19830112</v>
      </c>
      <c r="AV195" s="9">
        <v>25659102</v>
      </c>
      <c r="AW195" s="9">
        <v>27967734</v>
      </c>
      <c r="AX195" s="9">
        <v>29797142</v>
      </c>
      <c r="AY195" s="9">
        <v>31408502</v>
      </c>
      <c r="AZ195" s="9">
        <v>33364651</v>
      </c>
      <c r="BA195" s="9">
        <v>37523706</v>
      </c>
      <c r="BB195" s="31">
        <v>37523706</v>
      </c>
      <c r="BC195" s="9">
        <v>2124864</v>
      </c>
      <c r="BD195" s="9">
        <v>4984012</v>
      </c>
      <c r="BE195" s="9">
        <v>6962328</v>
      </c>
      <c r="BF195" s="9">
        <v>9003251</v>
      </c>
      <c r="BG195" s="9">
        <v>11078353</v>
      </c>
      <c r="BH195" s="9">
        <v>12547058</v>
      </c>
      <c r="BI195" s="9">
        <v>14405480</v>
      </c>
      <c r="BJ195" s="9">
        <v>16704459</v>
      </c>
      <c r="BK195" s="9">
        <v>18181126</v>
      </c>
      <c r="BL195" s="9">
        <v>19065624</v>
      </c>
      <c r="BM195" s="9">
        <v>19623754</v>
      </c>
      <c r="BN195" s="9">
        <v>21847533</v>
      </c>
      <c r="BO195" s="31">
        <v>21847533</v>
      </c>
      <c r="BP195" s="9">
        <v>3926502</v>
      </c>
      <c r="BQ195" s="9">
        <v>7236529</v>
      </c>
      <c r="BR195" s="9">
        <v>9493906</v>
      </c>
      <c r="BS195" s="9">
        <v>11136453</v>
      </c>
      <c r="BT195" s="9">
        <v>12495677</v>
      </c>
      <c r="BU195" s="9">
        <v>14268863</v>
      </c>
      <c r="BV195" s="9">
        <v>16374997</v>
      </c>
      <c r="BW195" s="9">
        <v>17320353</v>
      </c>
      <c r="BX195" s="9">
        <v>17545507</v>
      </c>
      <c r="BY195" s="9">
        <v>19379167</v>
      </c>
      <c r="BZ195" s="9">
        <v>19534286</v>
      </c>
      <c r="CA195" s="9">
        <v>31815424</v>
      </c>
      <c r="CB195" s="31">
        <v>31815424</v>
      </c>
      <c r="CC195" s="9">
        <v>1333111</v>
      </c>
      <c r="CD195" s="9">
        <v>4740224</v>
      </c>
      <c r="CE195" s="9">
        <v>7386457</v>
      </c>
      <c r="CF195" s="9">
        <v>9840725</v>
      </c>
      <c r="CG195" s="9">
        <v>11092874</v>
      </c>
      <c r="CH195" s="9">
        <v>13289181</v>
      </c>
      <c r="CI195" s="9">
        <v>14387705</v>
      </c>
      <c r="CJ195" s="9">
        <v>16685011</v>
      </c>
      <c r="CK195" s="9">
        <v>17993404</v>
      </c>
      <c r="CL195" s="9">
        <v>20667430</v>
      </c>
      <c r="CM195" s="9">
        <v>22728838</v>
      </c>
      <c r="CN195" s="9">
        <v>33316769</v>
      </c>
      <c r="CO195" s="31">
        <v>33316769</v>
      </c>
      <c r="CP195" s="9">
        <v>902393</v>
      </c>
      <c r="CQ195" s="9">
        <v>2803647</v>
      </c>
      <c r="CR195" s="9">
        <v>5711293</v>
      </c>
      <c r="CS195" s="9">
        <v>6735182</v>
      </c>
      <c r="CT195" s="9">
        <v>8454262</v>
      </c>
      <c r="CU195" s="9">
        <v>9552724</v>
      </c>
      <c r="CV195" s="9">
        <v>11675870</v>
      </c>
      <c r="CW195" s="9">
        <v>12827811</v>
      </c>
      <c r="CX195" s="9">
        <v>14317678</v>
      </c>
      <c r="CY195" s="9">
        <v>16815777</v>
      </c>
      <c r="CZ195" s="9">
        <v>18023751</v>
      </c>
      <c r="DA195" s="9">
        <v>33187158</v>
      </c>
      <c r="DB195" s="31">
        <v>33187158</v>
      </c>
      <c r="DC195" s="9">
        <v>1677276</v>
      </c>
      <c r="DD195" s="9">
        <v>3884234</v>
      </c>
      <c r="DE195" s="9">
        <v>6843283</v>
      </c>
      <c r="DF195" s="9">
        <v>9034399</v>
      </c>
      <c r="DG195" s="9">
        <v>12827107</v>
      </c>
      <c r="DH195" s="9">
        <v>17752792</v>
      </c>
      <c r="DI195" s="9">
        <v>22025218</v>
      </c>
      <c r="DJ195" s="9">
        <v>24145619</v>
      </c>
      <c r="DK195" s="9">
        <v>27522781</v>
      </c>
      <c r="DL195" s="9">
        <v>29871881</v>
      </c>
      <c r="DM195" s="9">
        <v>33061128</v>
      </c>
      <c r="DN195" s="9">
        <v>38134306</v>
      </c>
      <c r="DO195" s="31">
        <v>38134306</v>
      </c>
      <c r="DP195" s="9">
        <v>1428955</v>
      </c>
      <c r="DQ195" s="9">
        <v>2107872</v>
      </c>
      <c r="DR195" s="9">
        <v>7346190</v>
      </c>
      <c r="DS195" s="9">
        <v>12920269</v>
      </c>
      <c r="DT195" s="9">
        <v>23104412</v>
      </c>
      <c r="DU195" s="9">
        <v>30370481</v>
      </c>
      <c r="DV195" s="9">
        <v>32542907</v>
      </c>
      <c r="DW195" s="9">
        <v>34101627</v>
      </c>
      <c r="DX195" s="9">
        <v>35482088</v>
      </c>
      <c r="DY195" s="9">
        <v>37055573</v>
      </c>
      <c r="DZ195" s="9">
        <v>39681697</v>
      </c>
      <c r="EA195" s="9">
        <v>43782701</v>
      </c>
      <c r="EB195" s="31">
        <v>43782701</v>
      </c>
      <c r="EC195" s="9">
        <v>1308785</v>
      </c>
      <c r="ED195" s="9">
        <v>2306985</v>
      </c>
      <c r="EE195" s="9">
        <v>6921006</v>
      </c>
      <c r="EF195" s="9">
        <v>16039515</v>
      </c>
      <c r="EG195" s="9">
        <v>23820121</v>
      </c>
      <c r="EH195" s="9">
        <v>30925478</v>
      </c>
      <c r="EI195" s="9">
        <v>32196729</v>
      </c>
      <c r="EJ195" s="9">
        <v>36482394</v>
      </c>
      <c r="EK195" s="9">
        <v>41242003</v>
      </c>
      <c r="EL195" s="9">
        <v>43876897</v>
      </c>
      <c r="EM195" s="9">
        <v>45302979</v>
      </c>
      <c r="EN195" s="9">
        <v>50275024</v>
      </c>
      <c r="EO195" s="31">
        <v>50275024</v>
      </c>
      <c r="EP195" s="9">
        <v>756294</v>
      </c>
      <c r="EQ195" s="9">
        <v>4738608</v>
      </c>
      <c r="ER195" s="9">
        <v>15047025</v>
      </c>
      <c r="ES195" s="9">
        <v>26160432</v>
      </c>
      <c r="ET195" s="9">
        <v>31980009</v>
      </c>
      <c r="EU195" s="9">
        <v>35163871</v>
      </c>
      <c r="EV195" s="9">
        <v>50130104</v>
      </c>
      <c r="EW195" s="9">
        <v>57095810</v>
      </c>
      <c r="EX195" s="9">
        <v>71098134</v>
      </c>
      <c r="EY195" s="9">
        <v>74656845</v>
      </c>
      <c r="EZ195" s="9">
        <v>77301290</v>
      </c>
      <c r="FA195" s="9">
        <v>92078446</v>
      </c>
      <c r="FB195" s="31">
        <v>92078446</v>
      </c>
      <c r="FC195" s="9">
        <v>4816591</v>
      </c>
      <c r="FD195" s="9">
        <v>13740877</v>
      </c>
      <c r="FE195" s="9">
        <v>21760819</v>
      </c>
      <c r="FF195" s="9">
        <v>29949204</v>
      </c>
      <c r="FG195" s="9">
        <v>32343149</v>
      </c>
      <c r="FH195" s="9">
        <v>42735045</v>
      </c>
      <c r="FI195" s="9">
        <v>48871138</v>
      </c>
      <c r="FJ195" s="9">
        <v>48871138</v>
      </c>
      <c r="FK195" s="9">
        <v>48871138</v>
      </c>
      <c r="FL195" s="9">
        <v>48871138</v>
      </c>
      <c r="FM195" s="9">
        <v>48871138</v>
      </c>
      <c r="FN195" s="9">
        <v>48871138</v>
      </c>
      <c r="FO195" s="31">
        <v>48871138</v>
      </c>
    </row>
    <row r="196" spans="2:171" x14ac:dyDescent="0.3">
      <c r="B196" s="7" t="s">
        <v>52</v>
      </c>
      <c r="C196" s="9">
        <v>2705661</v>
      </c>
      <c r="D196" s="9">
        <v>4555065</v>
      </c>
      <c r="E196" s="9">
        <v>6485937</v>
      </c>
      <c r="F196" s="9">
        <v>8754818</v>
      </c>
      <c r="G196" s="9">
        <v>10929693</v>
      </c>
      <c r="H196" s="9">
        <v>13356893</v>
      </c>
      <c r="I196" s="9">
        <v>15949937</v>
      </c>
      <c r="J196" s="9">
        <v>17995376</v>
      </c>
      <c r="K196" s="9">
        <v>20533968</v>
      </c>
      <c r="L196" s="9">
        <v>23574942</v>
      </c>
      <c r="M196" s="9">
        <v>26183262</v>
      </c>
      <c r="N196" s="9">
        <v>29791080</v>
      </c>
      <c r="O196" s="31">
        <v>29791080</v>
      </c>
      <c r="P196" s="9">
        <v>3326300</v>
      </c>
      <c r="Q196" s="9">
        <v>6232321</v>
      </c>
      <c r="R196" s="9">
        <v>8936143</v>
      </c>
      <c r="S196" s="9">
        <v>12528908</v>
      </c>
      <c r="T196" s="9">
        <v>15879211</v>
      </c>
      <c r="U196" s="9">
        <v>18418008</v>
      </c>
      <c r="V196" s="9">
        <v>21671998</v>
      </c>
      <c r="W196" s="9">
        <v>25081374</v>
      </c>
      <c r="X196" s="9">
        <v>27017733</v>
      </c>
      <c r="Y196" s="9">
        <v>29410445</v>
      </c>
      <c r="Z196" s="9">
        <v>32496364</v>
      </c>
      <c r="AA196" s="9">
        <v>38031658</v>
      </c>
      <c r="AB196" s="31">
        <v>38031658</v>
      </c>
      <c r="AC196" s="9">
        <v>3643182</v>
      </c>
      <c r="AD196" s="9">
        <v>7614394</v>
      </c>
      <c r="AE196" s="9">
        <v>11393630</v>
      </c>
      <c r="AF196" s="9">
        <v>16282270</v>
      </c>
      <c r="AG196" s="9">
        <v>20211708</v>
      </c>
      <c r="AH196" s="9">
        <v>24353660</v>
      </c>
      <c r="AI196" s="9">
        <v>28398996</v>
      </c>
      <c r="AJ196" s="9">
        <v>32452132</v>
      </c>
      <c r="AK196" s="9">
        <v>36719151</v>
      </c>
      <c r="AL196" s="9">
        <v>41746982</v>
      </c>
      <c r="AM196" s="9">
        <v>47137299</v>
      </c>
      <c r="AN196" s="9">
        <v>54121045</v>
      </c>
      <c r="AO196" s="31">
        <v>54121045</v>
      </c>
      <c r="AP196" s="9">
        <v>3333803</v>
      </c>
      <c r="AQ196" s="9">
        <v>7752112</v>
      </c>
      <c r="AR196" s="9">
        <v>14122422</v>
      </c>
      <c r="AS196" s="9">
        <v>18761487</v>
      </c>
      <c r="AT196" s="9">
        <v>23494253</v>
      </c>
      <c r="AU196" s="9">
        <v>29508605</v>
      </c>
      <c r="AV196" s="9">
        <v>35013776</v>
      </c>
      <c r="AW196" s="9">
        <v>42986710</v>
      </c>
      <c r="AX196" s="9">
        <v>49152276</v>
      </c>
      <c r="AY196" s="9">
        <v>55725378</v>
      </c>
      <c r="AZ196" s="9">
        <v>62637230</v>
      </c>
      <c r="BA196" s="9">
        <v>65215750</v>
      </c>
      <c r="BB196" s="31">
        <v>65215750</v>
      </c>
      <c r="BC196" s="9">
        <v>8173212</v>
      </c>
      <c r="BD196" s="9">
        <v>13416245</v>
      </c>
      <c r="BE196" s="9">
        <v>21831120</v>
      </c>
      <c r="BF196" s="9">
        <v>29793713</v>
      </c>
      <c r="BG196" s="9">
        <v>33791764</v>
      </c>
      <c r="BH196" s="9">
        <v>41870686</v>
      </c>
      <c r="BI196" s="9">
        <v>47979434</v>
      </c>
      <c r="BJ196" s="9">
        <v>54766031</v>
      </c>
      <c r="BK196" s="9">
        <v>61533552</v>
      </c>
      <c r="BL196" s="9">
        <v>66727922</v>
      </c>
      <c r="BM196" s="9">
        <v>74182380</v>
      </c>
      <c r="BN196" s="9">
        <v>77578658</v>
      </c>
      <c r="BO196" s="31">
        <v>77578658</v>
      </c>
      <c r="BP196" s="9">
        <v>2979333</v>
      </c>
      <c r="BQ196" s="9">
        <v>5737130</v>
      </c>
      <c r="BR196" s="9">
        <v>9502428</v>
      </c>
      <c r="BS196" s="9">
        <v>14111740</v>
      </c>
      <c r="BT196" s="9">
        <v>18653099</v>
      </c>
      <c r="BU196" s="9">
        <v>23253670</v>
      </c>
      <c r="BV196" s="9">
        <v>29856650</v>
      </c>
      <c r="BW196" s="9">
        <v>35220810</v>
      </c>
      <c r="BX196" s="9">
        <v>38548539</v>
      </c>
      <c r="BY196" s="9">
        <v>51502513</v>
      </c>
      <c r="BZ196" s="9">
        <v>61159417</v>
      </c>
      <c r="CA196" s="9">
        <v>64501134</v>
      </c>
      <c r="CB196" s="31">
        <v>64501134</v>
      </c>
      <c r="CC196" s="9">
        <v>1559575</v>
      </c>
      <c r="CD196" s="9">
        <v>3336513</v>
      </c>
      <c r="CE196" s="9">
        <v>8691076</v>
      </c>
      <c r="CF196" s="9">
        <v>11584030</v>
      </c>
      <c r="CG196" s="9">
        <v>14299745</v>
      </c>
      <c r="CH196" s="9">
        <v>20258388</v>
      </c>
      <c r="CI196" s="9">
        <v>23547003</v>
      </c>
      <c r="CJ196" s="9">
        <v>29236339</v>
      </c>
      <c r="CK196" s="9">
        <v>32554452</v>
      </c>
      <c r="CL196" s="9">
        <v>36592187</v>
      </c>
      <c r="CM196" s="9">
        <v>43859005</v>
      </c>
      <c r="CN196" s="9">
        <v>47369249</v>
      </c>
      <c r="CO196" s="31">
        <v>47369249</v>
      </c>
      <c r="CP196" s="9">
        <v>2848394</v>
      </c>
      <c r="CQ196" s="9">
        <v>5923883</v>
      </c>
      <c r="CR196" s="9">
        <v>7965978</v>
      </c>
      <c r="CS196" s="9">
        <v>9617044</v>
      </c>
      <c r="CT196" s="9">
        <v>13852548</v>
      </c>
      <c r="CU196" s="9">
        <v>18040494</v>
      </c>
      <c r="CV196" s="9">
        <v>22387310</v>
      </c>
      <c r="CW196" s="9">
        <v>31636401</v>
      </c>
      <c r="CX196" s="9">
        <v>49169116</v>
      </c>
      <c r="CY196" s="9">
        <v>51622575</v>
      </c>
      <c r="CZ196" s="9">
        <v>53941002</v>
      </c>
      <c r="DA196" s="9">
        <v>67085048</v>
      </c>
      <c r="DB196" s="31">
        <v>67085048</v>
      </c>
      <c r="DC196" s="9">
        <v>2552459</v>
      </c>
      <c r="DD196" s="9">
        <v>6491641</v>
      </c>
      <c r="DE196" s="9">
        <v>12089073</v>
      </c>
      <c r="DF196" s="9">
        <v>15342872</v>
      </c>
      <c r="DG196" s="9">
        <v>22248538</v>
      </c>
      <c r="DH196" s="9">
        <v>32049883</v>
      </c>
      <c r="DI196" s="9">
        <v>38173286</v>
      </c>
      <c r="DJ196" s="9">
        <v>42188580</v>
      </c>
      <c r="DK196" s="9">
        <v>46593304</v>
      </c>
      <c r="DL196" s="9">
        <v>55662325</v>
      </c>
      <c r="DM196" s="9">
        <v>61630201</v>
      </c>
      <c r="DN196" s="9">
        <v>73208745</v>
      </c>
      <c r="DO196" s="31">
        <v>73208745</v>
      </c>
      <c r="DP196" s="9">
        <v>10100936</v>
      </c>
      <c r="DQ196" s="9">
        <v>16067988</v>
      </c>
      <c r="DR196" s="9">
        <v>24396745</v>
      </c>
      <c r="DS196" s="9">
        <v>30288290</v>
      </c>
      <c r="DT196" s="9">
        <v>33611175</v>
      </c>
      <c r="DU196" s="9">
        <v>40139526</v>
      </c>
      <c r="DV196" s="9">
        <v>45789704</v>
      </c>
      <c r="DW196" s="9">
        <v>52661229</v>
      </c>
      <c r="DX196" s="9">
        <v>55576448</v>
      </c>
      <c r="DY196" s="9">
        <v>72273798</v>
      </c>
      <c r="DZ196" s="9">
        <v>80006583</v>
      </c>
      <c r="EA196" s="9">
        <v>95095205</v>
      </c>
      <c r="EB196" s="31">
        <v>95095205</v>
      </c>
      <c r="EC196" s="9">
        <v>5214269</v>
      </c>
      <c r="ED196" s="9">
        <v>11235900</v>
      </c>
      <c r="EE196" s="9">
        <v>16905106</v>
      </c>
      <c r="EF196" s="9">
        <v>23742083</v>
      </c>
      <c r="EG196" s="9">
        <v>30484197</v>
      </c>
      <c r="EH196" s="9">
        <v>39499416</v>
      </c>
      <c r="EI196" s="9">
        <v>47300435</v>
      </c>
      <c r="EJ196" s="9">
        <v>56881802</v>
      </c>
      <c r="EK196" s="9">
        <v>64725887</v>
      </c>
      <c r="EL196" s="9">
        <v>75675766</v>
      </c>
      <c r="EM196" s="9">
        <v>81986895</v>
      </c>
      <c r="EN196" s="9">
        <v>106974951</v>
      </c>
      <c r="EO196" s="31">
        <v>106974951</v>
      </c>
      <c r="EP196" s="9">
        <v>7447418</v>
      </c>
      <c r="EQ196" s="9">
        <v>23994446</v>
      </c>
      <c r="ER196" s="9">
        <v>29971017</v>
      </c>
      <c r="ES196" s="9">
        <v>35520045</v>
      </c>
      <c r="ET196" s="9">
        <v>42604873</v>
      </c>
      <c r="EU196" s="9">
        <v>50293712</v>
      </c>
      <c r="EV196" s="9">
        <v>60108224</v>
      </c>
      <c r="EW196" s="9">
        <v>67603966</v>
      </c>
      <c r="EX196" s="9">
        <v>75529454</v>
      </c>
      <c r="EY196" s="9">
        <v>96186537</v>
      </c>
      <c r="EZ196" s="9">
        <v>110595441</v>
      </c>
      <c r="FA196" s="9">
        <v>121561430</v>
      </c>
      <c r="FB196" s="31">
        <v>121561430</v>
      </c>
      <c r="FC196" s="9">
        <v>4876896</v>
      </c>
      <c r="FD196" s="9">
        <v>21687378</v>
      </c>
      <c r="FE196" s="9">
        <v>34301743</v>
      </c>
      <c r="FF196" s="9">
        <v>42309988</v>
      </c>
      <c r="FG196" s="9">
        <v>54922374</v>
      </c>
      <c r="FH196" s="9">
        <v>64126737</v>
      </c>
      <c r="FI196" s="9">
        <v>87205139</v>
      </c>
      <c r="FJ196" s="9">
        <v>87205139</v>
      </c>
      <c r="FK196" s="9">
        <v>87205139</v>
      </c>
      <c r="FL196" s="9">
        <v>87205139</v>
      </c>
      <c r="FM196" s="9">
        <v>87205139</v>
      </c>
      <c r="FN196" s="9">
        <v>87205139</v>
      </c>
      <c r="FO196" s="31">
        <v>87205139</v>
      </c>
    </row>
    <row r="197" spans="2:171" x14ac:dyDescent="0.3">
      <c r="B197" s="7" t="s">
        <v>53</v>
      </c>
      <c r="C197" s="9">
        <v>5114792</v>
      </c>
      <c r="D197" s="9">
        <v>11825055</v>
      </c>
      <c r="E197" s="9">
        <v>19002655</v>
      </c>
      <c r="F197" s="9">
        <v>26623575</v>
      </c>
      <c r="G197" s="9">
        <v>32439691</v>
      </c>
      <c r="H197" s="9">
        <v>38847264</v>
      </c>
      <c r="I197" s="9">
        <v>43830334</v>
      </c>
      <c r="J197" s="9">
        <v>50519875</v>
      </c>
      <c r="K197" s="9">
        <v>56856928</v>
      </c>
      <c r="L197" s="9">
        <v>65401303</v>
      </c>
      <c r="M197" s="9">
        <v>74694972</v>
      </c>
      <c r="N197" s="9">
        <v>84735951</v>
      </c>
      <c r="O197" s="31">
        <v>84735951</v>
      </c>
      <c r="P197" s="9">
        <v>5486053</v>
      </c>
      <c r="Q197" s="9">
        <v>11326991</v>
      </c>
      <c r="R197" s="9">
        <v>18335146</v>
      </c>
      <c r="S197" s="9">
        <v>27665285</v>
      </c>
      <c r="T197" s="9">
        <v>36349440</v>
      </c>
      <c r="U197" s="9">
        <v>46965573</v>
      </c>
      <c r="V197" s="9">
        <v>55795988</v>
      </c>
      <c r="W197" s="9">
        <v>63586370</v>
      </c>
      <c r="X197" s="9">
        <v>70844325</v>
      </c>
      <c r="Y197" s="9">
        <v>79837677</v>
      </c>
      <c r="Z197" s="9">
        <v>90793275</v>
      </c>
      <c r="AA197" s="9">
        <v>100650369</v>
      </c>
      <c r="AB197" s="31">
        <v>100650369</v>
      </c>
      <c r="AC197" s="9">
        <v>6983149</v>
      </c>
      <c r="AD197" s="9">
        <v>14247404</v>
      </c>
      <c r="AE197" s="9">
        <v>22892691</v>
      </c>
      <c r="AF197" s="9">
        <v>31826112</v>
      </c>
      <c r="AG197" s="9">
        <v>43865791</v>
      </c>
      <c r="AH197" s="9">
        <v>53298532</v>
      </c>
      <c r="AI197" s="9">
        <v>63687648</v>
      </c>
      <c r="AJ197" s="9">
        <v>71481484</v>
      </c>
      <c r="AK197" s="9">
        <v>81511682</v>
      </c>
      <c r="AL197" s="9">
        <v>91818456</v>
      </c>
      <c r="AM197" s="9">
        <v>99912361</v>
      </c>
      <c r="AN197" s="9">
        <v>111426770</v>
      </c>
      <c r="AO197" s="31">
        <v>111426770</v>
      </c>
      <c r="AP197" s="9">
        <v>8290823</v>
      </c>
      <c r="AQ197" s="9">
        <v>18377284</v>
      </c>
      <c r="AR197" s="9">
        <v>28823128</v>
      </c>
      <c r="AS197" s="9">
        <v>38920713</v>
      </c>
      <c r="AT197" s="9">
        <v>46611812</v>
      </c>
      <c r="AU197" s="9">
        <v>55507993</v>
      </c>
      <c r="AV197" s="9">
        <v>63860755</v>
      </c>
      <c r="AW197" s="9">
        <v>72542822</v>
      </c>
      <c r="AX197" s="9">
        <v>81131579</v>
      </c>
      <c r="AY197" s="9">
        <v>89675152</v>
      </c>
      <c r="AZ197" s="9">
        <v>95223840</v>
      </c>
      <c r="BA197" s="9">
        <v>103339429</v>
      </c>
      <c r="BB197" s="31">
        <v>103339429</v>
      </c>
      <c r="BC197" s="9">
        <v>12211117</v>
      </c>
      <c r="BD197" s="9">
        <v>19565230</v>
      </c>
      <c r="BE197" s="9">
        <v>29603779</v>
      </c>
      <c r="BF197" s="9">
        <v>39979451</v>
      </c>
      <c r="BG197" s="9">
        <v>51132501</v>
      </c>
      <c r="BH197" s="9">
        <v>63504258</v>
      </c>
      <c r="BI197" s="9">
        <v>74576987</v>
      </c>
      <c r="BJ197" s="9">
        <v>84938554</v>
      </c>
      <c r="BK197" s="9">
        <v>91640509</v>
      </c>
      <c r="BL197" s="9">
        <v>100046517</v>
      </c>
      <c r="BM197" s="9">
        <v>109661827</v>
      </c>
      <c r="BN197" s="9">
        <v>116560271</v>
      </c>
      <c r="BO197" s="31">
        <v>116560271</v>
      </c>
      <c r="BP197" s="9">
        <v>8014803</v>
      </c>
      <c r="BQ197" s="9">
        <v>14755182</v>
      </c>
      <c r="BR197" s="9">
        <v>25488306</v>
      </c>
      <c r="BS197" s="9">
        <v>36631078</v>
      </c>
      <c r="BT197" s="9">
        <v>47199416</v>
      </c>
      <c r="BU197" s="9">
        <v>56940784</v>
      </c>
      <c r="BV197" s="9">
        <v>69301889</v>
      </c>
      <c r="BW197" s="9">
        <v>74194267</v>
      </c>
      <c r="BX197" s="9">
        <v>81172291</v>
      </c>
      <c r="BY197" s="9">
        <v>85211986</v>
      </c>
      <c r="BZ197" s="9">
        <v>109236338</v>
      </c>
      <c r="CA197" s="9">
        <v>130762244</v>
      </c>
      <c r="CB197" s="31">
        <v>130762244</v>
      </c>
      <c r="CC197" s="9">
        <v>11122808</v>
      </c>
      <c r="CD197" s="9">
        <v>18753003</v>
      </c>
      <c r="CE197" s="9">
        <v>29394963</v>
      </c>
      <c r="CF197" s="9">
        <v>38993580</v>
      </c>
      <c r="CG197" s="9">
        <v>48429778</v>
      </c>
      <c r="CH197" s="9">
        <v>59466824</v>
      </c>
      <c r="CI197" s="9">
        <v>66599221</v>
      </c>
      <c r="CJ197" s="9">
        <v>75181586</v>
      </c>
      <c r="CK197" s="9">
        <v>84427122</v>
      </c>
      <c r="CL197" s="9">
        <v>101998482</v>
      </c>
      <c r="CM197" s="9">
        <v>128117885</v>
      </c>
      <c r="CN197" s="9">
        <v>134156410</v>
      </c>
      <c r="CO197" s="31">
        <v>134156410</v>
      </c>
      <c r="CP197" s="9">
        <v>6351658</v>
      </c>
      <c r="CQ197" s="9">
        <v>16507602</v>
      </c>
      <c r="CR197" s="9">
        <v>28226480</v>
      </c>
      <c r="CS197" s="9">
        <v>41249236</v>
      </c>
      <c r="CT197" s="9">
        <v>51149004</v>
      </c>
      <c r="CU197" s="9">
        <v>65193942</v>
      </c>
      <c r="CV197" s="9">
        <v>75559471</v>
      </c>
      <c r="CW197" s="9">
        <v>77732162</v>
      </c>
      <c r="CX197" s="9">
        <v>88178086</v>
      </c>
      <c r="CY197" s="9">
        <v>102216070</v>
      </c>
      <c r="CZ197" s="9">
        <v>121547308</v>
      </c>
      <c r="DA197" s="9">
        <v>135146453</v>
      </c>
      <c r="DB197" s="31">
        <v>135146453</v>
      </c>
      <c r="DC197" s="9">
        <v>8326701</v>
      </c>
      <c r="DD197" s="9">
        <v>16422114</v>
      </c>
      <c r="DE197" s="9">
        <v>26201458</v>
      </c>
      <c r="DF197" s="9">
        <v>35907394</v>
      </c>
      <c r="DG197" s="9">
        <v>52234360</v>
      </c>
      <c r="DH197" s="9">
        <v>71747829</v>
      </c>
      <c r="DI197" s="9">
        <v>85629512</v>
      </c>
      <c r="DJ197" s="9">
        <v>107494724</v>
      </c>
      <c r="DK197" s="9">
        <v>129632624</v>
      </c>
      <c r="DL197" s="9">
        <v>147748816</v>
      </c>
      <c r="DM197" s="9">
        <v>165947767</v>
      </c>
      <c r="DN197" s="9">
        <v>186522313</v>
      </c>
      <c r="DO197" s="31">
        <v>186522313</v>
      </c>
      <c r="DP197" s="9">
        <v>7979227</v>
      </c>
      <c r="DQ197" s="9">
        <v>17247246</v>
      </c>
      <c r="DR197" s="9">
        <v>39539929</v>
      </c>
      <c r="DS197" s="9">
        <v>59708311</v>
      </c>
      <c r="DT197" s="9">
        <v>77926389</v>
      </c>
      <c r="DU197" s="9">
        <v>98045046</v>
      </c>
      <c r="DV197" s="9">
        <v>114456060</v>
      </c>
      <c r="DW197" s="9">
        <v>132047132</v>
      </c>
      <c r="DX197" s="9">
        <v>150736133</v>
      </c>
      <c r="DY197" s="9">
        <v>165085094</v>
      </c>
      <c r="DZ197" s="9">
        <v>177490199</v>
      </c>
      <c r="EA197" s="9">
        <v>194128933</v>
      </c>
      <c r="EB197" s="31">
        <v>194128933</v>
      </c>
      <c r="EC197" s="9">
        <v>12686467</v>
      </c>
      <c r="ED197" s="9">
        <v>24545418</v>
      </c>
      <c r="EE197" s="9">
        <v>49075589</v>
      </c>
      <c r="EF197" s="9">
        <v>71299439</v>
      </c>
      <c r="EG197" s="9">
        <v>94126793</v>
      </c>
      <c r="EH197" s="9">
        <v>111391005</v>
      </c>
      <c r="EI197" s="9">
        <v>129375801</v>
      </c>
      <c r="EJ197" s="9">
        <v>135567630</v>
      </c>
      <c r="EK197" s="9">
        <v>154831290</v>
      </c>
      <c r="EL197" s="9">
        <v>180242526</v>
      </c>
      <c r="EM197" s="9">
        <v>204755167</v>
      </c>
      <c r="EN197" s="9">
        <v>225998740</v>
      </c>
      <c r="EO197" s="31">
        <v>225998740</v>
      </c>
      <c r="EP197" s="9">
        <v>22106404</v>
      </c>
      <c r="EQ197" s="9">
        <v>36262241</v>
      </c>
      <c r="ER197" s="9">
        <v>54408810</v>
      </c>
      <c r="ES197" s="9">
        <v>79334204</v>
      </c>
      <c r="ET197" s="9">
        <v>111134038</v>
      </c>
      <c r="EU197" s="9">
        <v>134827300</v>
      </c>
      <c r="EV197" s="9">
        <v>162124111</v>
      </c>
      <c r="EW197" s="9">
        <v>188041199</v>
      </c>
      <c r="EX197" s="9">
        <v>212529317</v>
      </c>
      <c r="EY197" s="9">
        <v>239220849</v>
      </c>
      <c r="EZ197" s="9">
        <v>258245155</v>
      </c>
      <c r="FA197" s="9">
        <v>287372330</v>
      </c>
      <c r="FB197" s="31">
        <v>287372330</v>
      </c>
      <c r="FC197" s="9">
        <v>4835902</v>
      </c>
      <c r="FD197" s="9">
        <v>18553383</v>
      </c>
      <c r="FE197" s="9">
        <v>38606044</v>
      </c>
      <c r="FF197" s="9">
        <v>59545523</v>
      </c>
      <c r="FG197" s="9">
        <v>74303371</v>
      </c>
      <c r="FH197" s="9">
        <v>90892187</v>
      </c>
      <c r="FI197" s="9">
        <v>110960565</v>
      </c>
      <c r="FJ197" s="9">
        <v>110960565</v>
      </c>
      <c r="FK197" s="9">
        <v>110960565</v>
      </c>
      <c r="FL197" s="9">
        <v>110960565</v>
      </c>
      <c r="FM197" s="9">
        <v>110960565</v>
      </c>
      <c r="FN197" s="9">
        <v>110960565</v>
      </c>
      <c r="FO197" s="31">
        <v>110960565</v>
      </c>
    </row>
    <row r="198" spans="2:171" x14ac:dyDescent="0.3">
      <c r="B198" s="7" t="s">
        <v>54</v>
      </c>
      <c r="C198" s="9">
        <v>19602855</v>
      </c>
      <c r="D198" s="9">
        <v>38301924</v>
      </c>
      <c r="E198" s="9">
        <v>66051608</v>
      </c>
      <c r="F198" s="9">
        <v>87919123</v>
      </c>
      <c r="G198" s="9">
        <v>108528737</v>
      </c>
      <c r="H198" s="9">
        <v>132717771</v>
      </c>
      <c r="I198" s="9">
        <v>156378503</v>
      </c>
      <c r="J198" s="9">
        <v>175292900</v>
      </c>
      <c r="K198" s="9">
        <v>193952109</v>
      </c>
      <c r="L198" s="9">
        <v>214505999</v>
      </c>
      <c r="M198" s="9">
        <v>237735693</v>
      </c>
      <c r="N198" s="9">
        <v>261921473</v>
      </c>
      <c r="O198" s="31">
        <v>261921473</v>
      </c>
      <c r="P198" s="9">
        <v>15541548</v>
      </c>
      <c r="Q198" s="9">
        <v>31563750</v>
      </c>
      <c r="R198" s="9">
        <v>56319912</v>
      </c>
      <c r="S198" s="9">
        <v>76066976</v>
      </c>
      <c r="T198" s="9">
        <v>96704214</v>
      </c>
      <c r="U198" s="9">
        <v>120584151</v>
      </c>
      <c r="V198" s="9">
        <v>150394928</v>
      </c>
      <c r="W198" s="9">
        <v>169439736</v>
      </c>
      <c r="X198" s="9">
        <v>187467122</v>
      </c>
      <c r="Y198" s="9">
        <v>209205069</v>
      </c>
      <c r="Z198" s="9">
        <v>231707347</v>
      </c>
      <c r="AA198" s="9">
        <v>255946010</v>
      </c>
      <c r="AB198" s="31">
        <v>255946010</v>
      </c>
      <c r="AC198" s="9">
        <v>13270771</v>
      </c>
      <c r="AD198" s="9">
        <v>30516869</v>
      </c>
      <c r="AE198" s="9">
        <v>48622405</v>
      </c>
      <c r="AF198" s="9">
        <v>67315695</v>
      </c>
      <c r="AG198" s="9">
        <v>85243212</v>
      </c>
      <c r="AH198" s="9">
        <v>105163244</v>
      </c>
      <c r="AI198" s="9">
        <v>127499918</v>
      </c>
      <c r="AJ198" s="9">
        <v>148368914</v>
      </c>
      <c r="AK198" s="9">
        <v>170373247</v>
      </c>
      <c r="AL198" s="9">
        <v>190100855</v>
      </c>
      <c r="AM198" s="9">
        <v>208945878</v>
      </c>
      <c r="AN198" s="9">
        <v>235889106</v>
      </c>
      <c r="AO198" s="31">
        <v>235889106</v>
      </c>
      <c r="AP198" s="9">
        <v>20654977</v>
      </c>
      <c r="AQ198" s="9">
        <v>41112798</v>
      </c>
      <c r="AR198" s="9">
        <v>65456417</v>
      </c>
      <c r="AS198" s="9">
        <v>93047119</v>
      </c>
      <c r="AT198" s="9">
        <v>113882604</v>
      </c>
      <c r="AU198" s="9">
        <v>133962418</v>
      </c>
      <c r="AV198" s="9">
        <v>155331061</v>
      </c>
      <c r="AW198" s="9">
        <v>178036147</v>
      </c>
      <c r="AX198" s="9">
        <v>197571093</v>
      </c>
      <c r="AY198" s="9">
        <v>221632810</v>
      </c>
      <c r="AZ198" s="9">
        <v>226592365</v>
      </c>
      <c r="BA198" s="9">
        <v>248554771</v>
      </c>
      <c r="BB198" s="31">
        <v>248554771</v>
      </c>
      <c r="BC198" s="9">
        <v>39081119</v>
      </c>
      <c r="BD198" s="9">
        <v>58747288</v>
      </c>
      <c r="BE198" s="9">
        <v>81242318</v>
      </c>
      <c r="BF198" s="9">
        <v>106132024</v>
      </c>
      <c r="BG198" s="9">
        <v>136993257</v>
      </c>
      <c r="BH198" s="9">
        <v>163874651</v>
      </c>
      <c r="BI198" s="9">
        <v>197698719</v>
      </c>
      <c r="BJ198" s="9">
        <v>223573289</v>
      </c>
      <c r="BK198" s="9">
        <v>239109129</v>
      </c>
      <c r="BL198" s="9">
        <v>257779289</v>
      </c>
      <c r="BM198" s="9">
        <v>279592063</v>
      </c>
      <c r="BN198" s="9">
        <v>287871343</v>
      </c>
      <c r="BO198" s="31">
        <v>287871343</v>
      </c>
      <c r="BP198" s="9">
        <v>38803845</v>
      </c>
      <c r="BQ198" s="9">
        <v>61991389</v>
      </c>
      <c r="BR198" s="9">
        <v>83084702</v>
      </c>
      <c r="BS198" s="9">
        <v>106694467</v>
      </c>
      <c r="BT198" s="9">
        <v>128912955</v>
      </c>
      <c r="BU198" s="9">
        <v>150327001</v>
      </c>
      <c r="BV198" s="9">
        <v>172609744</v>
      </c>
      <c r="BW198" s="9">
        <v>197558829</v>
      </c>
      <c r="BX198" s="9">
        <v>215717611</v>
      </c>
      <c r="BY198" s="9">
        <v>260191993</v>
      </c>
      <c r="BZ198" s="9">
        <v>307120438</v>
      </c>
      <c r="CA198" s="9">
        <v>339538678</v>
      </c>
      <c r="CB198" s="31">
        <v>339538678</v>
      </c>
      <c r="CC198" s="9">
        <v>10551394</v>
      </c>
      <c r="CD198" s="9">
        <v>36187782</v>
      </c>
      <c r="CE198" s="9">
        <v>57163433</v>
      </c>
      <c r="CF198" s="9">
        <v>72890967</v>
      </c>
      <c r="CG198" s="9">
        <v>85160651</v>
      </c>
      <c r="CH198" s="9">
        <v>120573456</v>
      </c>
      <c r="CI198" s="9">
        <v>154283397</v>
      </c>
      <c r="CJ198" s="9">
        <v>183465117</v>
      </c>
      <c r="CK198" s="9">
        <v>215244413</v>
      </c>
      <c r="CL198" s="9">
        <v>261235976</v>
      </c>
      <c r="CM198" s="9">
        <v>279789607</v>
      </c>
      <c r="CN198" s="9">
        <v>304006483</v>
      </c>
      <c r="CO198" s="31">
        <v>304006483</v>
      </c>
      <c r="CP198" s="9">
        <v>9345086</v>
      </c>
      <c r="CQ198" s="9">
        <v>19611044</v>
      </c>
      <c r="CR198" s="9">
        <v>34869861</v>
      </c>
      <c r="CS198" s="9">
        <v>79019855</v>
      </c>
      <c r="CT198" s="9">
        <v>126152332</v>
      </c>
      <c r="CU198" s="9">
        <v>164602957</v>
      </c>
      <c r="CV198" s="9">
        <v>202555640</v>
      </c>
      <c r="CW198" s="9">
        <v>233946999</v>
      </c>
      <c r="CX198" s="9">
        <v>274945343</v>
      </c>
      <c r="CY198" s="9">
        <v>298069452</v>
      </c>
      <c r="CZ198" s="9">
        <v>316452594</v>
      </c>
      <c r="DA198" s="9">
        <v>368776478</v>
      </c>
      <c r="DB198" s="31">
        <v>368776478</v>
      </c>
      <c r="DC198" s="9">
        <v>5321216</v>
      </c>
      <c r="DD198" s="9">
        <v>32034708</v>
      </c>
      <c r="DE198" s="9">
        <v>53299357</v>
      </c>
      <c r="DF198" s="9">
        <v>110400639</v>
      </c>
      <c r="DG198" s="9">
        <v>144933597</v>
      </c>
      <c r="DH198" s="9">
        <v>194937179</v>
      </c>
      <c r="DI198" s="9">
        <v>248298409</v>
      </c>
      <c r="DJ198" s="9">
        <v>304415589</v>
      </c>
      <c r="DK198" s="9">
        <v>340222200</v>
      </c>
      <c r="DL198" s="9">
        <v>372076317</v>
      </c>
      <c r="DM198" s="9">
        <v>395326660</v>
      </c>
      <c r="DN198" s="9">
        <v>518521152</v>
      </c>
      <c r="DO198" s="31">
        <v>518521152</v>
      </c>
      <c r="DP198" s="9">
        <v>23536968</v>
      </c>
      <c r="DQ198" s="9">
        <v>58588353</v>
      </c>
      <c r="DR198" s="9">
        <v>108641563</v>
      </c>
      <c r="DS198" s="9">
        <v>156712075</v>
      </c>
      <c r="DT198" s="9">
        <v>222554942</v>
      </c>
      <c r="DU198" s="9">
        <v>276864718</v>
      </c>
      <c r="DV198" s="9">
        <v>316170380</v>
      </c>
      <c r="DW198" s="9">
        <v>347383885</v>
      </c>
      <c r="DX198" s="9">
        <v>385674138</v>
      </c>
      <c r="DY198" s="9">
        <v>403922336</v>
      </c>
      <c r="DZ198" s="9">
        <v>420391932</v>
      </c>
      <c r="EA198" s="9">
        <v>477314595</v>
      </c>
      <c r="EB198" s="31">
        <v>477314595</v>
      </c>
      <c r="EC198" s="9">
        <v>13932050</v>
      </c>
      <c r="ED198" s="9">
        <v>69714036</v>
      </c>
      <c r="EE198" s="9">
        <v>165822295</v>
      </c>
      <c r="EF198" s="9">
        <v>189254443</v>
      </c>
      <c r="EG198" s="9">
        <v>213392117</v>
      </c>
      <c r="EH198" s="9">
        <v>239297490</v>
      </c>
      <c r="EI198" s="9">
        <v>270768946</v>
      </c>
      <c r="EJ198" s="9">
        <v>315032346</v>
      </c>
      <c r="EK198" s="9">
        <v>341395094</v>
      </c>
      <c r="EL198" s="9">
        <v>373247210</v>
      </c>
      <c r="EM198" s="9">
        <v>440732281</v>
      </c>
      <c r="EN198" s="9">
        <v>535781681</v>
      </c>
      <c r="EO198" s="31">
        <v>535781681</v>
      </c>
      <c r="EP198" s="9">
        <v>33709746</v>
      </c>
      <c r="EQ198" s="9">
        <v>69484470</v>
      </c>
      <c r="ER198" s="9">
        <v>103309466</v>
      </c>
      <c r="ES198" s="9">
        <v>130144586</v>
      </c>
      <c r="ET198" s="9">
        <v>170634351</v>
      </c>
      <c r="EU198" s="9">
        <v>193140413</v>
      </c>
      <c r="EV198" s="9">
        <v>232936581</v>
      </c>
      <c r="EW198" s="9">
        <v>244416829</v>
      </c>
      <c r="EX198" s="9">
        <v>252509558</v>
      </c>
      <c r="EY198" s="9">
        <v>429677080</v>
      </c>
      <c r="EZ198" s="9">
        <v>441369162</v>
      </c>
      <c r="FA198" s="9">
        <v>523505059</v>
      </c>
      <c r="FB198" s="31">
        <v>523505059</v>
      </c>
      <c r="FC198" s="9">
        <v>22797644</v>
      </c>
      <c r="FD198" s="9">
        <v>55194134</v>
      </c>
      <c r="FE198" s="9">
        <v>104351099</v>
      </c>
      <c r="FF198" s="9">
        <v>231507617</v>
      </c>
      <c r="FG198" s="9">
        <v>359592895</v>
      </c>
      <c r="FH198" s="9">
        <v>406681052</v>
      </c>
      <c r="FI198" s="9">
        <v>458549946</v>
      </c>
      <c r="FJ198" s="9">
        <v>458549946</v>
      </c>
      <c r="FK198" s="9">
        <v>458549946</v>
      </c>
      <c r="FL198" s="9">
        <v>458549946</v>
      </c>
      <c r="FM198" s="9">
        <v>458549946</v>
      </c>
      <c r="FN198" s="9">
        <v>458549946</v>
      </c>
      <c r="FO198" s="31">
        <v>458549946</v>
      </c>
    </row>
    <row r="199" spans="2:171" x14ac:dyDescent="0.3">
      <c r="B199" s="7" t="s">
        <v>55</v>
      </c>
      <c r="C199" s="9">
        <v>8419368</v>
      </c>
      <c r="D199" s="9">
        <v>15733129</v>
      </c>
      <c r="E199" s="9">
        <v>21393022</v>
      </c>
      <c r="F199" s="9">
        <v>30024242</v>
      </c>
      <c r="G199" s="9">
        <v>36349366</v>
      </c>
      <c r="H199" s="9">
        <v>42861725</v>
      </c>
      <c r="I199" s="9">
        <v>49017672</v>
      </c>
      <c r="J199" s="9">
        <v>56232005</v>
      </c>
      <c r="K199" s="9">
        <v>62722446</v>
      </c>
      <c r="L199" s="9">
        <v>69523879</v>
      </c>
      <c r="M199" s="9">
        <v>75701498</v>
      </c>
      <c r="N199" s="9">
        <v>85897244</v>
      </c>
      <c r="O199" s="31">
        <v>85897244</v>
      </c>
      <c r="P199" s="9">
        <v>2735359</v>
      </c>
      <c r="Q199" s="9">
        <v>8071788</v>
      </c>
      <c r="R199" s="9">
        <v>13308685</v>
      </c>
      <c r="S199" s="9">
        <v>18978008</v>
      </c>
      <c r="T199" s="9">
        <v>25823342</v>
      </c>
      <c r="U199" s="9">
        <v>35763722</v>
      </c>
      <c r="V199" s="9">
        <v>40827943</v>
      </c>
      <c r="W199" s="9">
        <v>45366317</v>
      </c>
      <c r="X199" s="9">
        <v>49816231</v>
      </c>
      <c r="Y199" s="9">
        <v>55297091</v>
      </c>
      <c r="Z199" s="9">
        <v>64271555</v>
      </c>
      <c r="AA199" s="9">
        <v>68689437</v>
      </c>
      <c r="AB199" s="31">
        <v>68689437</v>
      </c>
      <c r="AC199" s="9">
        <v>4045916</v>
      </c>
      <c r="AD199" s="9">
        <v>10744869</v>
      </c>
      <c r="AE199" s="9">
        <v>17378760</v>
      </c>
      <c r="AF199" s="9">
        <v>23562001</v>
      </c>
      <c r="AG199" s="9">
        <v>28900589</v>
      </c>
      <c r="AH199" s="9">
        <v>33747809</v>
      </c>
      <c r="AI199" s="9">
        <v>40322884</v>
      </c>
      <c r="AJ199" s="9">
        <v>45576063</v>
      </c>
      <c r="AK199" s="9">
        <v>51813050</v>
      </c>
      <c r="AL199" s="9">
        <v>58536741</v>
      </c>
      <c r="AM199" s="9">
        <v>66169277</v>
      </c>
      <c r="AN199" s="9">
        <v>74060094</v>
      </c>
      <c r="AO199" s="31">
        <v>74060094</v>
      </c>
      <c r="AP199" s="9">
        <v>3841423</v>
      </c>
      <c r="AQ199" s="9">
        <v>8703529</v>
      </c>
      <c r="AR199" s="9">
        <v>14075283</v>
      </c>
      <c r="AS199" s="9">
        <v>19870036</v>
      </c>
      <c r="AT199" s="9">
        <v>28126361</v>
      </c>
      <c r="AU199" s="9">
        <v>37505692</v>
      </c>
      <c r="AV199" s="9">
        <v>45260416</v>
      </c>
      <c r="AW199" s="9">
        <v>50506287</v>
      </c>
      <c r="AX199" s="9">
        <v>58211426</v>
      </c>
      <c r="AY199" s="9">
        <v>61822797</v>
      </c>
      <c r="AZ199" s="9">
        <v>71843810</v>
      </c>
      <c r="BA199" s="9">
        <v>74523631</v>
      </c>
      <c r="BB199" s="31">
        <v>74523631</v>
      </c>
      <c r="BC199" s="9">
        <v>7875887</v>
      </c>
      <c r="BD199" s="9">
        <v>19185133</v>
      </c>
      <c r="BE199" s="9">
        <v>24666117</v>
      </c>
      <c r="BF199" s="9">
        <v>30083430</v>
      </c>
      <c r="BG199" s="9">
        <v>36036196</v>
      </c>
      <c r="BH199" s="9">
        <v>40187445</v>
      </c>
      <c r="BI199" s="9">
        <v>43705702</v>
      </c>
      <c r="BJ199" s="9">
        <v>50305705</v>
      </c>
      <c r="BK199" s="9">
        <v>57212027</v>
      </c>
      <c r="BL199" s="9">
        <v>61577500</v>
      </c>
      <c r="BM199" s="9">
        <v>66370331</v>
      </c>
      <c r="BN199" s="9">
        <v>68679127</v>
      </c>
      <c r="BO199" s="31">
        <v>68679127</v>
      </c>
      <c r="BP199" s="9">
        <v>11797571</v>
      </c>
      <c r="BQ199" s="9">
        <v>19661722</v>
      </c>
      <c r="BR199" s="9">
        <v>23630175</v>
      </c>
      <c r="BS199" s="9">
        <v>32123282</v>
      </c>
      <c r="BT199" s="9">
        <v>39257151</v>
      </c>
      <c r="BU199" s="9">
        <v>45183394</v>
      </c>
      <c r="BV199" s="9">
        <v>54895052</v>
      </c>
      <c r="BW199" s="9">
        <v>58105529</v>
      </c>
      <c r="BX199" s="9">
        <v>63820582</v>
      </c>
      <c r="BY199" s="9">
        <v>70049017</v>
      </c>
      <c r="BZ199" s="9">
        <v>76807311</v>
      </c>
      <c r="CA199" s="9">
        <v>82684745</v>
      </c>
      <c r="CB199" s="31">
        <v>82684745</v>
      </c>
      <c r="CC199" s="9">
        <v>5666083</v>
      </c>
      <c r="CD199" s="9">
        <v>13317257</v>
      </c>
      <c r="CE199" s="9">
        <v>17212724</v>
      </c>
      <c r="CF199" s="9">
        <v>20332459</v>
      </c>
      <c r="CG199" s="9">
        <v>23438752</v>
      </c>
      <c r="CH199" s="9">
        <v>27281265</v>
      </c>
      <c r="CI199" s="9">
        <v>30908961</v>
      </c>
      <c r="CJ199" s="9">
        <v>36389735</v>
      </c>
      <c r="CK199" s="9">
        <v>44449196</v>
      </c>
      <c r="CL199" s="9">
        <v>52167178</v>
      </c>
      <c r="CM199" s="9">
        <v>53167974</v>
      </c>
      <c r="CN199" s="9">
        <v>57883555</v>
      </c>
      <c r="CO199" s="31">
        <v>57883555</v>
      </c>
      <c r="CP199" s="9">
        <v>1509785</v>
      </c>
      <c r="CQ199" s="9">
        <v>7883527</v>
      </c>
      <c r="CR199" s="9">
        <v>27437963</v>
      </c>
      <c r="CS199" s="9">
        <v>28612703</v>
      </c>
      <c r="CT199" s="9">
        <v>37728982</v>
      </c>
      <c r="CU199" s="9">
        <v>51838624</v>
      </c>
      <c r="CV199" s="9">
        <v>58287841</v>
      </c>
      <c r="CW199" s="9">
        <v>60643805</v>
      </c>
      <c r="CX199" s="9">
        <v>63948911</v>
      </c>
      <c r="CY199" s="9">
        <v>87545391</v>
      </c>
      <c r="CZ199" s="9">
        <v>90508984</v>
      </c>
      <c r="DA199" s="9">
        <v>117182564</v>
      </c>
      <c r="DB199" s="31">
        <v>117182564</v>
      </c>
      <c r="DC199" s="9">
        <v>5267940</v>
      </c>
      <c r="DD199" s="9">
        <v>16368591</v>
      </c>
      <c r="DE199" s="9">
        <v>24633064</v>
      </c>
      <c r="DF199" s="9">
        <v>32649098</v>
      </c>
      <c r="DG199" s="9">
        <v>40095026</v>
      </c>
      <c r="DH199" s="9">
        <v>46667333</v>
      </c>
      <c r="DI199" s="9">
        <v>53816061</v>
      </c>
      <c r="DJ199" s="9">
        <v>58941241</v>
      </c>
      <c r="DK199" s="9">
        <v>66511428</v>
      </c>
      <c r="DL199" s="9">
        <v>71555661</v>
      </c>
      <c r="DM199" s="9">
        <v>79141347</v>
      </c>
      <c r="DN199" s="9">
        <v>98418441</v>
      </c>
      <c r="DO199" s="31">
        <v>98418441</v>
      </c>
      <c r="DP199" s="9">
        <v>4619488</v>
      </c>
      <c r="DQ199" s="9">
        <v>13392603</v>
      </c>
      <c r="DR199" s="9">
        <v>21717523</v>
      </c>
      <c r="DS199" s="9">
        <v>27845262</v>
      </c>
      <c r="DT199" s="9">
        <v>38754611</v>
      </c>
      <c r="DU199" s="9">
        <v>46995036</v>
      </c>
      <c r="DV199" s="9">
        <v>56689660</v>
      </c>
      <c r="DW199" s="9">
        <v>68763033</v>
      </c>
      <c r="DX199" s="9">
        <v>80799759</v>
      </c>
      <c r="DY199" s="9">
        <v>97919803</v>
      </c>
      <c r="DZ199" s="9">
        <v>101485485</v>
      </c>
      <c r="EA199" s="9">
        <v>115441003</v>
      </c>
      <c r="EB199" s="31">
        <v>115441003</v>
      </c>
      <c r="EC199" s="9">
        <v>2077256</v>
      </c>
      <c r="ED199" s="9">
        <v>17758152</v>
      </c>
      <c r="EE199" s="9">
        <v>33675330</v>
      </c>
      <c r="EF199" s="9">
        <v>50489959</v>
      </c>
      <c r="EG199" s="9">
        <v>64323146</v>
      </c>
      <c r="EH199" s="9">
        <v>79364680</v>
      </c>
      <c r="EI199" s="9">
        <v>92846687</v>
      </c>
      <c r="EJ199" s="9">
        <v>107293597</v>
      </c>
      <c r="EK199" s="9">
        <v>123138744</v>
      </c>
      <c r="EL199" s="9">
        <v>136296607</v>
      </c>
      <c r="EM199" s="9">
        <v>149041494</v>
      </c>
      <c r="EN199" s="9">
        <v>172843913</v>
      </c>
      <c r="EO199" s="31">
        <v>172843913</v>
      </c>
      <c r="EP199" s="9">
        <v>7470658</v>
      </c>
      <c r="EQ199" s="9">
        <v>22720400</v>
      </c>
      <c r="ER199" s="9">
        <v>39708542</v>
      </c>
      <c r="ES199" s="9">
        <v>44738825</v>
      </c>
      <c r="ET199" s="9">
        <v>59192286</v>
      </c>
      <c r="EU199" s="9">
        <v>71701052</v>
      </c>
      <c r="EV199" s="9">
        <v>87762174</v>
      </c>
      <c r="EW199" s="9">
        <v>99403113</v>
      </c>
      <c r="EX199" s="9">
        <v>111336525</v>
      </c>
      <c r="EY199" s="9">
        <v>123533240</v>
      </c>
      <c r="EZ199" s="9">
        <v>134927511</v>
      </c>
      <c r="FA199" s="9">
        <v>162493297</v>
      </c>
      <c r="FB199" s="31">
        <v>162493297</v>
      </c>
      <c r="FC199" s="9">
        <v>496731</v>
      </c>
      <c r="FD199" s="9">
        <v>14554000</v>
      </c>
      <c r="FE199" s="9">
        <v>24028231</v>
      </c>
      <c r="FF199" s="9">
        <v>42818307</v>
      </c>
      <c r="FG199" s="9">
        <v>70937938</v>
      </c>
      <c r="FH199" s="9">
        <v>85576238</v>
      </c>
      <c r="FI199" s="9">
        <v>93401575</v>
      </c>
      <c r="FJ199" s="9">
        <v>93401575</v>
      </c>
      <c r="FK199" s="9">
        <v>93401575</v>
      </c>
      <c r="FL199" s="9">
        <v>93401575</v>
      </c>
      <c r="FM199" s="9">
        <v>93401575</v>
      </c>
      <c r="FN199" s="9">
        <v>93401575</v>
      </c>
      <c r="FO199" s="31">
        <v>93401575</v>
      </c>
    </row>
    <row r="200" spans="2:171" x14ac:dyDescent="0.3">
      <c r="B200" s="7" t="s">
        <v>56</v>
      </c>
      <c r="C200" s="9">
        <v>11556691</v>
      </c>
      <c r="D200" s="9">
        <v>22848950</v>
      </c>
      <c r="E200" s="9">
        <v>33742193</v>
      </c>
      <c r="F200" s="9">
        <v>48450779</v>
      </c>
      <c r="G200" s="9">
        <v>58198503</v>
      </c>
      <c r="H200" s="9">
        <v>68963982</v>
      </c>
      <c r="I200" s="9">
        <v>77861352</v>
      </c>
      <c r="J200" s="9">
        <v>89644698</v>
      </c>
      <c r="K200" s="9">
        <v>99174547</v>
      </c>
      <c r="L200" s="9">
        <v>112253643</v>
      </c>
      <c r="M200" s="9">
        <v>121910174</v>
      </c>
      <c r="N200" s="9">
        <v>129298729</v>
      </c>
      <c r="O200" s="31">
        <v>129298729</v>
      </c>
      <c r="P200" s="9">
        <v>9971948</v>
      </c>
      <c r="Q200" s="9">
        <v>21388655</v>
      </c>
      <c r="R200" s="9">
        <v>33339109</v>
      </c>
      <c r="S200" s="9">
        <v>43072246</v>
      </c>
      <c r="T200" s="9">
        <v>56875164</v>
      </c>
      <c r="U200" s="9">
        <v>65919318</v>
      </c>
      <c r="V200" s="9">
        <v>72613663</v>
      </c>
      <c r="W200" s="9">
        <v>81612543</v>
      </c>
      <c r="X200" s="9">
        <v>88340819</v>
      </c>
      <c r="Y200" s="9">
        <v>97253337</v>
      </c>
      <c r="Z200" s="9">
        <v>106419264</v>
      </c>
      <c r="AA200" s="9">
        <v>115785770</v>
      </c>
      <c r="AB200" s="31">
        <v>115785770</v>
      </c>
      <c r="AC200" s="9">
        <v>9160871</v>
      </c>
      <c r="AD200" s="9">
        <v>17009196</v>
      </c>
      <c r="AE200" s="9">
        <v>26819637</v>
      </c>
      <c r="AF200" s="9">
        <v>37271490</v>
      </c>
      <c r="AG200" s="9">
        <v>47355843</v>
      </c>
      <c r="AH200" s="9">
        <v>56684183</v>
      </c>
      <c r="AI200" s="9">
        <v>64292903</v>
      </c>
      <c r="AJ200" s="9">
        <v>73554712</v>
      </c>
      <c r="AK200" s="9">
        <v>84911006</v>
      </c>
      <c r="AL200" s="9">
        <v>94393904</v>
      </c>
      <c r="AM200" s="9">
        <v>102125063</v>
      </c>
      <c r="AN200" s="9">
        <v>120336407</v>
      </c>
      <c r="AO200" s="31">
        <v>120336407</v>
      </c>
      <c r="AP200" s="9">
        <v>9655550</v>
      </c>
      <c r="AQ200" s="9">
        <v>20048643</v>
      </c>
      <c r="AR200" s="9">
        <v>29382742</v>
      </c>
      <c r="AS200" s="9">
        <v>36610020</v>
      </c>
      <c r="AT200" s="9">
        <v>45959387</v>
      </c>
      <c r="AU200" s="9">
        <v>55227352</v>
      </c>
      <c r="AV200" s="9">
        <v>64401719</v>
      </c>
      <c r="AW200" s="9">
        <v>74592476</v>
      </c>
      <c r="AX200" s="9">
        <v>84377516</v>
      </c>
      <c r="AY200" s="9">
        <v>93061082</v>
      </c>
      <c r="AZ200" s="9">
        <v>100771741</v>
      </c>
      <c r="BA200" s="9">
        <v>108711281</v>
      </c>
      <c r="BB200" s="31">
        <v>108711281</v>
      </c>
      <c r="BC200" s="9">
        <v>9248197</v>
      </c>
      <c r="BD200" s="9">
        <v>17205877</v>
      </c>
      <c r="BE200" s="9">
        <v>23288652</v>
      </c>
      <c r="BF200" s="9">
        <v>29530660</v>
      </c>
      <c r="BG200" s="9">
        <v>37657244</v>
      </c>
      <c r="BH200" s="9">
        <v>47956109</v>
      </c>
      <c r="BI200" s="9">
        <v>56328548</v>
      </c>
      <c r="BJ200" s="9">
        <v>64819861</v>
      </c>
      <c r="BK200" s="9">
        <v>72886557</v>
      </c>
      <c r="BL200" s="9">
        <v>80433593</v>
      </c>
      <c r="BM200" s="9">
        <v>90447533</v>
      </c>
      <c r="BN200" s="9">
        <v>95482641</v>
      </c>
      <c r="BO200" s="31">
        <v>95482641</v>
      </c>
      <c r="BP200" s="9">
        <v>8051072</v>
      </c>
      <c r="BQ200" s="9">
        <v>18272170</v>
      </c>
      <c r="BR200" s="9">
        <v>29931223</v>
      </c>
      <c r="BS200" s="9">
        <v>40101711</v>
      </c>
      <c r="BT200" s="9">
        <v>51758742</v>
      </c>
      <c r="BU200" s="9">
        <v>59499597</v>
      </c>
      <c r="BV200" s="9">
        <v>67771204</v>
      </c>
      <c r="BW200" s="9">
        <v>77033345</v>
      </c>
      <c r="BX200" s="9">
        <v>82320839</v>
      </c>
      <c r="BY200" s="9">
        <v>92671354</v>
      </c>
      <c r="BZ200" s="9">
        <v>111212400</v>
      </c>
      <c r="CA200" s="9">
        <v>122255665</v>
      </c>
      <c r="CB200" s="31">
        <v>122255665</v>
      </c>
      <c r="CC200" s="9">
        <v>5038201</v>
      </c>
      <c r="CD200" s="9">
        <v>11067737</v>
      </c>
      <c r="CE200" s="9">
        <v>23660982</v>
      </c>
      <c r="CF200" s="9">
        <v>35389117</v>
      </c>
      <c r="CG200" s="9">
        <v>46633627</v>
      </c>
      <c r="CH200" s="9">
        <v>58481058</v>
      </c>
      <c r="CI200" s="9">
        <v>67197911</v>
      </c>
      <c r="CJ200" s="9">
        <v>74040588</v>
      </c>
      <c r="CK200" s="9">
        <v>84457155</v>
      </c>
      <c r="CL200" s="9">
        <v>103725768</v>
      </c>
      <c r="CM200" s="9">
        <v>119685353</v>
      </c>
      <c r="CN200" s="9">
        <v>133669481</v>
      </c>
      <c r="CO200" s="31">
        <v>133669481</v>
      </c>
      <c r="CP200" s="9">
        <v>4908497</v>
      </c>
      <c r="CQ200" s="9">
        <v>19914372</v>
      </c>
      <c r="CR200" s="9">
        <v>36962317</v>
      </c>
      <c r="CS200" s="9">
        <v>42406187</v>
      </c>
      <c r="CT200" s="9">
        <v>53378375</v>
      </c>
      <c r="CU200" s="9">
        <v>64886915</v>
      </c>
      <c r="CV200" s="9">
        <v>72038953</v>
      </c>
      <c r="CW200" s="9">
        <v>81842896</v>
      </c>
      <c r="CX200" s="9">
        <v>97847611</v>
      </c>
      <c r="CY200" s="9">
        <v>108528906</v>
      </c>
      <c r="CZ200" s="9">
        <v>121174010</v>
      </c>
      <c r="DA200" s="9">
        <v>136022493</v>
      </c>
      <c r="DB200" s="31">
        <v>136022493</v>
      </c>
      <c r="DC200" s="9">
        <v>3888707</v>
      </c>
      <c r="DD200" s="9">
        <v>16500846</v>
      </c>
      <c r="DE200" s="9">
        <v>34479891</v>
      </c>
      <c r="DF200" s="9">
        <v>49536599</v>
      </c>
      <c r="DG200" s="9">
        <v>58303130</v>
      </c>
      <c r="DH200" s="9">
        <v>72988417</v>
      </c>
      <c r="DI200" s="9">
        <v>85887696</v>
      </c>
      <c r="DJ200" s="9">
        <v>96045561</v>
      </c>
      <c r="DK200" s="9">
        <v>117796565</v>
      </c>
      <c r="DL200" s="9">
        <v>133613812</v>
      </c>
      <c r="DM200" s="9">
        <v>150370747</v>
      </c>
      <c r="DN200" s="9">
        <v>167553004</v>
      </c>
      <c r="DO200" s="31">
        <v>167553004</v>
      </c>
      <c r="DP200" s="9">
        <v>9675886</v>
      </c>
      <c r="DQ200" s="9">
        <v>39025370</v>
      </c>
      <c r="DR200" s="9">
        <v>61094829</v>
      </c>
      <c r="DS200" s="9">
        <v>78980646</v>
      </c>
      <c r="DT200" s="9">
        <v>98884750</v>
      </c>
      <c r="DU200" s="9">
        <v>118562390</v>
      </c>
      <c r="DV200" s="9">
        <v>140376626</v>
      </c>
      <c r="DW200" s="9">
        <v>155470001</v>
      </c>
      <c r="DX200" s="9">
        <v>171436025</v>
      </c>
      <c r="DY200" s="9">
        <v>186851186</v>
      </c>
      <c r="DZ200" s="9">
        <v>195956774</v>
      </c>
      <c r="EA200" s="9">
        <v>218584182</v>
      </c>
      <c r="EB200" s="31">
        <v>218584182</v>
      </c>
      <c r="EC200" s="9">
        <v>10414831</v>
      </c>
      <c r="ED200" s="9">
        <v>28448140</v>
      </c>
      <c r="EE200" s="9">
        <v>51895141</v>
      </c>
      <c r="EF200" s="9">
        <v>75798053</v>
      </c>
      <c r="EG200" s="9">
        <v>102215479</v>
      </c>
      <c r="EH200" s="9">
        <v>123016557</v>
      </c>
      <c r="EI200" s="9">
        <v>136203537</v>
      </c>
      <c r="EJ200" s="9">
        <v>154072506</v>
      </c>
      <c r="EK200" s="9">
        <v>163417590</v>
      </c>
      <c r="EL200" s="9">
        <v>174338206</v>
      </c>
      <c r="EM200" s="9">
        <v>186753673</v>
      </c>
      <c r="EN200" s="9">
        <v>213325058</v>
      </c>
      <c r="EO200" s="31">
        <v>213325058</v>
      </c>
      <c r="EP200" s="9">
        <v>10695159</v>
      </c>
      <c r="EQ200" s="9">
        <v>30123853</v>
      </c>
      <c r="ER200" s="9">
        <v>45296845</v>
      </c>
      <c r="ES200" s="9">
        <v>65184548</v>
      </c>
      <c r="ET200" s="9">
        <v>96939362</v>
      </c>
      <c r="EU200" s="9">
        <v>122396923</v>
      </c>
      <c r="EV200" s="9">
        <v>137903047</v>
      </c>
      <c r="EW200" s="9">
        <v>161882567</v>
      </c>
      <c r="EX200" s="9">
        <v>202973225</v>
      </c>
      <c r="EY200" s="9">
        <v>228456187</v>
      </c>
      <c r="EZ200" s="9">
        <v>238079058</v>
      </c>
      <c r="FA200" s="9">
        <v>253423423</v>
      </c>
      <c r="FB200" s="31">
        <v>253423423</v>
      </c>
      <c r="FC200" s="9">
        <v>13535323</v>
      </c>
      <c r="FD200" s="9">
        <v>42286424</v>
      </c>
      <c r="FE200" s="9">
        <v>70763311</v>
      </c>
      <c r="FF200" s="9">
        <v>97625029</v>
      </c>
      <c r="FG200" s="9">
        <v>125291606</v>
      </c>
      <c r="FH200" s="9">
        <v>139948649</v>
      </c>
      <c r="FI200" s="9">
        <v>167840837</v>
      </c>
      <c r="FJ200" s="9">
        <v>167840837</v>
      </c>
      <c r="FK200" s="9">
        <v>167840837</v>
      </c>
      <c r="FL200" s="9">
        <v>167840837</v>
      </c>
      <c r="FM200" s="9">
        <v>167840837</v>
      </c>
      <c r="FN200" s="9">
        <v>167840837</v>
      </c>
      <c r="FO200" s="31">
        <v>167840837</v>
      </c>
    </row>
    <row r="201" spans="2:171" x14ac:dyDescent="0.3">
      <c r="B201" s="7" t="s">
        <v>57</v>
      </c>
      <c r="C201" s="9">
        <v>0</v>
      </c>
      <c r="D201" s="9">
        <v>0</v>
      </c>
      <c r="E201" s="9">
        <v>0</v>
      </c>
      <c r="F201" s="9">
        <v>0</v>
      </c>
      <c r="G201" s="9">
        <v>0</v>
      </c>
      <c r="H201" s="9">
        <v>0</v>
      </c>
      <c r="I201" s="9">
        <v>0</v>
      </c>
      <c r="J201" s="9">
        <v>0</v>
      </c>
      <c r="K201" s="9">
        <v>0</v>
      </c>
      <c r="L201" s="9">
        <v>0</v>
      </c>
      <c r="M201" s="9">
        <v>0</v>
      </c>
      <c r="N201" s="9">
        <v>0</v>
      </c>
      <c r="O201" s="31">
        <v>0</v>
      </c>
      <c r="P201" s="9">
        <v>0</v>
      </c>
      <c r="Q201" s="9">
        <v>0</v>
      </c>
      <c r="R201" s="9">
        <v>0</v>
      </c>
      <c r="S201" s="9">
        <v>0</v>
      </c>
      <c r="T201" s="9">
        <v>0</v>
      </c>
      <c r="U201" s="9">
        <v>0</v>
      </c>
      <c r="V201" s="9">
        <v>0</v>
      </c>
      <c r="W201" s="9">
        <v>0</v>
      </c>
      <c r="X201" s="9">
        <v>0</v>
      </c>
      <c r="Y201" s="9">
        <v>0</v>
      </c>
      <c r="Z201" s="9">
        <v>0</v>
      </c>
      <c r="AA201" s="9">
        <v>0</v>
      </c>
      <c r="AB201" s="31">
        <v>0</v>
      </c>
      <c r="AC201" s="9">
        <v>0</v>
      </c>
      <c r="AD201" s="9">
        <v>0</v>
      </c>
      <c r="AE201" s="9">
        <v>0</v>
      </c>
      <c r="AF201" s="9">
        <v>0</v>
      </c>
      <c r="AG201" s="9">
        <v>0</v>
      </c>
      <c r="AH201" s="9">
        <v>0</v>
      </c>
      <c r="AI201" s="9">
        <v>0</v>
      </c>
      <c r="AJ201" s="9">
        <v>0</v>
      </c>
      <c r="AK201" s="9">
        <v>0</v>
      </c>
      <c r="AL201" s="9">
        <v>0</v>
      </c>
      <c r="AM201" s="9">
        <v>0</v>
      </c>
      <c r="AN201" s="9">
        <v>0</v>
      </c>
      <c r="AO201" s="31">
        <v>0</v>
      </c>
      <c r="AP201" s="9">
        <v>0</v>
      </c>
      <c r="AQ201" s="9">
        <v>0</v>
      </c>
      <c r="AR201" s="9">
        <v>0</v>
      </c>
      <c r="AS201" s="9">
        <v>0</v>
      </c>
      <c r="AT201" s="9">
        <v>0</v>
      </c>
      <c r="AU201" s="9">
        <v>0</v>
      </c>
      <c r="AV201" s="9">
        <v>0</v>
      </c>
      <c r="AW201" s="9">
        <v>0</v>
      </c>
      <c r="AX201" s="9">
        <v>0</v>
      </c>
      <c r="AY201" s="9">
        <v>0</v>
      </c>
      <c r="AZ201" s="9">
        <v>0</v>
      </c>
      <c r="BA201" s="9">
        <v>0</v>
      </c>
      <c r="BB201" s="31">
        <v>0</v>
      </c>
      <c r="BC201" s="9">
        <v>0</v>
      </c>
      <c r="BD201" s="9">
        <v>0</v>
      </c>
      <c r="BE201" s="9">
        <v>0</v>
      </c>
      <c r="BF201" s="9">
        <v>0</v>
      </c>
      <c r="BG201" s="9">
        <v>0</v>
      </c>
      <c r="BH201" s="9">
        <v>0</v>
      </c>
      <c r="BI201" s="9">
        <v>0</v>
      </c>
      <c r="BJ201" s="9">
        <v>0</v>
      </c>
      <c r="BK201" s="9">
        <v>0</v>
      </c>
      <c r="BL201" s="9">
        <v>0</v>
      </c>
      <c r="BM201" s="9">
        <v>0</v>
      </c>
      <c r="BN201" s="9">
        <v>0</v>
      </c>
      <c r="BO201" s="31">
        <v>0</v>
      </c>
      <c r="BP201" s="9">
        <v>0</v>
      </c>
      <c r="BQ201" s="9">
        <v>0</v>
      </c>
      <c r="BR201" s="9">
        <v>0</v>
      </c>
      <c r="BS201" s="9">
        <v>0</v>
      </c>
      <c r="BT201" s="9">
        <v>3989</v>
      </c>
      <c r="BU201" s="9">
        <v>6415</v>
      </c>
      <c r="BV201" s="9">
        <v>65434</v>
      </c>
      <c r="BW201" s="9">
        <v>71693</v>
      </c>
      <c r="BX201" s="9">
        <v>92886</v>
      </c>
      <c r="BY201" s="9">
        <v>101939</v>
      </c>
      <c r="BZ201" s="9">
        <v>342180</v>
      </c>
      <c r="CA201" s="9">
        <v>920272</v>
      </c>
      <c r="CB201" s="31">
        <v>920272</v>
      </c>
      <c r="CC201" s="9">
        <v>103173</v>
      </c>
      <c r="CD201" s="9">
        <v>332433</v>
      </c>
      <c r="CE201" s="9">
        <v>905554</v>
      </c>
      <c r="CF201" s="9">
        <v>1313230</v>
      </c>
      <c r="CG201" s="9">
        <v>1811659</v>
      </c>
      <c r="CH201" s="9">
        <v>2765371</v>
      </c>
      <c r="CI201" s="9">
        <v>3657515</v>
      </c>
      <c r="CJ201" s="9">
        <v>4966141</v>
      </c>
      <c r="CK201" s="9">
        <v>6498178</v>
      </c>
      <c r="CL201" s="9">
        <v>9108298</v>
      </c>
      <c r="CM201" s="9">
        <v>9474707</v>
      </c>
      <c r="CN201" s="9">
        <v>14848044</v>
      </c>
      <c r="CO201" s="31">
        <v>14848044</v>
      </c>
      <c r="CP201" s="9">
        <v>1112628</v>
      </c>
      <c r="CQ201" s="9">
        <v>1820417</v>
      </c>
      <c r="CR201" s="9">
        <v>3087396</v>
      </c>
      <c r="CS201" s="9">
        <v>4469371</v>
      </c>
      <c r="CT201" s="9">
        <v>6612360</v>
      </c>
      <c r="CU201" s="9">
        <v>11698429</v>
      </c>
      <c r="CV201" s="9">
        <v>18622427</v>
      </c>
      <c r="CW201" s="9">
        <v>23151767</v>
      </c>
      <c r="CX201" s="9">
        <v>27046778</v>
      </c>
      <c r="CY201" s="9">
        <v>31654053</v>
      </c>
      <c r="CZ201" s="9">
        <v>34820803</v>
      </c>
      <c r="DA201" s="9">
        <v>47776157</v>
      </c>
      <c r="DB201" s="31">
        <v>47776157</v>
      </c>
      <c r="DC201" s="9">
        <v>1715775</v>
      </c>
      <c r="DD201" s="9">
        <v>7912951</v>
      </c>
      <c r="DE201" s="9">
        <v>13778168</v>
      </c>
      <c r="DF201" s="9">
        <v>19853925</v>
      </c>
      <c r="DG201" s="9">
        <v>27852128</v>
      </c>
      <c r="DH201" s="9">
        <v>36897811</v>
      </c>
      <c r="DI201" s="9">
        <v>44534198</v>
      </c>
      <c r="DJ201" s="9">
        <v>49731193</v>
      </c>
      <c r="DK201" s="9">
        <v>59397776</v>
      </c>
      <c r="DL201" s="9">
        <v>70700293</v>
      </c>
      <c r="DM201" s="9">
        <v>77013273</v>
      </c>
      <c r="DN201" s="9">
        <v>92051865</v>
      </c>
      <c r="DO201" s="31">
        <v>92051865</v>
      </c>
      <c r="DP201" s="9">
        <v>6893948</v>
      </c>
      <c r="DQ201" s="9">
        <v>14428172</v>
      </c>
      <c r="DR201" s="9">
        <v>27502757</v>
      </c>
      <c r="DS201" s="9">
        <v>41481975</v>
      </c>
      <c r="DT201" s="9">
        <v>55736154</v>
      </c>
      <c r="DU201" s="9">
        <v>65418176</v>
      </c>
      <c r="DV201" s="9">
        <v>74014693</v>
      </c>
      <c r="DW201" s="9">
        <v>83933709</v>
      </c>
      <c r="DX201" s="9">
        <v>96273800</v>
      </c>
      <c r="DY201" s="9">
        <v>107496661</v>
      </c>
      <c r="DZ201" s="9">
        <v>115380881</v>
      </c>
      <c r="EA201" s="9">
        <v>120433341</v>
      </c>
      <c r="EB201" s="31">
        <v>120433341</v>
      </c>
      <c r="EC201" s="9">
        <v>9985644</v>
      </c>
      <c r="ED201" s="9">
        <v>33656386</v>
      </c>
      <c r="EE201" s="9">
        <v>46979681</v>
      </c>
      <c r="EF201" s="9">
        <v>57964879</v>
      </c>
      <c r="EG201" s="9">
        <v>70106580</v>
      </c>
      <c r="EH201" s="9">
        <v>79203980</v>
      </c>
      <c r="EI201" s="9">
        <v>90537468</v>
      </c>
      <c r="EJ201" s="9">
        <v>102254609</v>
      </c>
      <c r="EK201" s="9">
        <v>116064328</v>
      </c>
      <c r="EL201" s="9">
        <v>125794171</v>
      </c>
      <c r="EM201" s="9">
        <v>137543512</v>
      </c>
      <c r="EN201" s="9">
        <v>154664738</v>
      </c>
      <c r="EO201" s="31">
        <v>154664738</v>
      </c>
      <c r="EP201" s="9">
        <v>28611159</v>
      </c>
      <c r="EQ201" s="9">
        <v>39909481</v>
      </c>
      <c r="ER201" s="9">
        <v>52927964</v>
      </c>
      <c r="ES201" s="9">
        <v>65192522</v>
      </c>
      <c r="ET201" s="9">
        <v>86454377</v>
      </c>
      <c r="EU201" s="9">
        <v>98598981</v>
      </c>
      <c r="EV201" s="9">
        <v>113816542</v>
      </c>
      <c r="EW201" s="9">
        <v>127509354</v>
      </c>
      <c r="EX201" s="9">
        <v>140306559</v>
      </c>
      <c r="EY201" s="9">
        <v>158756313</v>
      </c>
      <c r="EZ201" s="9">
        <v>175120543</v>
      </c>
      <c r="FA201" s="9">
        <v>187900119</v>
      </c>
      <c r="FB201" s="31">
        <v>187900119</v>
      </c>
      <c r="FC201" s="9">
        <v>13224552</v>
      </c>
      <c r="FD201" s="9">
        <v>24893159</v>
      </c>
      <c r="FE201" s="9">
        <v>36493871</v>
      </c>
      <c r="FF201" s="9">
        <v>46089523</v>
      </c>
      <c r="FG201" s="9">
        <v>65213454</v>
      </c>
      <c r="FH201" s="9">
        <v>80499873</v>
      </c>
      <c r="FI201" s="9">
        <v>94107030</v>
      </c>
      <c r="FJ201" s="9">
        <v>94107030</v>
      </c>
      <c r="FK201" s="9">
        <v>94107030</v>
      </c>
      <c r="FL201" s="9">
        <v>94107030</v>
      </c>
      <c r="FM201" s="9">
        <v>94107030</v>
      </c>
      <c r="FN201" s="9">
        <v>94107030</v>
      </c>
      <c r="FO201" s="31">
        <v>94107030</v>
      </c>
    </row>
    <row r="202" spans="2:171" x14ac:dyDescent="0.3">
      <c r="B202" s="7" t="s">
        <v>58</v>
      </c>
      <c r="C202" s="9">
        <v>14337930</v>
      </c>
      <c r="D202" s="9">
        <v>31338286</v>
      </c>
      <c r="E202" s="9">
        <v>47848479</v>
      </c>
      <c r="F202" s="9">
        <v>64787573</v>
      </c>
      <c r="G202" s="9">
        <v>81536091</v>
      </c>
      <c r="H202" s="9">
        <v>100483537</v>
      </c>
      <c r="I202" s="9">
        <v>115930417</v>
      </c>
      <c r="J202" s="9">
        <v>120568256</v>
      </c>
      <c r="K202" s="9">
        <v>137789606</v>
      </c>
      <c r="L202" s="9">
        <v>154850985</v>
      </c>
      <c r="M202" s="9">
        <v>173058555</v>
      </c>
      <c r="N202" s="9">
        <v>179012285</v>
      </c>
      <c r="O202" s="31">
        <v>179012285</v>
      </c>
      <c r="P202" s="9">
        <v>15064668</v>
      </c>
      <c r="Q202" s="9">
        <v>27658690</v>
      </c>
      <c r="R202" s="9">
        <v>40334136</v>
      </c>
      <c r="S202" s="9">
        <v>54979014</v>
      </c>
      <c r="T202" s="9">
        <v>69836534</v>
      </c>
      <c r="U202" s="9">
        <v>85802813</v>
      </c>
      <c r="V202" s="9">
        <v>100618639</v>
      </c>
      <c r="W202" s="9">
        <v>114485255</v>
      </c>
      <c r="X202" s="9">
        <v>128558864</v>
      </c>
      <c r="Y202" s="9">
        <v>142915556</v>
      </c>
      <c r="Z202" s="9">
        <v>159382451</v>
      </c>
      <c r="AA202" s="9">
        <v>173725392</v>
      </c>
      <c r="AB202" s="31">
        <v>173725392</v>
      </c>
      <c r="AC202" s="9">
        <v>11677349</v>
      </c>
      <c r="AD202" s="9">
        <v>25974228</v>
      </c>
      <c r="AE202" s="9">
        <v>42299157</v>
      </c>
      <c r="AF202" s="9">
        <v>59272093</v>
      </c>
      <c r="AG202" s="9">
        <v>76034686</v>
      </c>
      <c r="AH202" s="9">
        <v>92160963</v>
      </c>
      <c r="AI202" s="9">
        <v>107229746</v>
      </c>
      <c r="AJ202" s="9">
        <v>122663337</v>
      </c>
      <c r="AK202" s="9">
        <v>137402225</v>
      </c>
      <c r="AL202" s="9">
        <v>152350409</v>
      </c>
      <c r="AM202" s="9">
        <v>168243709</v>
      </c>
      <c r="AN202" s="9">
        <v>187271547</v>
      </c>
      <c r="AO202" s="31">
        <v>187271547</v>
      </c>
      <c r="AP202" s="9">
        <v>14690364</v>
      </c>
      <c r="AQ202" s="9">
        <v>32794860</v>
      </c>
      <c r="AR202" s="9">
        <v>52326504</v>
      </c>
      <c r="AS202" s="9">
        <v>71449067</v>
      </c>
      <c r="AT202" s="9">
        <v>92081285</v>
      </c>
      <c r="AU202" s="9">
        <v>111832766</v>
      </c>
      <c r="AV202" s="9">
        <v>130107732</v>
      </c>
      <c r="AW202" s="9">
        <v>144518610</v>
      </c>
      <c r="AX202" s="9">
        <v>155902246</v>
      </c>
      <c r="AY202" s="9">
        <v>167016079</v>
      </c>
      <c r="AZ202" s="9">
        <v>177924141</v>
      </c>
      <c r="BA202" s="9">
        <v>185551819</v>
      </c>
      <c r="BB202" s="31">
        <v>185551819</v>
      </c>
      <c r="BC202" s="9">
        <v>38433318</v>
      </c>
      <c r="BD202" s="9">
        <v>56614499</v>
      </c>
      <c r="BE202" s="9">
        <v>76549741</v>
      </c>
      <c r="BF202" s="9">
        <v>92819152</v>
      </c>
      <c r="BG202" s="9">
        <v>110173898</v>
      </c>
      <c r="BH202" s="9">
        <v>128520314</v>
      </c>
      <c r="BI202" s="9">
        <v>148277597</v>
      </c>
      <c r="BJ202" s="9">
        <v>162624958</v>
      </c>
      <c r="BK202" s="9">
        <v>173044504</v>
      </c>
      <c r="BL202" s="9">
        <v>178628642</v>
      </c>
      <c r="BM202" s="9">
        <v>187586467</v>
      </c>
      <c r="BN202" s="9">
        <v>194053390</v>
      </c>
      <c r="BO202" s="31">
        <v>194053390</v>
      </c>
      <c r="BP202" s="9">
        <v>34866037</v>
      </c>
      <c r="BQ202" s="9">
        <v>63335070</v>
      </c>
      <c r="BR202" s="9">
        <v>92527950</v>
      </c>
      <c r="BS202" s="9">
        <v>111242740</v>
      </c>
      <c r="BT202" s="9">
        <v>130791757</v>
      </c>
      <c r="BU202" s="9">
        <v>146772976</v>
      </c>
      <c r="BV202" s="9">
        <v>167877430</v>
      </c>
      <c r="BW202" s="9">
        <v>188088459</v>
      </c>
      <c r="BX202" s="9">
        <v>211744794</v>
      </c>
      <c r="BY202" s="9">
        <v>230139197</v>
      </c>
      <c r="BZ202" s="9">
        <v>240262223</v>
      </c>
      <c r="CA202" s="9">
        <v>267402652</v>
      </c>
      <c r="CB202" s="31">
        <v>267402652</v>
      </c>
      <c r="CC202" s="9">
        <v>12289183</v>
      </c>
      <c r="CD202" s="9">
        <v>29691331</v>
      </c>
      <c r="CE202" s="9">
        <v>51276949</v>
      </c>
      <c r="CF202" s="9">
        <v>69478441</v>
      </c>
      <c r="CG202" s="9">
        <v>86578232</v>
      </c>
      <c r="CH202" s="9">
        <v>110232277</v>
      </c>
      <c r="CI202" s="9">
        <v>128431144</v>
      </c>
      <c r="CJ202" s="9">
        <v>146019772</v>
      </c>
      <c r="CK202" s="9">
        <v>169108692</v>
      </c>
      <c r="CL202" s="9">
        <v>192256402</v>
      </c>
      <c r="CM202" s="9">
        <v>205405334</v>
      </c>
      <c r="CN202" s="9">
        <v>240821363</v>
      </c>
      <c r="CO202" s="31">
        <v>240821363</v>
      </c>
      <c r="CP202" s="9">
        <v>4469726</v>
      </c>
      <c r="CQ202" s="9">
        <v>18288930</v>
      </c>
      <c r="CR202" s="9">
        <v>39451629</v>
      </c>
      <c r="CS202" s="9">
        <v>67134654</v>
      </c>
      <c r="CT202" s="9">
        <v>85038572</v>
      </c>
      <c r="CU202" s="9">
        <v>106403754</v>
      </c>
      <c r="CV202" s="9">
        <v>127989975</v>
      </c>
      <c r="CW202" s="9">
        <v>151991671</v>
      </c>
      <c r="CX202" s="9">
        <v>167316036</v>
      </c>
      <c r="CY202" s="9">
        <v>187035458</v>
      </c>
      <c r="CZ202" s="9">
        <v>210543079</v>
      </c>
      <c r="DA202" s="9">
        <v>245579946</v>
      </c>
      <c r="DB202" s="31">
        <v>245579946</v>
      </c>
      <c r="DC202" s="9">
        <v>5117651</v>
      </c>
      <c r="DD202" s="9">
        <v>17115552</v>
      </c>
      <c r="DE202" s="9">
        <v>31880195</v>
      </c>
      <c r="DF202" s="9">
        <v>48888291</v>
      </c>
      <c r="DG202" s="9">
        <v>69797738</v>
      </c>
      <c r="DH202" s="9">
        <v>88586399</v>
      </c>
      <c r="DI202" s="9">
        <v>109775342</v>
      </c>
      <c r="DJ202" s="9">
        <v>129042835</v>
      </c>
      <c r="DK202" s="9">
        <v>151231000</v>
      </c>
      <c r="DL202" s="9">
        <v>174344358</v>
      </c>
      <c r="DM202" s="9">
        <v>195861382</v>
      </c>
      <c r="DN202" s="9">
        <v>225638317</v>
      </c>
      <c r="DO202" s="31">
        <v>225638317</v>
      </c>
      <c r="DP202" s="9">
        <v>16056194</v>
      </c>
      <c r="DQ202" s="9">
        <v>41222544</v>
      </c>
      <c r="DR202" s="9">
        <v>63366881</v>
      </c>
      <c r="DS202" s="9">
        <v>85671039</v>
      </c>
      <c r="DT202" s="9">
        <v>110685972</v>
      </c>
      <c r="DU202" s="9">
        <v>144009988</v>
      </c>
      <c r="DV202" s="9">
        <v>173154556</v>
      </c>
      <c r="DW202" s="9">
        <v>196743444</v>
      </c>
      <c r="DX202" s="9">
        <v>212546927</v>
      </c>
      <c r="DY202" s="9">
        <v>226090465</v>
      </c>
      <c r="DZ202" s="9">
        <v>240592515</v>
      </c>
      <c r="EA202" s="9">
        <v>254256843</v>
      </c>
      <c r="EB202" s="31">
        <v>254256843</v>
      </c>
      <c r="EC202" s="9">
        <v>16801881</v>
      </c>
      <c r="ED202" s="9">
        <v>39034586</v>
      </c>
      <c r="EE202" s="9">
        <v>63567984</v>
      </c>
      <c r="EF202" s="9">
        <v>83805715</v>
      </c>
      <c r="EG202" s="9">
        <v>111493586</v>
      </c>
      <c r="EH202" s="9">
        <v>143347207</v>
      </c>
      <c r="EI202" s="9">
        <v>170635795</v>
      </c>
      <c r="EJ202" s="9">
        <v>191294342</v>
      </c>
      <c r="EK202" s="9">
        <v>221604059</v>
      </c>
      <c r="EL202" s="9">
        <v>243733124</v>
      </c>
      <c r="EM202" s="9">
        <v>262463351</v>
      </c>
      <c r="EN202" s="9">
        <v>303859023</v>
      </c>
      <c r="EO202" s="31">
        <v>303859023</v>
      </c>
      <c r="EP202" s="9">
        <v>15482508</v>
      </c>
      <c r="EQ202" s="9">
        <v>37606929</v>
      </c>
      <c r="ER202" s="9">
        <v>63297120</v>
      </c>
      <c r="ES202" s="9">
        <v>97215716</v>
      </c>
      <c r="ET202" s="9">
        <v>131803517</v>
      </c>
      <c r="EU202" s="9">
        <v>152713246</v>
      </c>
      <c r="EV202" s="9">
        <v>179971380</v>
      </c>
      <c r="EW202" s="9">
        <v>207004515</v>
      </c>
      <c r="EX202" s="9">
        <v>231834310</v>
      </c>
      <c r="EY202" s="9">
        <v>258252891</v>
      </c>
      <c r="EZ202" s="9">
        <v>294780887</v>
      </c>
      <c r="FA202" s="9">
        <v>326807970</v>
      </c>
      <c r="FB202" s="31">
        <v>326807970</v>
      </c>
      <c r="FC202" s="9">
        <v>42099344</v>
      </c>
      <c r="FD202" s="9">
        <v>72721281</v>
      </c>
      <c r="FE202" s="9">
        <v>97228549</v>
      </c>
      <c r="FF202" s="9">
        <v>117747058</v>
      </c>
      <c r="FG202" s="9">
        <v>144931030</v>
      </c>
      <c r="FH202" s="9">
        <v>167161554</v>
      </c>
      <c r="FI202" s="9">
        <v>188004751</v>
      </c>
      <c r="FJ202" s="9">
        <v>188004751</v>
      </c>
      <c r="FK202" s="9">
        <v>188004751</v>
      </c>
      <c r="FL202" s="9">
        <v>188004751</v>
      </c>
      <c r="FM202" s="9">
        <v>188004751</v>
      </c>
      <c r="FN202" s="9">
        <v>188004751</v>
      </c>
      <c r="FO202" s="31">
        <v>188004751</v>
      </c>
    </row>
    <row r="203" spans="2:171" x14ac:dyDescent="0.3">
      <c r="B203" s="7" t="s">
        <v>59</v>
      </c>
      <c r="C203" s="9">
        <v>5238083</v>
      </c>
      <c r="D203" s="9">
        <v>10629167</v>
      </c>
      <c r="E203" s="9">
        <v>16038512</v>
      </c>
      <c r="F203" s="9">
        <v>24752155</v>
      </c>
      <c r="G203" s="9">
        <v>32947088</v>
      </c>
      <c r="H203" s="9">
        <v>40078832</v>
      </c>
      <c r="I203" s="9">
        <v>47120054</v>
      </c>
      <c r="J203" s="9">
        <v>53348450</v>
      </c>
      <c r="K203" s="9">
        <v>62701673</v>
      </c>
      <c r="L203" s="9">
        <v>69485183</v>
      </c>
      <c r="M203" s="9">
        <v>75922812</v>
      </c>
      <c r="N203" s="9">
        <v>82768332</v>
      </c>
      <c r="O203" s="31">
        <v>82768332</v>
      </c>
      <c r="P203" s="9">
        <v>5251051</v>
      </c>
      <c r="Q203" s="9">
        <v>11046450</v>
      </c>
      <c r="R203" s="9">
        <v>18826220</v>
      </c>
      <c r="S203" s="9">
        <v>27604039</v>
      </c>
      <c r="T203" s="9">
        <v>34952398</v>
      </c>
      <c r="U203" s="9">
        <v>43191854</v>
      </c>
      <c r="V203" s="9">
        <v>49078899</v>
      </c>
      <c r="W203" s="9">
        <v>55549726</v>
      </c>
      <c r="X203" s="9">
        <v>62629249</v>
      </c>
      <c r="Y203" s="9">
        <v>72407198</v>
      </c>
      <c r="Z203" s="9">
        <v>80783115</v>
      </c>
      <c r="AA203" s="9">
        <v>88223779</v>
      </c>
      <c r="AB203" s="31">
        <v>88223779</v>
      </c>
      <c r="AC203" s="9">
        <v>8278380</v>
      </c>
      <c r="AD203" s="9">
        <v>15713067</v>
      </c>
      <c r="AE203" s="9">
        <v>24865640</v>
      </c>
      <c r="AF203" s="9">
        <v>33583416</v>
      </c>
      <c r="AG203" s="9">
        <v>41655192</v>
      </c>
      <c r="AH203" s="9">
        <v>51137348</v>
      </c>
      <c r="AI203" s="9">
        <v>60336984</v>
      </c>
      <c r="AJ203" s="9">
        <v>69820306</v>
      </c>
      <c r="AK203" s="9">
        <v>79719891</v>
      </c>
      <c r="AL203" s="9">
        <v>90680282</v>
      </c>
      <c r="AM203" s="9">
        <v>99958449</v>
      </c>
      <c r="AN203" s="9">
        <v>108275708</v>
      </c>
      <c r="AO203" s="31">
        <v>108275708</v>
      </c>
      <c r="AP203" s="9">
        <v>10532379</v>
      </c>
      <c r="AQ203" s="9">
        <v>19816994</v>
      </c>
      <c r="AR203" s="9">
        <v>32874769</v>
      </c>
      <c r="AS203" s="9">
        <v>46509376</v>
      </c>
      <c r="AT203" s="9">
        <v>59919877</v>
      </c>
      <c r="AU203" s="9">
        <v>70449181</v>
      </c>
      <c r="AV203" s="9">
        <v>82000819</v>
      </c>
      <c r="AW203" s="9">
        <v>92489515</v>
      </c>
      <c r="AX203" s="9">
        <v>103530525</v>
      </c>
      <c r="AY203" s="9">
        <v>114037224</v>
      </c>
      <c r="AZ203" s="9">
        <v>125506138</v>
      </c>
      <c r="BA203" s="9">
        <v>128314767</v>
      </c>
      <c r="BB203" s="31">
        <v>128314767</v>
      </c>
      <c r="BC203" s="9">
        <v>13139145</v>
      </c>
      <c r="BD203" s="9">
        <v>20153147</v>
      </c>
      <c r="BE203" s="9">
        <v>31167452</v>
      </c>
      <c r="BF203" s="9">
        <v>44616533</v>
      </c>
      <c r="BG203" s="9">
        <v>61113264</v>
      </c>
      <c r="BH203" s="9">
        <v>72317262</v>
      </c>
      <c r="BI203" s="9">
        <v>83616285</v>
      </c>
      <c r="BJ203" s="9">
        <v>93996750</v>
      </c>
      <c r="BK203" s="9">
        <v>103483397</v>
      </c>
      <c r="BL203" s="9">
        <v>113029179</v>
      </c>
      <c r="BM203" s="9">
        <v>123137515</v>
      </c>
      <c r="BN203" s="9">
        <v>129541267</v>
      </c>
      <c r="BO203" s="31">
        <v>129541267</v>
      </c>
      <c r="BP203" s="9">
        <v>15383334</v>
      </c>
      <c r="BQ203" s="9">
        <v>26707743</v>
      </c>
      <c r="BR203" s="9">
        <v>35358503</v>
      </c>
      <c r="BS203" s="9">
        <v>44797849</v>
      </c>
      <c r="BT203" s="9">
        <v>54008784</v>
      </c>
      <c r="BU203" s="9">
        <v>63959205</v>
      </c>
      <c r="BV203" s="9">
        <v>76531084</v>
      </c>
      <c r="BW203" s="9">
        <v>94397439</v>
      </c>
      <c r="BX203" s="9">
        <v>106821946</v>
      </c>
      <c r="BY203" s="9">
        <v>119816999</v>
      </c>
      <c r="BZ203" s="9">
        <v>148146350</v>
      </c>
      <c r="CA203" s="9">
        <v>159798349</v>
      </c>
      <c r="CB203" s="31">
        <v>159798349</v>
      </c>
      <c r="CC203" s="9">
        <v>5628897</v>
      </c>
      <c r="CD203" s="9">
        <v>17832413</v>
      </c>
      <c r="CE203" s="9">
        <v>31826871</v>
      </c>
      <c r="CF203" s="9">
        <v>40571432</v>
      </c>
      <c r="CG203" s="9">
        <v>47615482</v>
      </c>
      <c r="CH203" s="9">
        <v>55213267</v>
      </c>
      <c r="CI203" s="9">
        <v>64276504</v>
      </c>
      <c r="CJ203" s="9">
        <v>72795882</v>
      </c>
      <c r="CK203" s="9">
        <v>79350534</v>
      </c>
      <c r="CL203" s="9">
        <v>114059769</v>
      </c>
      <c r="CM203" s="9">
        <v>122554279</v>
      </c>
      <c r="CN203" s="9">
        <v>146086902</v>
      </c>
      <c r="CO203" s="31">
        <v>146086902</v>
      </c>
      <c r="CP203" s="9">
        <v>2340494</v>
      </c>
      <c r="CQ203" s="9">
        <v>9045481</v>
      </c>
      <c r="CR203" s="9">
        <v>19458527</v>
      </c>
      <c r="CS203" s="9">
        <v>27984067</v>
      </c>
      <c r="CT203" s="9">
        <v>37145644</v>
      </c>
      <c r="CU203" s="9">
        <v>49894552</v>
      </c>
      <c r="CV203" s="9">
        <v>60347283</v>
      </c>
      <c r="CW203" s="9">
        <v>70574700</v>
      </c>
      <c r="CX203" s="9">
        <v>85319734</v>
      </c>
      <c r="CY203" s="9">
        <v>94333308</v>
      </c>
      <c r="CZ203" s="9">
        <v>104865659</v>
      </c>
      <c r="DA203" s="9">
        <v>129295070</v>
      </c>
      <c r="DB203" s="31">
        <v>129295070</v>
      </c>
      <c r="DC203" s="9">
        <v>2285449</v>
      </c>
      <c r="DD203" s="9">
        <v>11633690</v>
      </c>
      <c r="DE203" s="9">
        <v>25725792</v>
      </c>
      <c r="DF203" s="9">
        <v>35450068</v>
      </c>
      <c r="DG203" s="9">
        <v>45575902</v>
      </c>
      <c r="DH203" s="9">
        <v>55779612</v>
      </c>
      <c r="DI203" s="9">
        <v>66690010</v>
      </c>
      <c r="DJ203" s="9">
        <v>79787195</v>
      </c>
      <c r="DK203" s="9">
        <v>93335265</v>
      </c>
      <c r="DL203" s="9">
        <v>117521803</v>
      </c>
      <c r="DM203" s="9">
        <v>131464930</v>
      </c>
      <c r="DN203" s="9">
        <v>157535899</v>
      </c>
      <c r="DO203" s="31">
        <v>157535899</v>
      </c>
      <c r="DP203" s="9">
        <v>18467792</v>
      </c>
      <c r="DQ203" s="9">
        <v>29046120</v>
      </c>
      <c r="DR203" s="9">
        <v>42073518</v>
      </c>
      <c r="DS203" s="9">
        <v>57658678</v>
      </c>
      <c r="DT203" s="9">
        <v>72901834</v>
      </c>
      <c r="DU203" s="9">
        <v>93794032</v>
      </c>
      <c r="DV203" s="9">
        <v>109969868</v>
      </c>
      <c r="DW203" s="9">
        <v>125420876</v>
      </c>
      <c r="DX203" s="9">
        <v>138411021</v>
      </c>
      <c r="DY203" s="9">
        <v>162718437</v>
      </c>
      <c r="DZ203" s="9">
        <v>182769232</v>
      </c>
      <c r="EA203" s="9">
        <v>203570573</v>
      </c>
      <c r="EB203" s="31">
        <v>203570573</v>
      </c>
      <c r="EC203" s="9">
        <v>14035225</v>
      </c>
      <c r="ED203" s="9">
        <v>29300658</v>
      </c>
      <c r="EE203" s="9">
        <v>43671242</v>
      </c>
      <c r="EF203" s="9">
        <v>71151546</v>
      </c>
      <c r="EG203" s="9">
        <v>95182502</v>
      </c>
      <c r="EH203" s="9">
        <v>119487356</v>
      </c>
      <c r="EI203" s="9">
        <v>147752497</v>
      </c>
      <c r="EJ203" s="9">
        <v>173615266</v>
      </c>
      <c r="EK203" s="9">
        <v>202342446</v>
      </c>
      <c r="EL203" s="9">
        <v>223908095</v>
      </c>
      <c r="EM203" s="9">
        <v>238933037</v>
      </c>
      <c r="EN203" s="9">
        <v>265754901</v>
      </c>
      <c r="EO203" s="31">
        <v>265754901</v>
      </c>
      <c r="EP203" s="9">
        <v>16895290</v>
      </c>
      <c r="EQ203" s="9">
        <v>30452354</v>
      </c>
      <c r="ER203" s="9">
        <v>54449602</v>
      </c>
      <c r="ES203" s="9">
        <v>84978148</v>
      </c>
      <c r="ET203" s="9">
        <v>123274763</v>
      </c>
      <c r="EU203" s="9">
        <v>145553759</v>
      </c>
      <c r="EV203" s="9">
        <v>160017443</v>
      </c>
      <c r="EW203" s="9">
        <v>181643029</v>
      </c>
      <c r="EX203" s="9">
        <v>197691207</v>
      </c>
      <c r="EY203" s="9">
        <v>221568676</v>
      </c>
      <c r="EZ203" s="9">
        <v>250863655</v>
      </c>
      <c r="FA203" s="9">
        <v>281747040</v>
      </c>
      <c r="FB203" s="31">
        <v>281747040</v>
      </c>
      <c r="FC203" s="9">
        <v>13736465</v>
      </c>
      <c r="FD203" s="9">
        <v>31655446</v>
      </c>
      <c r="FE203" s="9">
        <v>54735404</v>
      </c>
      <c r="FF203" s="9">
        <v>73769159</v>
      </c>
      <c r="FG203" s="9">
        <v>90414953</v>
      </c>
      <c r="FH203" s="9">
        <v>125785512</v>
      </c>
      <c r="FI203" s="9">
        <v>159252866</v>
      </c>
      <c r="FJ203" s="9">
        <v>159252866</v>
      </c>
      <c r="FK203" s="9">
        <v>159252866</v>
      </c>
      <c r="FL203" s="9">
        <v>159252866</v>
      </c>
      <c r="FM203" s="9">
        <v>159252866</v>
      </c>
      <c r="FN203" s="9">
        <v>159252866</v>
      </c>
      <c r="FO203" s="31">
        <v>159252866</v>
      </c>
    </row>
    <row r="204" spans="2:171" x14ac:dyDescent="0.3">
      <c r="B204" s="7" t="s">
        <v>60</v>
      </c>
      <c r="C204" s="9">
        <v>1458507</v>
      </c>
      <c r="D204" s="9">
        <v>3485247</v>
      </c>
      <c r="E204" s="9">
        <v>5262886</v>
      </c>
      <c r="F204" s="9">
        <v>6622212</v>
      </c>
      <c r="G204" s="9">
        <v>8511483</v>
      </c>
      <c r="H204" s="9">
        <v>10280774</v>
      </c>
      <c r="I204" s="9">
        <v>12448661</v>
      </c>
      <c r="J204" s="9">
        <v>14550943</v>
      </c>
      <c r="K204" s="9">
        <v>17050845</v>
      </c>
      <c r="L204" s="9">
        <v>19083116</v>
      </c>
      <c r="M204" s="9">
        <v>21688748</v>
      </c>
      <c r="N204" s="9">
        <v>23528244</v>
      </c>
      <c r="O204" s="31">
        <v>23528244</v>
      </c>
      <c r="P204" s="9">
        <v>1175511</v>
      </c>
      <c r="Q204" s="9">
        <v>2910449</v>
      </c>
      <c r="R204" s="9">
        <v>4383211</v>
      </c>
      <c r="S204" s="9">
        <v>6609427</v>
      </c>
      <c r="T204" s="9">
        <v>8229842</v>
      </c>
      <c r="U204" s="9">
        <v>10395694</v>
      </c>
      <c r="V204" s="9">
        <v>12952798</v>
      </c>
      <c r="W204" s="9">
        <v>14836706</v>
      </c>
      <c r="X204" s="9">
        <v>17074814</v>
      </c>
      <c r="Y204" s="9">
        <v>18754258</v>
      </c>
      <c r="Z204" s="9">
        <v>21438436</v>
      </c>
      <c r="AA204" s="9">
        <v>23168481</v>
      </c>
      <c r="AB204" s="31">
        <v>23168481</v>
      </c>
      <c r="AC204" s="9">
        <v>488396</v>
      </c>
      <c r="AD204" s="9">
        <v>1768366</v>
      </c>
      <c r="AE204" s="9">
        <v>3504004</v>
      </c>
      <c r="AF204" s="9">
        <v>4884731</v>
      </c>
      <c r="AG204" s="9">
        <v>7214836</v>
      </c>
      <c r="AH204" s="9">
        <v>10228773</v>
      </c>
      <c r="AI204" s="9">
        <v>12970080</v>
      </c>
      <c r="AJ204" s="9">
        <v>15742636</v>
      </c>
      <c r="AK204" s="9">
        <v>18553946</v>
      </c>
      <c r="AL204" s="9">
        <v>20278023</v>
      </c>
      <c r="AM204" s="9">
        <v>23535173</v>
      </c>
      <c r="AN204" s="9">
        <v>29490343</v>
      </c>
      <c r="AO204" s="31">
        <v>29490343</v>
      </c>
      <c r="AP204" s="9">
        <v>656749</v>
      </c>
      <c r="AQ204" s="9">
        <v>3193192</v>
      </c>
      <c r="AR204" s="9">
        <v>6178741</v>
      </c>
      <c r="AS204" s="9">
        <v>8905824</v>
      </c>
      <c r="AT204" s="9">
        <v>11718340</v>
      </c>
      <c r="AU204" s="9">
        <v>15069067</v>
      </c>
      <c r="AV204" s="9">
        <v>18467998</v>
      </c>
      <c r="AW204" s="9">
        <v>22055538</v>
      </c>
      <c r="AX204" s="9">
        <v>25305045</v>
      </c>
      <c r="AY204" s="9">
        <v>27368450</v>
      </c>
      <c r="AZ204" s="9">
        <v>31065114</v>
      </c>
      <c r="BA204" s="9">
        <v>33154954</v>
      </c>
      <c r="BB204" s="31">
        <v>33154954</v>
      </c>
      <c r="BC204" s="9">
        <v>2685098</v>
      </c>
      <c r="BD204" s="9">
        <v>5701843</v>
      </c>
      <c r="BE204" s="9">
        <v>8004167</v>
      </c>
      <c r="BF204" s="9">
        <v>13680724</v>
      </c>
      <c r="BG204" s="9">
        <v>17034865</v>
      </c>
      <c r="BH204" s="9">
        <v>19626249</v>
      </c>
      <c r="BI204" s="9">
        <v>22167930</v>
      </c>
      <c r="BJ204" s="9">
        <v>24968225</v>
      </c>
      <c r="BK204" s="9">
        <v>27477600</v>
      </c>
      <c r="BL204" s="9">
        <v>30602982</v>
      </c>
      <c r="BM204" s="9">
        <v>33127953</v>
      </c>
      <c r="BN204" s="9">
        <v>34630142</v>
      </c>
      <c r="BO204" s="31">
        <v>34630142</v>
      </c>
      <c r="BP204" s="9">
        <v>2688881</v>
      </c>
      <c r="BQ204" s="9">
        <v>4600313</v>
      </c>
      <c r="BR204" s="9">
        <v>6412010</v>
      </c>
      <c r="BS204" s="9">
        <v>9015486</v>
      </c>
      <c r="BT204" s="9">
        <v>13762822</v>
      </c>
      <c r="BU204" s="9">
        <v>20481218</v>
      </c>
      <c r="BV204" s="9">
        <v>27119968</v>
      </c>
      <c r="BW204" s="9">
        <v>30643178</v>
      </c>
      <c r="BX204" s="9">
        <v>33038805</v>
      </c>
      <c r="BY204" s="9">
        <v>35944883</v>
      </c>
      <c r="BZ204" s="9">
        <v>41532586</v>
      </c>
      <c r="CA204" s="9">
        <v>47021077</v>
      </c>
      <c r="CB204" s="31">
        <v>47021077</v>
      </c>
      <c r="CC204" s="9">
        <v>2010026</v>
      </c>
      <c r="CD204" s="9">
        <v>5504113</v>
      </c>
      <c r="CE204" s="9">
        <v>10670497</v>
      </c>
      <c r="CF204" s="9">
        <v>13881508</v>
      </c>
      <c r="CG204" s="9">
        <v>17560433</v>
      </c>
      <c r="CH204" s="9">
        <v>20707704</v>
      </c>
      <c r="CI204" s="9">
        <v>24528170</v>
      </c>
      <c r="CJ204" s="9">
        <v>28136548</v>
      </c>
      <c r="CK204" s="9">
        <v>30788198</v>
      </c>
      <c r="CL204" s="9">
        <v>36812692</v>
      </c>
      <c r="CM204" s="9">
        <v>43755820</v>
      </c>
      <c r="CN204" s="9">
        <v>47624901</v>
      </c>
      <c r="CO204" s="31">
        <v>47624901</v>
      </c>
      <c r="CP204" s="9">
        <v>424307</v>
      </c>
      <c r="CQ204" s="9">
        <v>4631562</v>
      </c>
      <c r="CR204" s="9">
        <v>8734266</v>
      </c>
      <c r="CS204" s="9">
        <v>11750141</v>
      </c>
      <c r="CT204" s="9">
        <v>14774327</v>
      </c>
      <c r="CU204" s="9">
        <v>17226636</v>
      </c>
      <c r="CV204" s="9">
        <v>22037943</v>
      </c>
      <c r="CW204" s="9">
        <v>25523572</v>
      </c>
      <c r="CX204" s="9">
        <v>29861438</v>
      </c>
      <c r="CY204" s="9">
        <v>34645750</v>
      </c>
      <c r="CZ204" s="9">
        <v>38545628</v>
      </c>
      <c r="DA204" s="9">
        <v>46132129</v>
      </c>
      <c r="DB204" s="31">
        <v>46132129</v>
      </c>
      <c r="DC204" s="9">
        <v>1943912</v>
      </c>
      <c r="DD204" s="9">
        <v>4304359</v>
      </c>
      <c r="DE204" s="9">
        <v>8833471</v>
      </c>
      <c r="DF204" s="9">
        <v>12245057</v>
      </c>
      <c r="DG204" s="9">
        <v>18174448</v>
      </c>
      <c r="DH204" s="9">
        <v>20977173</v>
      </c>
      <c r="DI204" s="9">
        <v>25091294</v>
      </c>
      <c r="DJ204" s="9">
        <v>30163947</v>
      </c>
      <c r="DK204" s="9">
        <v>33477759</v>
      </c>
      <c r="DL204" s="9">
        <v>36598545</v>
      </c>
      <c r="DM204" s="9">
        <v>41216929</v>
      </c>
      <c r="DN204" s="9">
        <v>51905066</v>
      </c>
      <c r="DO204" s="31">
        <v>51905066</v>
      </c>
      <c r="DP204" s="9">
        <v>3213985</v>
      </c>
      <c r="DQ204" s="9">
        <v>6828524</v>
      </c>
      <c r="DR204" s="9">
        <v>12892202</v>
      </c>
      <c r="DS204" s="9">
        <v>16055831</v>
      </c>
      <c r="DT204" s="9">
        <v>20964726</v>
      </c>
      <c r="DU204" s="9">
        <v>27769798</v>
      </c>
      <c r="DV204" s="9">
        <v>30545497</v>
      </c>
      <c r="DW204" s="9">
        <v>36345551</v>
      </c>
      <c r="DX204" s="9">
        <v>40826470</v>
      </c>
      <c r="DY204" s="9">
        <v>46706866</v>
      </c>
      <c r="DZ204" s="9">
        <v>52752197</v>
      </c>
      <c r="EA204" s="9">
        <v>59772426</v>
      </c>
      <c r="EB204" s="31">
        <v>59772426</v>
      </c>
      <c r="EC204" s="9">
        <v>2819597</v>
      </c>
      <c r="ED204" s="9">
        <v>12177556</v>
      </c>
      <c r="EE204" s="9">
        <v>17970251</v>
      </c>
      <c r="EF204" s="9">
        <v>23770092</v>
      </c>
      <c r="EG204" s="9">
        <v>29826161</v>
      </c>
      <c r="EH204" s="9">
        <v>33285638</v>
      </c>
      <c r="EI204" s="9">
        <v>39629889</v>
      </c>
      <c r="EJ204" s="9">
        <v>42727317</v>
      </c>
      <c r="EK204" s="9">
        <v>47914823</v>
      </c>
      <c r="EL204" s="9">
        <v>53345356</v>
      </c>
      <c r="EM204" s="9">
        <v>57469049</v>
      </c>
      <c r="EN204" s="9">
        <v>72195760</v>
      </c>
      <c r="EO204" s="31">
        <v>72195760</v>
      </c>
      <c r="EP204" s="9">
        <v>2773961</v>
      </c>
      <c r="EQ204" s="9">
        <v>5538186</v>
      </c>
      <c r="ER204" s="9">
        <v>9662146</v>
      </c>
      <c r="ES204" s="9">
        <v>12837102</v>
      </c>
      <c r="ET204" s="9">
        <v>18479193</v>
      </c>
      <c r="EU204" s="9">
        <v>20063802</v>
      </c>
      <c r="EV204" s="9">
        <v>22661415</v>
      </c>
      <c r="EW204" s="9">
        <v>29464080</v>
      </c>
      <c r="EX204" s="9">
        <v>31765046</v>
      </c>
      <c r="EY204" s="9">
        <v>42221342</v>
      </c>
      <c r="EZ204" s="9">
        <v>47090031</v>
      </c>
      <c r="FA204" s="9">
        <v>64975445</v>
      </c>
      <c r="FB204" s="31">
        <v>64975445</v>
      </c>
      <c r="FC204" s="9">
        <v>2332360</v>
      </c>
      <c r="FD204" s="9">
        <v>6325878</v>
      </c>
      <c r="FE204" s="9">
        <v>11440218</v>
      </c>
      <c r="FF204" s="9">
        <v>16337153</v>
      </c>
      <c r="FG204" s="9">
        <v>19007467</v>
      </c>
      <c r="FH204" s="9">
        <v>24168176</v>
      </c>
      <c r="FI204" s="9">
        <v>28151398</v>
      </c>
      <c r="FJ204" s="9">
        <v>28151398</v>
      </c>
      <c r="FK204" s="9">
        <v>28151398</v>
      </c>
      <c r="FL204" s="9">
        <v>28151398</v>
      </c>
      <c r="FM204" s="9">
        <v>28151398</v>
      </c>
      <c r="FN204" s="9">
        <v>28151398</v>
      </c>
      <c r="FO204" s="31">
        <v>28151398</v>
      </c>
    </row>
    <row r="205" spans="2:171" x14ac:dyDescent="0.3">
      <c r="B205" s="7" t="s">
        <v>61</v>
      </c>
      <c r="C205" s="9">
        <v>6435868</v>
      </c>
      <c r="D205" s="9">
        <v>9554340</v>
      </c>
      <c r="E205" s="9">
        <v>13226773</v>
      </c>
      <c r="F205" s="9">
        <v>17096394</v>
      </c>
      <c r="G205" s="9">
        <v>23421066</v>
      </c>
      <c r="H205" s="9">
        <v>28545812</v>
      </c>
      <c r="I205" s="9">
        <v>33377700</v>
      </c>
      <c r="J205" s="9">
        <v>38174042</v>
      </c>
      <c r="K205" s="9">
        <v>43111155</v>
      </c>
      <c r="L205" s="9">
        <v>47504205</v>
      </c>
      <c r="M205" s="9">
        <v>53244341</v>
      </c>
      <c r="N205" s="9">
        <v>55953572</v>
      </c>
      <c r="O205" s="31">
        <v>55953572</v>
      </c>
      <c r="P205" s="9">
        <v>5867155</v>
      </c>
      <c r="Q205" s="9">
        <v>10439393</v>
      </c>
      <c r="R205" s="9">
        <v>13780468</v>
      </c>
      <c r="S205" s="9">
        <v>19850053</v>
      </c>
      <c r="T205" s="9">
        <v>24207184</v>
      </c>
      <c r="U205" s="9">
        <v>29720255</v>
      </c>
      <c r="V205" s="9">
        <v>34485286</v>
      </c>
      <c r="W205" s="9">
        <v>40252182</v>
      </c>
      <c r="X205" s="9">
        <v>46085594</v>
      </c>
      <c r="Y205" s="9">
        <v>50024362</v>
      </c>
      <c r="Z205" s="9">
        <v>57370952</v>
      </c>
      <c r="AA205" s="9">
        <v>61279899</v>
      </c>
      <c r="AB205" s="31">
        <v>61279899</v>
      </c>
      <c r="AC205" s="9">
        <v>7294358</v>
      </c>
      <c r="AD205" s="9">
        <v>10720093</v>
      </c>
      <c r="AE205" s="9">
        <v>15163431</v>
      </c>
      <c r="AF205" s="9">
        <v>20595131</v>
      </c>
      <c r="AG205" s="9">
        <v>25575916</v>
      </c>
      <c r="AH205" s="9">
        <v>29973722</v>
      </c>
      <c r="AI205" s="9">
        <v>35644400</v>
      </c>
      <c r="AJ205" s="9">
        <v>41322757</v>
      </c>
      <c r="AK205" s="9">
        <v>49349131</v>
      </c>
      <c r="AL205" s="9">
        <v>56482883</v>
      </c>
      <c r="AM205" s="9">
        <v>63720712</v>
      </c>
      <c r="AN205" s="9">
        <v>69320404</v>
      </c>
      <c r="AO205" s="31">
        <v>69320404</v>
      </c>
      <c r="AP205" s="9">
        <v>5627746</v>
      </c>
      <c r="AQ205" s="9">
        <v>11595902</v>
      </c>
      <c r="AR205" s="9">
        <v>18296025</v>
      </c>
      <c r="AS205" s="9">
        <v>25972692</v>
      </c>
      <c r="AT205" s="9">
        <v>34628872</v>
      </c>
      <c r="AU205" s="9">
        <v>42584574</v>
      </c>
      <c r="AV205" s="9">
        <v>51912031</v>
      </c>
      <c r="AW205" s="9">
        <v>60364241</v>
      </c>
      <c r="AX205" s="9">
        <v>67081582</v>
      </c>
      <c r="AY205" s="9">
        <v>74466448</v>
      </c>
      <c r="AZ205" s="9">
        <v>81217771</v>
      </c>
      <c r="BA205" s="9">
        <v>85509895</v>
      </c>
      <c r="BB205" s="31">
        <v>85509895</v>
      </c>
      <c r="BC205" s="9">
        <v>6920210</v>
      </c>
      <c r="BD205" s="9">
        <v>11567201</v>
      </c>
      <c r="BE205" s="9">
        <v>17240068</v>
      </c>
      <c r="BF205" s="9">
        <v>25267299</v>
      </c>
      <c r="BG205" s="9">
        <v>36877787</v>
      </c>
      <c r="BH205" s="9">
        <v>44812220</v>
      </c>
      <c r="BI205" s="9">
        <v>50526068</v>
      </c>
      <c r="BJ205" s="9">
        <v>55759499</v>
      </c>
      <c r="BK205" s="9">
        <v>60580461</v>
      </c>
      <c r="BL205" s="9">
        <v>67053210</v>
      </c>
      <c r="BM205" s="9">
        <v>71509567</v>
      </c>
      <c r="BN205" s="9">
        <v>72917754</v>
      </c>
      <c r="BO205" s="31">
        <v>72917754</v>
      </c>
      <c r="BP205" s="9">
        <v>11855699</v>
      </c>
      <c r="BQ205" s="9">
        <v>20384324</v>
      </c>
      <c r="BR205" s="9">
        <v>27972773</v>
      </c>
      <c r="BS205" s="9">
        <v>36400575</v>
      </c>
      <c r="BT205" s="9">
        <v>42224781</v>
      </c>
      <c r="BU205" s="9">
        <v>49256964</v>
      </c>
      <c r="BV205" s="9">
        <v>60123400</v>
      </c>
      <c r="BW205" s="9">
        <v>67015877</v>
      </c>
      <c r="BX205" s="9">
        <v>76922968</v>
      </c>
      <c r="BY205" s="9">
        <v>82783828</v>
      </c>
      <c r="BZ205" s="9">
        <v>94202068</v>
      </c>
      <c r="CA205" s="9">
        <v>102760587</v>
      </c>
      <c r="CB205" s="31">
        <v>102760587</v>
      </c>
      <c r="CC205" s="9">
        <v>4545604</v>
      </c>
      <c r="CD205" s="9">
        <v>9252838</v>
      </c>
      <c r="CE205" s="9">
        <v>17134360</v>
      </c>
      <c r="CF205" s="9">
        <v>27620270</v>
      </c>
      <c r="CG205" s="9">
        <v>36217943</v>
      </c>
      <c r="CH205" s="9">
        <v>46195312</v>
      </c>
      <c r="CI205" s="9">
        <v>55129884</v>
      </c>
      <c r="CJ205" s="9">
        <v>65518560</v>
      </c>
      <c r="CK205" s="9">
        <v>74692773</v>
      </c>
      <c r="CL205" s="9">
        <v>83432716</v>
      </c>
      <c r="CM205" s="9">
        <v>108811244</v>
      </c>
      <c r="CN205" s="9">
        <v>116577734</v>
      </c>
      <c r="CO205" s="31">
        <v>116577734</v>
      </c>
      <c r="CP205" s="9">
        <v>5180431</v>
      </c>
      <c r="CQ205" s="9">
        <v>9505995</v>
      </c>
      <c r="CR205" s="9">
        <v>19294964</v>
      </c>
      <c r="CS205" s="9">
        <v>37060323</v>
      </c>
      <c r="CT205" s="9">
        <v>46483205</v>
      </c>
      <c r="CU205" s="9">
        <v>61069443</v>
      </c>
      <c r="CV205" s="9">
        <v>68011566</v>
      </c>
      <c r="CW205" s="9">
        <v>77835468</v>
      </c>
      <c r="CX205" s="9">
        <v>87126418</v>
      </c>
      <c r="CY205" s="9">
        <v>94096132</v>
      </c>
      <c r="CZ205" s="9">
        <v>103163269</v>
      </c>
      <c r="DA205" s="9">
        <v>113006493</v>
      </c>
      <c r="DB205" s="31">
        <v>113006493</v>
      </c>
      <c r="DC205" s="9">
        <v>8189170</v>
      </c>
      <c r="DD205" s="9">
        <v>14166513</v>
      </c>
      <c r="DE205" s="9">
        <v>22587300</v>
      </c>
      <c r="DF205" s="9">
        <v>32346214</v>
      </c>
      <c r="DG205" s="9">
        <v>44895149</v>
      </c>
      <c r="DH205" s="9">
        <v>57528946</v>
      </c>
      <c r="DI205" s="9">
        <v>69217038</v>
      </c>
      <c r="DJ205" s="9">
        <v>80038075</v>
      </c>
      <c r="DK205" s="9">
        <v>88496051</v>
      </c>
      <c r="DL205" s="9">
        <v>100095643</v>
      </c>
      <c r="DM205" s="9">
        <v>106418833</v>
      </c>
      <c r="DN205" s="9">
        <v>118382436</v>
      </c>
      <c r="DO205" s="31">
        <v>118382436</v>
      </c>
      <c r="DP205" s="9">
        <v>11374875</v>
      </c>
      <c r="DQ205" s="9">
        <v>24741884</v>
      </c>
      <c r="DR205" s="9">
        <v>37838261</v>
      </c>
      <c r="DS205" s="9">
        <v>61820040</v>
      </c>
      <c r="DT205" s="9">
        <v>70491150</v>
      </c>
      <c r="DU205" s="9">
        <v>88988817</v>
      </c>
      <c r="DV205" s="9">
        <v>101226948</v>
      </c>
      <c r="DW205" s="9">
        <v>115503364</v>
      </c>
      <c r="DX205" s="9">
        <v>124365005</v>
      </c>
      <c r="DY205" s="9">
        <v>130648318</v>
      </c>
      <c r="DZ205" s="9">
        <v>136860964</v>
      </c>
      <c r="EA205" s="9">
        <v>146834929</v>
      </c>
      <c r="EB205" s="31">
        <v>146834929</v>
      </c>
      <c r="EC205" s="9">
        <v>22538677</v>
      </c>
      <c r="ED205" s="9">
        <v>41804727</v>
      </c>
      <c r="EE205" s="9">
        <v>60202426</v>
      </c>
      <c r="EF205" s="9">
        <v>72651068</v>
      </c>
      <c r="EG205" s="9">
        <v>108965112</v>
      </c>
      <c r="EH205" s="9">
        <v>121685891</v>
      </c>
      <c r="EI205" s="9">
        <v>132758566</v>
      </c>
      <c r="EJ205" s="9">
        <v>145373990</v>
      </c>
      <c r="EK205" s="9">
        <v>148986590</v>
      </c>
      <c r="EL205" s="9">
        <v>161664278</v>
      </c>
      <c r="EM205" s="9">
        <v>172285110</v>
      </c>
      <c r="EN205" s="9">
        <v>209043392</v>
      </c>
      <c r="EO205" s="31">
        <v>209043392</v>
      </c>
      <c r="EP205" s="9">
        <v>23604674</v>
      </c>
      <c r="EQ205" s="9">
        <v>59677134</v>
      </c>
      <c r="ER205" s="9">
        <v>76618911</v>
      </c>
      <c r="ES205" s="9">
        <v>91680844</v>
      </c>
      <c r="ET205" s="9">
        <v>112332249</v>
      </c>
      <c r="EU205" s="9">
        <v>140911345</v>
      </c>
      <c r="EV205" s="9">
        <v>168734716</v>
      </c>
      <c r="EW205" s="9">
        <v>179348082</v>
      </c>
      <c r="EX205" s="9">
        <v>193278850</v>
      </c>
      <c r="EY205" s="9">
        <v>227668824</v>
      </c>
      <c r="EZ205" s="9">
        <v>235434079</v>
      </c>
      <c r="FA205" s="9">
        <v>256667592</v>
      </c>
      <c r="FB205" s="31">
        <v>256667592</v>
      </c>
      <c r="FC205" s="9">
        <v>48052626</v>
      </c>
      <c r="FD205" s="9">
        <v>67828812</v>
      </c>
      <c r="FE205" s="9">
        <v>88161628</v>
      </c>
      <c r="FF205" s="9">
        <v>101252491</v>
      </c>
      <c r="FG205" s="9">
        <v>112593638</v>
      </c>
      <c r="FH205" s="9">
        <v>134540956</v>
      </c>
      <c r="FI205" s="9">
        <v>152096621</v>
      </c>
      <c r="FJ205" s="9">
        <v>152096621</v>
      </c>
      <c r="FK205" s="9">
        <v>152096621</v>
      </c>
      <c r="FL205" s="9">
        <v>152096621</v>
      </c>
      <c r="FM205" s="9">
        <v>152096621</v>
      </c>
      <c r="FN205" s="9">
        <v>152096621</v>
      </c>
      <c r="FO205" s="31">
        <v>152096621</v>
      </c>
    </row>
    <row r="206" spans="2:171" x14ac:dyDescent="0.3">
      <c r="B206" s="7" t="s">
        <v>62</v>
      </c>
      <c r="C206" s="9">
        <v>1305630</v>
      </c>
      <c r="D206" s="9">
        <v>2099387</v>
      </c>
      <c r="E206" s="9">
        <v>3066764</v>
      </c>
      <c r="F206" s="9">
        <v>3960240</v>
      </c>
      <c r="G206" s="9">
        <v>4732339</v>
      </c>
      <c r="H206" s="9">
        <v>5925206</v>
      </c>
      <c r="I206" s="9">
        <v>6745243</v>
      </c>
      <c r="J206" s="9">
        <v>7673173</v>
      </c>
      <c r="K206" s="9">
        <v>9028559</v>
      </c>
      <c r="L206" s="9">
        <v>10304860</v>
      </c>
      <c r="M206" s="9">
        <v>11676289</v>
      </c>
      <c r="N206" s="9">
        <v>13450906</v>
      </c>
      <c r="O206" s="31">
        <v>13450906</v>
      </c>
      <c r="P206" s="9">
        <v>664938</v>
      </c>
      <c r="Q206" s="9">
        <v>1408057</v>
      </c>
      <c r="R206" s="9">
        <v>2566894</v>
      </c>
      <c r="S206" s="9">
        <v>4534503</v>
      </c>
      <c r="T206" s="9">
        <v>5911645</v>
      </c>
      <c r="U206" s="9">
        <v>6937209</v>
      </c>
      <c r="V206" s="9">
        <v>8813145</v>
      </c>
      <c r="W206" s="9">
        <v>9410742</v>
      </c>
      <c r="X206" s="9">
        <v>10689199</v>
      </c>
      <c r="Y206" s="9">
        <v>13844827</v>
      </c>
      <c r="Z206" s="9">
        <v>14986243</v>
      </c>
      <c r="AA206" s="9">
        <v>17651758</v>
      </c>
      <c r="AB206" s="31">
        <v>17651758</v>
      </c>
      <c r="AC206" s="9">
        <v>751705</v>
      </c>
      <c r="AD206" s="9">
        <v>1693678</v>
      </c>
      <c r="AE206" s="9">
        <v>4614567</v>
      </c>
      <c r="AF206" s="9">
        <v>5405409</v>
      </c>
      <c r="AG206" s="9">
        <v>6848094</v>
      </c>
      <c r="AH206" s="9">
        <v>9151671</v>
      </c>
      <c r="AI206" s="9">
        <v>11187547</v>
      </c>
      <c r="AJ206" s="9">
        <v>13709209</v>
      </c>
      <c r="AK206" s="9">
        <v>15794985</v>
      </c>
      <c r="AL206" s="9">
        <v>17834477</v>
      </c>
      <c r="AM206" s="9">
        <v>19486786</v>
      </c>
      <c r="AN206" s="9">
        <v>23547582</v>
      </c>
      <c r="AO206" s="31">
        <v>23547582</v>
      </c>
      <c r="AP206" s="9">
        <v>1091667</v>
      </c>
      <c r="AQ206" s="9">
        <v>4105784</v>
      </c>
      <c r="AR206" s="9">
        <v>6534262</v>
      </c>
      <c r="AS206" s="9">
        <v>8472536</v>
      </c>
      <c r="AT206" s="9">
        <v>11670461</v>
      </c>
      <c r="AU206" s="9">
        <v>14391724</v>
      </c>
      <c r="AV206" s="9">
        <v>16463840</v>
      </c>
      <c r="AW206" s="9">
        <v>19363219</v>
      </c>
      <c r="AX206" s="9">
        <v>20646872</v>
      </c>
      <c r="AY206" s="9">
        <v>22377943</v>
      </c>
      <c r="AZ206" s="9">
        <v>24689088</v>
      </c>
      <c r="BA206" s="9">
        <v>26907731</v>
      </c>
      <c r="BB206" s="31">
        <v>26907731</v>
      </c>
      <c r="BC206" s="9">
        <v>562901</v>
      </c>
      <c r="BD206" s="9">
        <v>1543101</v>
      </c>
      <c r="BE206" s="9">
        <v>2358733</v>
      </c>
      <c r="BF206" s="9">
        <v>3342956</v>
      </c>
      <c r="BG206" s="9">
        <v>4749909</v>
      </c>
      <c r="BH206" s="9">
        <v>6209721</v>
      </c>
      <c r="BI206" s="9">
        <v>7153575</v>
      </c>
      <c r="BJ206" s="9">
        <v>8461066</v>
      </c>
      <c r="BK206" s="9">
        <v>9348758</v>
      </c>
      <c r="BL206" s="9">
        <v>10668781</v>
      </c>
      <c r="BM206" s="9">
        <v>11875594</v>
      </c>
      <c r="BN206" s="9">
        <v>13490039</v>
      </c>
      <c r="BO206" s="31">
        <v>13490039</v>
      </c>
      <c r="BP206" s="9">
        <v>1352825</v>
      </c>
      <c r="BQ206" s="9">
        <v>2625888</v>
      </c>
      <c r="BR206" s="9">
        <v>4193317</v>
      </c>
      <c r="BS206" s="9">
        <v>5973325</v>
      </c>
      <c r="BT206" s="9">
        <v>7608733</v>
      </c>
      <c r="BU206" s="9">
        <v>8915332</v>
      </c>
      <c r="BV206" s="9">
        <v>10237505</v>
      </c>
      <c r="BW206" s="9">
        <v>10237505</v>
      </c>
      <c r="BX206" s="9">
        <v>14292594</v>
      </c>
      <c r="BY206" s="9">
        <v>15903374</v>
      </c>
      <c r="BZ206" s="9">
        <v>19764888</v>
      </c>
      <c r="CA206" s="9">
        <v>22245013</v>
      </c>
      <c r="CB206" s="31">
        <v>22245013</v>
      </c>
      <c r="CC206" s="9">
        <v>2025750</v>
      </c>
      <c r="CD206" s="9">
        <v>3635738</v>
      </c>
      <c r="CE206" s="9">
        <v>5454222</v>
      </c>
      <c r="CF206" s="9">
        <v>7935736</v>
      </c>
      <c r="CG206" s="9">
        <v>9870262</v>
      </c>
      <c r="CH206" s="9">
        <v>11357457</v>
      </c>
      <c r="CI206" s="9">
        <v>13130387</v>
      </c>
      <c r="CJ206" s="9">
        <v>14106222</v>
      </c>
      <c r="CK206" s="9">
        <v>15624780</v>
      </c>
      <c r="CL206" s="9">
        <v>20554730</v>
      </c>
      <c r="CM206" s="9">
        <v>29237408</v>
      </c>
      <c r="CN206" s="9">
        <v>32856174</v>
      </c>
      <c r="CO206" s="31">
        <v>32856174</v>
      </c>
      <c r="CP206" s="9">
        <v>20381</v>
      </c>
      <c r="CQ206" s="9">
        <v>3884651</v>
      </c>
      <c r="CR206" s="9">
        <v>7210132</v>
      </c>
      <c r="CS206" s="9">
        <v>9798446</v>
      </c>
      <c r="CT206" s="9">
        <v>14696071</v>
      </c>
      <c r="CU206" s="9">
        <v>16709800</v>
      </c>
      <c r="CV206" s="9">
        <v>18261522</v>
      </c>
      <c r="CW206" s="9">
        <v>19879998</v>
      </c>
      <c r="CX206" s="9">
        <v>21881786</v>
      </c>
      <c r="CY206" s="9">
        <v>23524612</v>
      </c>
      <c r="CZ206" s="9">
        <v>25256220</v>
      </c>
      <c r="DA206" s="9">
        <v>28897046</v>
      </c>
      <c r="DB206" s="31">
        <v>28897046</v>
      </c>
      <c r="DC206" s="9">
        <v>585094</v>
      </c>
      <c r="DD206" s="9">
        <v>4629351</v>
      </c>
      <c r="DE206" s="9">
        <v>7993222</v>
      </c>
      <c r="DF206" s="9">
        <v>9906215</v>
      </c>
      <c r="DG206" s="9">
        <v>12406386</v>
      </c>
      <c r="DH206" s="9">
        <v>15821025</v>
      </c>
      <c r="DI206" s="9">
        <v>20990222</v>
      </c>
      <c r="DJ206" s="9">
        <v>23740012</v>
      </c>
      <c r="DK206" s="9">
        <v>27038382</v>
      </c>
      <c r="DL206" s="9">
        <v>29993298</v>
      </c>
      <c r="DM206" s="9">
        <v>32810442</v>
      </c>
      <c r="DN206" s="9">
        <v>39538532</v>
      </c>
      <c r="DO206" s="31">
        <v>39538532</v>
      </c>
      <c r="DP206" s="9">
        <v>1057298</v>
      </c>
      <c r="DQ206" s="9">
        <v>3840849</v>
      </c>
      <c r="DR206" s="9">
        <v>6667886</v>
      </c>
      <c r="DS206" s="9">
        <v>8536838</v>
      </c>
      <c r="DT206" s="9">
        <v>10441447</v>
      </c>
      <c r="DU206" s="9">
        <v>13355762</v>
      </c>
      <c r="DV206" s="9">
        <v>15873762</v>
      </c>
      <c r="DW206" s="9">
        <v>19843737</v>
      </c>
      <c r="DX206" s="9">
        <v>24509706</v>
      </c>
      <c r="DY206" s="9">
        <v>26698806</v>
      </c>
      <c r="DZ206" s="9">
        <v>37610027</v>
      </c>
      <c r="EA206" s="9">
        <v>51404884</v>
      </c>
      <c r="EB206" s="31">
        <v>51404884</v>
      </c>
      <c r="EC206" s="9">
        <v>2553647</v>
      </c>
      <c r="ED206" s="9">
        <v>5314108</v>
      </c>
      <c r="EE206" s="9">
        <v>7804124</v>
      </c>
      <c r="EF206" s="9">
        <v>9933333</v>
      </c>
      <c r="EG206" s="9">
        <v>12723904</v>
      </c>
      <c r="EH206" s="9">
        <v>15623521</v>
      </c>
      <c r="EI206" s="9">
        <v>17973882</v>
      </c>
      <c r="EJ206" s="9">
        <v>21179484</v>
      </c>
      <c r="EK206" s="9">
        <v>23416485</v>
      </c>
      <c r="EL206" s="9">
        <v>26233346</v>
      </c>
      <c r="EM206" s="9">
        <v>29925270</v>
      </c>
      <c r="EN206" s="9">
        <v>40629172</v>
      </c>
      <c r="EO206" s="31">
        <v>40629172</v>
      </c>
      <c r="EP206" s="9">
        <v>1502066</v>
      </c>
      <c r="EQ206" s="9">
        <v>3141424</v>
      </c>
      <c r="ER206" s="9">
        <v>5424813</v>
      </c>
      <c r="ES206" s="9">
        <v>8635636</v>
      </c>
      <c r="ET206" s="9">
        <v>10539066</v>
      </c>
      <c r="EU206" s="9">
        <v>23615826</v>
      </c>
      <c r="EV206" s="9">
        <v>25551878</v>
      </c>
      <c r="EW206" s="9">
        <v>27867890</v>
      </c>
      <c r="EX206" s="9">
        <v>31455323</v>
      </c>
      <c r="EY206" s="9">
        <v>41450059</v>
      </c>
      <c r="EZ206" s="9">
        <v>44040457</v>
      </c>
      <c r="FA206" s="9">
        <v>49928043</v>
      </c>
      <c r="FB206" s="31">
        <v>49928043</v>
      </c>
      <c r="FC206" s="9">
        <v>9915414</v>
      </c>
      <c r="FD206" s="9">
        <v>16192369</v>
      </c>
      <c r="FE206" s="9">
        <v>19730338</v>
      </c>
      <c r="FF206" s="9">
        <v>24443967</v>
      </c>
      <c r="FG206" s="9">
        <v>29917306</v>
      </c>
      <c r="FH206" s="9">
        <v>37520057</v>
      </c>
      <c r="FI206" s="9">
        <v>39532590</v>
      </c>
      <c r="FJ206" s="9">
        <v>39532590</v>
      </c>
      <c r="FK206" s="9">
        <v>39532590</v>
      </c>
      <c r="FL206" s="9">
        <v>39532590</v>
      </c>
      <c r="FM206" s="9">
        <v>39532590</v>
      </c>
      <c r="FN206" s="9">
        <v>39532590</v>
      </c>
      <c r="FO206" s="31">
        <v>39532590</v>
      </c>
    </row>
    <row r="207" spans="2:171" x14ac:dyDescent="0.3">
      <c r="B207" s="7" t="s">
        <v>63</v>
      </c>
      <c r="C207" s="9">
        <v>802349</v>
      </c>
      <c r="D207" s="9">
        <v>1936575</v>
      </c>
      <c r="E207" s="9">
        <v>3311278</v>
      </c>
      <c r="F207" s="9">
        <v>4806432</v>
      </c>
      <c r="G207" s="9">
        <v>5721064</v>
      </c>
      <c r="H207" s="9">
        <v>7248810</v>
      </c>
      <c r="I207" s="9">
        <v>8374392</v>
      </c>
      <c r="J207" s="9">
        <v>10180229</v>
      </c>
      <c r="K207" s="9">
        <v>11376394</v>
      </c>
      <c r="L207" s="9">
        <v>12297687</v>
      </c>
      <c r="M207" s="9">
        <v>13709673</v>
      </c>
      <c r="N207" s="9">
        <v>14706027</v>
      </c>
      <c r="O207" s="31">
        <v>14706027</v>
      </c>
      <c r="P207" s="9">
        <v>1769102</v>
      </c>
      <c r="Q207" s="9">
        <v>3042103</v>
      </c>
      <c r="R207" s="9">
        <v>5562930</v>
      </c>
      <c r="S207" s="9">
        <v>8115437</v>
      </c>
      <c r="T207" s="9">
        <v>9225780</v>
      </c>
      <c r="U207" s="9">
        <v>10742252</v>
      </c>
      <c r="V207" s="9">
        <v>11869548</v>
      </c>
      <c r="W207" s="9">
        <v>13199481</v>
      </c>
      <c r="X207" s="9">
        <v>15547988</v>
      </c>
      <c r="Y207" s="9">
        <v>16665450</v>
      </c>
      <c r="Z207" s="9">
        <v>18773295</v>
      </c>
      <c r="AA207" s="9">
        <v>20289086</v>
      </c>
      <c r="AB207" s="31">
        <v>20289086</v>
      </c>
      <c r="AC207" s="9">
        <v>1345722</v>
      </c>
      <c r="AD207" s="9">
        <v>2007623</v>
      </c>
      <c r="AE207" s="9">
        <v>3705598</v>
      </c>
      <c r="AF207" s="9">
        <v>5745808</v>
      </c>
      <c r="AG207" s="9">
        <v>7101367</v>
      </c>
      <c r="AH207" s="9">
        <v>9197381</v>
      </c>
      <c r="AI207" s="9">
        <v>11237003</v>
      </c>
      <c r="AJ207" s="9">
        <v>12741294</v>
      </c>
      <c r="AK207" s="9">
        <v>14009679</v>
      </c>
      <c r="AL207" s="9">
        <v>14874983</v>
      </c>
      <c r="AM207" s="9">
        <v>17801272</v>
      </c>
      <c r="AN207" s="9">
        <v>19948498</v>
      </c>
      <c r="AO207" s="31">
        <v>19948498</v>
      </c>
      <c r="AP207" s="9">
        <v>486264</v>
      </c>
      <c r="AQ207" s="9">
        <v>2715594</v>
      </c>
      <c r="AR207" s="9">
        <v>4485479</v>
      </c>
      <c r="AS207" s="9">
        <v>6605004</v>
      </c>
      <c r="AT207" s="9">
        <v>8346772</v>
      </c>
      <c r="AU207" s="9">
        <v>9744251</v>
      </c>
      <c r="AV207" s="9">
        <v>11365205</v>
      </c>
      <c r="AW207" s="9">
        <v>13231381</v>
      </c>
      <c r="AX207" s="9">
        <v>13694455</v>
      </c>
      <c r="AY207" s="9">
        <v>14722630</v>
      </c>
      <c r="AZ207" s="9">
        <v>16005015</v>
      </c>
      <c r="BA207" s="9">
        <v>17671923</v>
      </c>
      <c r="BB207" s="31">
        <v>17671923</v>
      </c>
      <c r="BC207" s="9">
        <v>509042</v>
      </c>
      <c r="BD207" s="9">
        <v>860678</v>
      </c>
      <c r="BE207" s="9">
        <v>3429354</v>
      </c>
      <c r="BF207" s="9">
        <v>4219736</v>
      </c>
      <c r="BG207" s="9">
        <v>7798119</v>
      </c>
      <c r="BH207" s="9">
        <v>10937345</v>
      </c>
      <c r="BI207" s="9">
        <v>14743099</v>
      </c>
      <c r="BJ207" s="9">
        <v>16350534</v>
      </c>
      <c r="BK207" s="9">
        <v>16910774</v>
      </c>
      <c r="BL207" s="9">
        <v>17627563</v>
      </c>
      <c r="BM207" s="9">
        <v>18540472</v>
      </c>
      <c r="BN207" s="9">
        <v>19847474</v>
      </c>
      <c r="BO207" s="31">
        <v>19847474</v>
      </c>
      <c r="BP207" s="9">
        <v>485322</v>
      </c>
      <c r="BQ207" s="9">
        <v>1084690</v>
      </c>
      <c r="BR207" s="9">
        <v>1329857</v>
      </c>
      <c r="BS207" s="9">
        <v>1793528</v>
      </c>
      <c r="BT207" s="9">
        <v>2329775</v>
      </c>
      <c r="BU207" s="9">
        <v>2937339</v>
      </c>
      <c r="BV207" s="9">
        <v>3270475</v>
      </c>
      <c r="BW207" s="9">
        <v>3270475</v>
      </c>
      <c r="BX207" s="9">
        <v>7760714</v>
      </c>
      <c r="BY207" s="9">
        <v>10670655</v>
      </c>
      <c r="BZ207" s="9">
        <v>16946541</v>
      </c>
      <c r="CA207" s="9">
        <v>21063717</v>
      </c>
      <c r="CB207" s="31">
        <v>21063717</v>
      </c>
      <c r="CC207" s="9">
        <v>1262092</v>
      </c>
      <c r="CD207" s="9">
        <v>5250766</v>
      </c>
      <c r="CE207" s="9">
        <v>6682337</v>
      </c>
      <c r="CF207" s="9">
        <v>7072568</v>
      </c>
      <c r="CG207" s="9">
        <v>7291526</v>
      </c>
      <c r="CH207" s="9">
        <v>7502963</v>
      </c>
      <c r="CI207" s="9">
        <v>7784552</v>
      </c>
      <c r="CJ207" s="9">
        <v>10862438</v>
      </c>
      <c r="CK207" s="9">
        <v>13854323</v>
      </c>
      <c r="CL207" s="9">
        <v>19752321</v>
      </c>
      <c r="CM207" s="9">
        <v>26142325</v>
      </c>
      <c r="CN207" s="9">
        <v>30788417</v>
      </c>
      <c r="CO207" s="31">
        <v>30788417</v>
      </c>
      <c r="CP207" s="9">
        <v>2144004</v>
      </c>
      <c r="CQ207" s="9">
        <v>7458529</v>
      </c>
      <c r="CR207" s="9">
        <v>11689372</v>
      </c>
      <c r="CS207" s="9">
        <v>12872356</v>
      </c>
      <c r="CT207" s="9">
        <v>14624744</v>
      </c>
      <c r="CU207" s="9">
        <v>17119843</v>
      </c>
      <c r="CV207" s="9">
        <v>18123312</v>
      </c>
      <c r="CW207" s="9">
        <v>18694686</v>
      </c>
      <c r="CX207" s="9">
        <v>25050342</v>
      </c>
      <c r="CY207" s="9">
        <v>34772367</v>
      </c>
      <c r="CZ207" s="9">
        <v>36052944</v>
      </c>
      <c r="DA207" s="9">
        <v>51830763</v>
      </c>
      <c r="DB207" s="31">
        <v>51830763</v>
      </c>
      <c r="DC207" s="9">
        <v>105467</v>
      </c>
      <c r="DD207" s="9">
        <v>434883</v>
      </c>
      <c r="DE207" s="9">
        <v>767826</v>
      </c>
      <c r="DF207" s="9">
        <v>1107860</v>
      </c>
      <c r="DG207" s="9">
        <v>1760790</v>
      </c>
      <c r="DH207" s="9">
        <v>5827984</v>
      </c>
      <c r="DI207" s="9">
        <v>8162251</v>
      </c>
      <c r="DJ207" s="9">
        <v>14438284</v>
      </c>
      <c r="DK207" s="9">
        <v>22649037</v>
      </c>
      <c r="DL207" s="9">
        <v>35357887</v>
      </c>
      <c r="DM207" s="9">
        <v>41970766</v>
      </c>
      <c r="DN207" s="9">
        <v>59466476</v>
      </c>
      <c r="DO207" s="31">
        <v>59466476</v>
      </c>
      <c r="DP207" s="9">
        <v>399218</v>
      </c>
      <c r="DQ207" s="9">
        <v>622391</v>
      </c>
      <c r="DR207" s="9">
        <v>925635</v>
      </c>
      <c r="DS207" s="9">
        <v>9023856</v>
      </c>
      <c r="DT207" s="9">
        <v>9794146</v>
      </c>
      <c r="DU207" s="9">
        <v>18945374</v>
      </c>
      <c r="DV207" s="9">
        <v>22835743</v>
      </c>
      <c r="DW207" s="9">
        <v>23754081</v>
      </c>
      <c r="DX207" s="9">
        <v>28673026</v>
      </c>
      <c r="DY207" s="9">
        <v>29703345</v>
      </c>
      <c r="DZ207" s="9">
        <v>35135081</v>
      </c>
      <c r="EA207" s="9">
        <v>48847267</v>
      </c>
      <c r="EB207" s="31">
        <v>48847267</v>
      </c>
      <c r="EC207" s="9">
        <v>1271183</v>
      </c>
      <c r="ED207" s="9">
        <v>1494991</v>
      </c>
      <c r="EE207" s="9">
        <v>1958696</v>
      </c>
      <c r="EF207" s="9">
        <v>11688839</v>
      </c>
      <c r="EG207" s="9">
        <v>16971260</v>
      </c>
      <c r="EH207" s="9">
        <v>23042370</v>
      </c>
      <c r="EI207" s="9">
        <v>32366137</v>
      </c>
      <c r="EJ207" s="9">
        <v>38702931</v>
      </c>
      <c r="EK207" s="9">
        <v>40706210</v>
      </c>
      <c r="EL207" s="9">
        <v>50327847</v>
      </c>
      <c r="EM207" s="9">
        <v>63842140</v>
      </c>
      <c r="EN207" s="9">
        <v>66459701</v>
      </c>
      <c r="EO207" s="31">
        <v>66459701</v>
      </c>
      <c r="EP207" s="9">
        <v>1551358</v>
      </c>
      <c r="EQ207" s="9">
        <v>7621277</v>
      </c>
      <c r="ER207" s="9">
        <v>10746706</v>
      </c>
      <c r="ES207" s="9">
        <v>12210044</v>
      </c>
      <c r="ET207" s="9">
        <v>19558996</v>
      </c>
      <c r="EU207" s="9">
        <v>20758374</v>
      </c>
      <c r="EV207" s="9">
        <v>25629922</v>
      </c>
      <c r="EW207" s="9">
        <v>32407596</v>
      </c>
      <c r="EX207" s="9">
        <v>33859870</v>
      </c>
      <c r="EY207" s="9">
        <v>43167141</v>
      </c>
      <c r="EZ207" s="9">
        <v>50220084</v>
      </c>
      <c r="FA207" s="9">
        <v>54657622</v>
      </c>
      <c r="FB207" s="31">
        <v>54657622</v>
      </c>
      <c r="FC207" s="9">
        <v>231133</v>
      </c>
      <c r="FD207" s="9">
        <v>460737</v>
      </c>
      <c r="FE207" s="9">
        <v>2148468</v>
      </c>
      <c r="FF207" s="9">
        <v>2602862</v>
      </c>
      <c r="FG207" s="9">
        <v>3361892</v>
      </c>
      <c r="FH207" s="9">
        <v>3846615</v>
      </c>
      <c r="FI207" s="9">
        <v>23634743</v>
      </c>
      <c r="FJ207" s="9">
        <v>23634743</v>
      </c>
      <c r="FK207" s="9">
        <v>23634743</v>
      </c>
      <c r="FL207" s="9">
        <v>23634743</v>
      </c>
      <c r="FM207" s="9">
        <v>23634743</v>
      </c>
      <c r="FN207" s="9">
        <v>23634743</v>
      </c>
      <c r="FO207" s="31">
        <v>23634743</v>
      </c>
    </row>
    <row r="208" spans="2:171" x14ac:dyDescent="0.3">
      <c r="B208" s="11" t="s">
        <v>135</v>
      </c>
      <c r="C208" s="13">
        <f t="shared" ref="C208:AH208" si="48">SUM(C190:C207)</f>
        <v>86554667</v>
      </c>
      <c r="D208" s="13">
        <f t="shared" si="48"/>
        <v>167171037</v>
      </c>
      <c r="E208" s="13">
        <f t="shared" si="48"/>
        <v>258900332</v>
      </c>
      <c r="F208" s="13">
        <f t="shared" si="48"/>
        <v>355293324</v>
      </c>
      <c r="G208" s="13">
        <f t="shared" si="48"/>
        <v>444572349</v>
      </c>
      <c r="H208" s="13">
        <f t="shared" si="48"/>
        <v>538868963</v>
      </c>
      <c r="I208" s="13">
        <f t="shared" si="48"/>
        <v>624570243</v>
      </c>
      <c r="J208" s="13">
        <f t="shared" si="48"/>
        <v>704960444</v>
      </c>
      <c r="K208" s="13">
        <f t="shared" si="48"/>
        <v>797050894</v>
      </c>
      <c r="L208" s="13">
        <f t="shared" si="48"/>
        <v>893352551</v>
      </c>
      <c r="M208" s="13">
        <f t="shared" si="48"/>
        <v>995101562</v>
      </c>
      <c r="N208" s="13">
        <f t="shared" si="48"/>
        <v>1085721232</v>
      </c>
      <c r="O208" s="13">
        <f t="shared" si="48"/>
        <v>1085721232</v>
      </c>
      <c r="P208" s="13">
        <f t="shared" si="48"/>
        <v>78813013</v>
      </c>
      <c r="Q208" s="13">
        <f t="shared" si="48"/>
        <v>159045427</v>
      </c>
      <c r="R208" s="13">
        <f t="shared" si="48"/>
        <v>250985326</v>
      </c>
      <c r="S208" s="13">
        <f t="shared" si="48"/>
        <v>343662389</v>
      </c>
      <c r="T208" s="13">
        <f t="shared" si="48"/>
        <v>443047745</v>
      </c>
      <c r="U208" s="13">
        <f t="shared" si="48"/>
        <v>547110012</v>
      </c>
      <c r="V208" s="13">
        <f t="shared" si="48"/>
        <v>646543263</v>
      </c>
      <c r="W208" s="13">
        <f t="shared" si="48"/>
        <v>737401504</v>
      </c>
      <c r="X208" s="13">
        <f t="shared" si="48"/>
        <v>822853665</v>
      </c>
      <c r="Y208" s="13">
        <f t="shared" si="48"/>
        <v>925712731</v>
      </c>
      <c r="Z208" s="13">
        <f t="shared" si="48"/>
        <v>1033726837</v>
      </c>
      <c r="AA208" s="13">
        <f t="shared" si="48"/>
        <v>1150737563</v>
      </c>
      <c r="AB208" s="13">
        <f t="shared" si="48"/>
        <v>1150737563</v>
      </c>
      <c r="AC208" s="13">
        <f t="shared" si="48"/>
        <v>81563889</v>
      </c>
      <c r="AD208" s="13">
        <f t="shared" si="48"/>
        <v>175788132</v>
      </c>
      <c r="AE208" s="13">
        <f t="shared" si="48"/>
        <v>279744051</v>
      </c>
      <c r="AF208" s="13">
        <f t="shared" si="48"/>
        <v>387286450</v>
      </c>
      <c r="AG208" s="13">
        <f t="shared" si="48"/>
        <v>489990481</v>
      </c>
      <c r="AH208" s="13">
        <f t="shared" si="48"/>
        <v>595704504</v>
      </c>
      <c r="AI208" s="13">
        <f t="shared" ref="AI208:BN208" si="49">SUM(AI190:AI207)</f>
        <v>709465787</v>
      </c>
      <c r="AJ208" s="13">
        <f t="shared" si="49"/>
        <v>812114157</v>
      </c>
      <c r="AK208" s="13">
        <f t="shared" si="49"/>
        <v>922855055</v>
      </c>
      <c r="AL208" s="13">
        <f t="shared" si="49"/>
        <v>1032238764</v>
      </c>
      <c r="AM208" s="13">
        <f t="shared" si="49"/>
        <v>1148416438</v>
      </c>
      <c r="AN208" s="13">
        <f t="shared" si="49"/>
        <v>1299284931</v>
      </c>
      <c r="AO208" s="13">
        <f t="shared" si="49"/>
        <v>1299284931</v>
      </c>
      <c r="AP208" s="13">
        <f t="shared" si="49"/>
        <v>98433680</v>
      </c>
      <c r="AQ208" s="13">
        <f t="shared" si="49"/>
        <v>206719076</v>
      </c>
      <c r="AR208" s="13">
        <f t="shared" si="49"/>
        <v>329934502</v>
      </c>
      <c r="AS208" s="13">
        <f t="shared" si="49"/>
        <v>449766532</v>
      </c>
      <c r="AT208" s="13">
        <f t="shared" si="49"/>
        <v>574737862</v>
      </c>
      <c r="AU208" s="13">
        <f t="shared" si="49"/>
        <v>692640608</v>
      </c>
      <c r="AV208" s="13">
        <f t="shared" si="49"/>
        <v>814889457</v>
      </c>
      <c r="AW208" s="13">
        <f t="shared" si="49"/>
        <v>933216267</v>
      </c>
      <c r="AX208" s="13">
        <f t="shared" si="49"/>
        <v>1038112247</v>
      </c>
      <c r="AY208" s="13">
        <f t="shared" si="49"/>
        <v>1138221122</v>
      </c>
      <c r="AZ208" s="13">
        <f t="shared" si="49"/>
        <v>1226225213</v>
      </c>
      <c r="BA208" s="13">
        <f t="shared" si="49"/>
        <v>1310085801</v>
      </c>
      <c r="BB208" s="13">
        <f t="shared" si="49"/>
        <v>1310085801</v>
      </c>
      <c r="BC208" s="13">
        <f t="shared" si="49"/>
        <v>149693828</v>
      </c>
      <c r="BD208" s="13">
        <f t="shared" si="49"/>
        <v>254201036</v>
      </c>
      <c r="BE208" s="13">
        <f t="shared" si="49"/>
        <v>371879898</v>
      </c>
      <c r="BF208" s="13">
        <f t="shared" si="49"/>
        <v>486347358</v>
      </c>
      <c r="BG208" s="13">
        <f t="shared" si="49"/>
        <v>618949565</v>
      </c>
      <c r="BH208" s="13">
        <f t="shared" si="49"/>
        <v>742846026</v>
      </c>
      <c r="BI208" s="13">
        <f t="shared" si="49"/>
        <v>866396000</v>
      </c>
      <c r="BJ208" s="13">
        <f t="shared" si="49"/>
        <v>980839776</v>
      </c>
      <c r="BK208" s="13">
        <f t="shared" si="49"/>
        <v>1065756557</v>
      </c>
      <c r="BL208" s="13">
        <f t="shared" si="49"/>
        <v>1155201253</v>
      </c>
      <c r="BM208" s="13">
        <f t="shared" si="49"/>
        <v>1261564816</v>
      </c>
      <c r="BN208" s="13">
        <f t="shared" si="49"/>
        <v>1318913882</v>
      </c>
      <c r="BO208" s="13">
        <f t="shared" ref="BO208:CT208" si="50">SUM(BO190:BO207)</f>
        <v>1318913882</v>
      </c>
      <c r="BP208" s="13">
        <f t="shared" si="50"/>
        <v>163213470</v>
      </c>
      <c r="BQ208" s="13">
        <f t="shared" si="50"/>
        <v>286068843</v>
      </c>
      <c r="BR208" s="13">
        <f t="shared" si="50"/>
        <v>400464842</v>
      </c>
      <c r="BS208" s="13">
        <f t="shared" si="50"/>
        <v>517806085</v>
      </c>
      <c r="BT208" s="13">
        <f t="shared" si="50"/>
        <v>636574856</v>
      </c>
      <c r="BU208" s="13">
        <f t="shared" si="50"/>
        <v>742730093</v>
      </c>
      <c r="BV208" s="13">
        <f t="shared" si="50"/>
        <v>870794143</v>
      </c>
      <c r="BW208" s="13">
        <f t="shared" si="50"/>
        <v>985728520</v>
      </c>
      <c r="BX208" s="13">
        <f t="shared" si="50"/>
        <v>1100660285</v>
      </c>
      <c r="BY208" s="13">
        <f t="shared" si="50"/>
        <v>1248450785</v>
      </c>
      <c r="BZ208" s="13">
        <f t="shared" si="50"/>
        <v>1442887589</v>
      </c>
      <c r="CA208" s="13">
        <f t="shared" si="50"/>
        <v>1622749787</v>
      </c>
      <c r="CB208" s="13">
        <f t="shared" si="50"/>
        <v>1622749787</v>
      </c>
      <c r="CC208" s="13">
        <f t="shared" si="50"/>
        <v>70915819</v>
      </c>
      <c r="CD208" s="13">
        <f t="shared" si="50"/>
        <v>185741863</v>
      </c>
      <c r="CE208" s="13">
        <f t="shared" si="50"/>
        <v>317528262</v>
      </c>
      <c r="CF208" s="13">
        <f t="shared" si="50"/>
        <v>436167327</v>
      </c>
      <c r="CG208" s="13">
        <f t="shared" si="50"/>
        <v>546240981</v>
      </c>
      <c r="CH208" s="13">
        <f t="shared" si="50"/>
        <v>677019268</v>
      </c>
      <c r="CI208" s="13">
        <f t="shared" si="50"/>
        <v>790673746</v>
      </c>
      <c r="CJ208" s="13">
        <f t="shared" si="50"/>
        <v>913632729</v>
      </c>
      <c r="CK208" s="13">
        <f t="shared" si="50"/>
        <v>1049207795</v>
      </c>
      <c r="CL208" s="13">
        <f t="shared" si="50"/>
        <v>1280046226</v>
      </c>
      <c r="CM208" s="13">
        <f t="shared" si="50"/>
        <v>1472417788</v>
      </c>
      <c r="CN208" s="13">
        <f t="shared" si="50"/>
        <v>1661286314</v>
      </c>
      <c r="CO208" s="13">
        <f t="shared" si="50"/>
        <v>1661286314</v>
      </c>
      <c r="CP208" s="13">
        <f t="shared" si="50"/>
        <v>58778523</v>
      </c>
      <c r="CQ208" s="13">
        <f t="shared" si="50"/>
        <v>163922358</v>
      </c>
      <c r="CR208" s="13">
        <f t="shared" si="50"/>
        <v>302370134</v>
      </c>
      <c r="CS208" s="13">
        <f t="shared" si="50"/>
        <v>454143851</v>
      </c>
      <c r="CT208" s="13">
        <f t="shared" si="50"/>
        <v>615222044</v>
      </c>
      <c r="CU208" s="13">
        <f t="shared" ref="CU208:DZ208" si="51">SUM(CU190:CU207)</f>
        <v>805153592</v>
      </c>
      <c r="CV208" s="13">
        <f t="shared" si="51"/>
        <v>956193870</v>
      </c>
      <c r="CW208" s="13">
        <f t="shared" si="51"/>
        <v>1099385423</v>
      </c>
      <c r="CX208" s="13">
        <f t="shared" si="51"/>
        <v>1279672517</v>
      </c>
      <c r="CY208" s="13">
        <f t="shared" si="51"/>
        <v>1433637273</v>
      </c>
      <c r="CZ208" s="13">
        <f t="shared" si="51"/>
        <v>1572223288</v>
      </c>
      <c r="DA208" s="13">
        <f t="shared" si="51"/>
        <v>1858447408</v>
      </c>
      <c r="DB208" s="13">
        <f t="shared" si="51"/>
        <v>1858447408</v>
      </c>
      <c r="DC208" s="13">
        <f t="shared" si="51"/>
        <v>63485098</v>
      </c>
      <c r="DD208" s="13">
        <f t="shared" si="51"/>
        <v>195811242</v>
      </c>
      <c r="DE208" s="13">
        <f t="shared" si="51"/>
        <v>342933396</v>
      </c>
      <c r="DF208" s="13">
        <f t="shared" si="51"/>
        <v>515863325</v>
      </c>
      <c r="DG208" s="13">
        <f t="shared" si="51"/>
        <v>685185958</v>
      </c>
      <c r="DH208" s="13">
        <f t="shared" si="51"/>
        <v>881500819</v>
      </c>
      <c r="DI208" s="13">
        <f t="shared" si="51"/>
        <v>1067262025</v>
      </c>
      <c r="DJ208" s="13">
        <f t="shared" si="51"/>
        <v>1263131984</v>
      </c>
      <c r="DK208" s="13">
        <f t="shared" si="51"/>
        <v>1462296838</v>
      </c>
      <c r="DL208" s="13">
        <f t="shared" si="51"/>
        <v>1667789221</v>
      </c>
      <c r="DM208" s="13">
        <f t="shared" si="51"/>
        <v>1835506537</v>
      </c>
      <c r="DN208" s="13">
        <f t="shared" si="51"/>
        <v>2206880084</v>
      </c>
      <c r="DO208" s="13">
        <f t="shared" si="51"/>
        <v>2206880084</v>
      </c>
      <c r="DP208" s="13">
        <f t="shared" si="51"/>
        <v>135929969</v>
      </c>
      <c r="DQ208" s="13">
        <f t="shared" si="51"/>
        <v>327888911</v>
      </c>
      <c r="DR208" s="13">
        <f t="shared" si="51"/>
        <v>558132312</v>
      </c>
      <c r="DS208" s="13">
        <f t="shared" si="51"/>
        <v>784705734</v>
      </c>
      <c r="DT208" s="13">
        <f t="shared" si="51"/>
        <v>1022603759</v>
      </c>
      <c r="DU208" s="13">
        <f t="shared" si="51"/>
        <v>1272654481</v>
      </c>
      <c r="DV208" s="13">
        <f t="shared" si="51"/>
        <v>1469477554</v>
      </c>
      <c r="DW208" s="13">
        <f t="shared" si="51"/>
        <v>1661952215</v>
      </c>
      <c r="DX208" s="13">
        <f t="shared" si="51"/>
        <v>1843355801</v>
      </c>
      <c r="DY208" s="13">
        <f t="shared" si="51"/>
        <v>2024875725</v>
      </c>
      <c r="DZ208" s="13">
        <f t="shared" si="51"/>
        <v>2180998519</v>
      </c>
      <c r="EA208" s="13">
        <f t="shared" ref="EA208:FF208" si="52">SUM(EA190:EA207)</f>
        <v>2503718466</v>
      </c>
      <c r="EB208" s="13">
        <f t="shared" si="52"/>
        <v>2503718466</v>
      </c>
      <c r="EC208" s="13">
        <f t="shared" si="52"/>
        <v>143432234</v>
      </c>
      <c r="ED208" s="13">
        <f t="shared" si="52"/>
        <v>380548366</v>
      </c>
      <c r="EE208" s="13">
        <f t="shared" si="52"/>
        <v>667273724</v>
      </c>
      <c r="EF208" s="13">
        <f t="shared" si="52"/>
        <v>886345579</v>
      </c>
      <c r="EG208" s="13">
        <f t="shared" si="52"/>
        <v>1147255775</v>
      </c>
      <c r="EH208" s="13">
        <f t="shared" si="52"/>
        <v>1364398810</v>
      </c>
      <c r="EI208" s="13">
        <f t="shared" si="52"/>
        <v>1581765302</v>
      </c>
      <c r="EJ208" s="13">
        <f t="shared" si="52"/>
        <v>1810956654</v>
      </c>
      <c r="EK208" s="13">
        <f t="shared" si="52"/>
        <v>2012607115</v>
      </c>
      <c r="EL208" s="13">
        <f t="shared" si="52"/>
        <v>2239926629</v>
      </c>
      <c r="EM208" s="13">
        <f t="shared" si="52"/>
        <v>2478165977</v>
      </c>
      <c r="EN208" s="13">
        <f t="shared" si="52"/>
        <v>2904924599</v>
      </c>
      <c r="EO208" s="13">
        <f t="shared" si="52"/>
        <v>2904924599</v>
      </c>
      <c r="EP208" s="13">
        <f t="shared" si="52"/>
        <v>213300383</v>
      </c>
      <c r="EQ208" s="13">
        <f t="shared" si="52"/>
        <v>453983080</v>
      </c>
      <c r="ER208" s="13">
        <f t="shared" si="52"/>
        <v>689388375</v>
      </c>
      <c r="ES208" s="13">
        <f t="shared" si="52"/>
        <v>920829125</v>
      </c>
      <c r="ET208" s="13">
        <f t="shared" si="52"/>
        <v>1229744183</v>
      </c>
      <c r="EU208" s="13">
        <f t="shared" si="52"/>
        <v>1475648050</v>
      </c>
      <c r="EV208" s="13">
        <f t="shared" si="52"/>
        <v>1745241889</v>
      </c>
      <c r="EW208" s="13">
        <f t="shared" si="52"/>
        <v>1957247889</v>
      </c>
      <c r="EX208" s="13">
        <f t="shared" si="52"/>
        <v>2185264240</v>
      </c>
      <c r="EY208" s="13">
        <f t="shared" si="52"/>
        <v>2629761403</v>
      </c>
      <c r="EZ208" s="13">
        <f t="shared" si="52"/>
        <v>2837014266</v>
      </c>
      <c r="FA208" s="13">
        <f t="shared" si="52"/>
        <v>3231678980</v>
      </c>
      <c r="FB208" s="13">
        <f t="shared" si="52"/>
        <v>3231678980</v>
      </c>
      <c r="FC208" s="13">
        <f t="shared" si="52"/>
        <v>211076989</v>
      </c>
      <c r="FD208" s="13">
        <f t="shared" si="52"/>
        <v>464025149</v>
      </c>
      <c r="FE208" s="13">
        <f t="shared" si="52"/>
        <v>725828517</v>
      </c>
      <c r="FF208" s="13">
        <f t="shared" si="52"/>
        <v>1056464664</v>
      </c>
      <c r="FG208" s="13">
        <f t="shared" ref="FG208:GL208" si="53">SUM(FG190:FG207)</f>
        <v>1399206532</v>
      </c>
      <c r="FH208" s="13">
        <f t="shared" si="53"/>
        <v>1669006843</v>
      </c>
      <c r="FI208" s="13">
        <f t="shared" si="53"/>
        <v>1984699429</v>
      </c>
      <c r="FJ208" s="13">
        <f t="shared" si="53"/>
        <v>1984699429</v>
      </c>
      <c r="FK208" s="13">
        <f t="shared" si="53"/>
        <v>1984699429</v>
      </c>
      <c r="FL208" s="13">
        <f t="shared" si="53"/>
        <v>1984699429</v>
      </c>
      <c r="FM208" s="13">
        <f t="shared" si="53"/>
        <v>1984699429</v>
      </c>
      <c r="FN208" s="13">
        <f t="shared" si="53"/>
        <v>1984699429</v>
      </c>
      <c r="FO208" s="13">
        <f t="shared" si="53"/>
        <v>1984699429</v>
      </c>
    </row>
  </sheetData>
  <mergeCells count="117">
    <mergeCell ref="EP166:FB166"/>
    <mergeCell ref="FC50:FO50"/>
    <mergeCell ref="EP97:FB97"/>
    <mergeCell ref="EC119:EO119"/>
    <mergeCell ref="CC75:CO75"/>
    <mergeCell ref="BC144:BO144"/>
    <mergeCell ref="DC28:DO28"/>
    <mergeCell ref="DC6:DO6"/>
    <mergeCell ref="P75:AB75"/>
    <mergeCell ref="P28:AB28"/>
    <mergeCell ref="BP28:CB28"/>
    <mergeCell ref="FC144:FO144"/>
    <mergeCell ref="EC75:EO75"/>
    <mergeCell ref="FC119:FO119"/>
    <mergeCell ref="DP75:EB75"/>
    <mergeCell ref="EC28:EO28"/>
    <mergeCell ref="AP28:BB28"/>
    <mergeCell ref="CP28:DB28"/>
    <mergeCell ref="FC75:FO75"/>
    <mergeCell ref="EP50:FB50"/>
    <mergeCell ref="CP6:DB6"/>
    <mergeCell ref="P119:AB119"/>
    <mergeCell ref="BP97:CB97"/>
    <mergeCell ref="AP144:BB144"/>
    <mergeCell ref="CP144:DB144"/>
    <mergeCell ref="FC166:FO166"/>
    <mergeCell ref="EC144:EO144"/>
    <mergeCell ref="AP188:BB188"/>
    <mergeCell ref="CP75:DB75"/>
    <mergeCell ref="FC6:FO6"/>
    <mergeCell ref="P166:AB166"/>
    <mergeCell ref="C188:O188"/>
    <mergeCell ref="EP28:FB28"/>
    <mergeCell ref="AP6:BB6"/>
    <mergeCell ref="AC50:AO50"/>
    <mergeCell ref="P97:AB97"/>
    <mergeCell ref="C119:O119"/>
    <mergeCell ref="DP50:EB50"/>
    <mergeCell ref="BP6:CB6"/>
    <mergeCell ref="EP188:FB188"/>
    <mergeCell ref="AP97:BB97"/>
    <mergeCell ref="CP166:DB166"/>
    <mergeCell ref="FC97:FO97"/>
    <mergeCell ref="EP6:FB6"/>
    <mergeCell ref="EP119:FB119"/>
    <mergeCell ref="P144:AB144"/>
    <mergeCell ref="BP144:CB144"/>
    <mergeCell ref="C166:O166"/>
    <mergeCell ref="BC166:BO166"/>
    <mergeCell ref="EP144:FB144"/>
    <mergeCell ref="CP119:DB119"/>
    <mergeCell ref="AC144:AO144"/>
    <mergeCell ref="CC97:CO97"/>
    <mergeCell ref="C6:O6"/>
    <mergeCell ref="BC6:BO6"/>
    <mergeCell ref="DC188:DO188"/>
    <mergeCell ref="EC50:EO50"/>
    <mergeCell ref="BC119:BO119"/>
    <mergeCell ref="DP97:EB97"/>
    <mergeCell ref="DC119:DO119"/>
    <mergeCell ref="BP50:CB50"/>
    <mergeCell ref="CC6:CO6"/>
    <mergeCell ref="AC75:AO75"/>
    <mergeCell ref="AC28:AO28"/>
    <mergeCell ref="P50:AB50"/>
    <mergeCell ref="CC28:CO28"/>
    <mergeCell ref="C97:O97"/>
    <mergeCell ref="BC75:BO75"/>
    <mergeCell ref="BC50:BO50"/>
    <mergeCell ref="EC188:EO188"/>
    <mergeCell ref="AP50:BB50"/>
    <mergeCell ref="AC97:AO97"/>
    <mergeCell ref="CC166:CO166"/>
    <mergeCell ref="DP6:EB6"/>
    <mergeCell ref="CP97:DB97"/>
    <mergeCell ref="DP188:EB188"/>
    <mergeCell ref="BP166:CB166"/>
    <mergeCell ref="BC188:BO188"/>
    <mergeCell ref="BP119:CB119"/>
    <mergeCell ref="EC97:EO97"/>
    <mergeCell ref="DP119:EB119"/>
    <mergeCell ref="C28:O28"/>
    <mergeCell ref="CC188:CO188"/>
    <mergeCell ref="BC28:BO28"/>
    <mergeCell ref="CC119:CO119"/>
    <mergeCell ref="AP166:BB166"/>
    <mergeCell ref="AC188:AO188"/>
    <mergeCell ref="BP188:CB188"/>
    <mergeCell ref="DP166:EB166"/>
    <mergeCell ref="AC166:AO166"/>
    <mergeCell ref="AP119:BB119"/>
    <mergeCell ref="C75:O75"/>
    <mergeCell ref="DC97:DO97"/>
    <mergeCell ref="DP144:EB144"/>
    <mergeCell ref="CC50:CO50"/>
    <mergeCell ref="C144:O144"/>
    <mergeCell ref="FC188:FO188"/>
    <mergeCell ref="BC97:BO97"/>
    <mergeCell ref="AC6:AO6"/>
    <mergeCell ref="DC166:DO166"/>
    <mergeCell ref="DC75:DO75"/>
    <mergeCell ref="CC144:CO144"/>
    <mergeCell ref="DC50:DO50"/>
    <mergeCell ref="AC119:AO119"/>
    <mergeCell ref="AP75:BB75"/>
    <mergeCell ref="EC166:EO166"/>
    <mergeCell ref="DC144:DO144"/>
    <mergeCell ref="P188:AB188"/>
    <mergeCell ref="FC28:FO28"/>
    <mergeCell ref="BP75:CB75"/>
    <mergeCell ref="EC6:EO6"/>
    <mergeCell ref="DP28:EB28"/>
    <mergeCell ref="P6:AB6"/>
    <mergeCell ref="CP188:DB188"/>
    <mergeCell ref="C50:O50"/>
    <mergeCell ref="EP75:FB75"/>
    <mergeCell ref="CP50:DB5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Dashboard</vt:lpstr>
      <vt:lpstr>MINVU_Mes_Corriente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Aldo Manuel Herrera Hernandez</cp:lastModifiedBy>
  <dcterms:created xsi:type="dcterms:W3CDTF">2026-09-09T17:46:39Z</dcterms:created>
  <dcterms:modified xsi:type="dcterms:W3CDTF">2026-09-09T17:46:42Z</dcterms:modified>
</cp:coreProperties>
</file>